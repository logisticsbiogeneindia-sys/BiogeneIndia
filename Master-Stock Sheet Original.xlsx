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2026-27\"/>
    </mc:Choice>
  </mc:AlternateContent>
  <xr:revisionPtr revIDLastSave="0" documentId="13_ncr:1_{BFA350C4-5113-4EE5-B2CF-281251B4348A}" xr6:coauthVersionLast="47" xr6:coauthVersionMax="47" xr10:uidLastSave="{00000000-0000-0000-0000-000000000000}"/>
  <bookViews>
    <workbookView xWindow="-120" yWindow="-120" windowWidth="19440" windowHeight="15000" activeTab="1" xr2:uid="{00000000-000D-0000-FFFF-FFFF00000000}"/>
  </bookViews>
  <sheets>
    <sheet name="MasterSheet" sheetId="1" r:id="rId1"/>
    <sheet name="Disptach Document" sheetId="19" r:id="rId2"/>
    <sheet name="Group Stock Sheet" sheetId="35" r:id="rId3"/>
    <sheet name="New Stock Sheet" sheetId="34" r:id="rId4"/>
    <sheet name="Customer List" sheetId="20" r:id="rId5"/>
    <sheet name="Currency Sheet" sheetId="21" r:id="rId6"/>
  </sheets>
  <definedNames>
    <definedName name="_xlnm._FilterDatabase" localSheetId="5" hidden="1">'Currency Sheet'!$A$1:$C$42</definedName>
    <definedName name="_xlnm._FilterDatabase" localSheetId="4" hidden="1">'Customer List'!$A$1:$H$382</definedName>
    <definedName name="_xlnm._FilterDatabase" localSheetId="1" hidden="1">'Disptach Document'!#REF!</definedName>
    <definedName name="_xlnm._FilterDatabase" localSheetId="2" hidden="1">'Group Stock Sheet'!$A$1:$J$71</definedName>
    <definedName name="_xlnm._FilterDatabase" localSheetId="0" hidden="1">MasterSheet!$A$1:$AK$1277</definedName>
    <definedName name="_xlnm._FilterDatabase" localSheetId="3" hidden="1">'New Stock Sheet'!$A$1:$J$270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" l="1"/>
  <c r="U3" i="1"/>
  <c r="AD3" i="1"/>
  <c r="AG3" i="1"/>
  <c r="AH3" i="1"/>
  <c r="AI3" i="1"/>
  <c r="AJ3" i="1"/>
  <c r="G3" i="1" s="1"/>
  <c r="H3" i="1" s="1"/>
  <c r="AK3" i="1"/>
  <c r="AG1271" i="1"/>
  <c r="AH1271" i="1"/>
  <c r="AI1271" i="1"/>
  <c r="AJ1271" i="1"/>
  <c r="G1271" i="1" s="1"/>
  <c r="H1271" i="1" s="1"/>
  <c r="AK1271" i="1"/>
  <c r="AG1272" i="1"/>
  <c r="AH1272" i="1"/>
  <c r="AI1272" i="1"/>
  <c r="AJ1272" i="1"/>
  <c r="AK1272" i="1"/>
  <c r="AG1273" i="1"/>
  <c r="AH1273" i="1"/>
  <c r="AI1273" i="1"/>
  <c r="AJ1273" i="1"/>
  <c r="AK1273" i="1"/>
  <c r="AG1274" i="1"/>
  <c r="AH1274" i="1"/>
  <c r="AI1274" i="1"/>
  <c r="AJ1274" i="1"/>
  <c r="G1274" i="1" s="1"/>
  <c r="H1274" i="1" s="1"/>
  <c r="AK1274" i="1"/>
  <c r="AG1275" i="1"/>
  <c r="AH1275" i="1"/>
  <c r="AI1275" i="1"/>
  <c r="AJ1275" i="1"/>
  <c r="G1275" i="1" s="1"/>
  <c r="H1275" i="1" s="1"/>
  <c r="AK1275" i="1"/>
  <c r="AG1276" i="1"/>
  <c r="AH1276" i="1"/>
  <c r="AI1276" i="1"/>
  <c r="AJ1276" i="1"/>
  <c r="G1276" i="1" s="1"/>
  <c r="H1276" i="1" s="1"/>
  <c r="AK1276" i="1"/>
  <c r="AG1277" i="1"/>
  <c r="AH1277" i="1"/>
  <c r="AI1277" i="1"/>
  <c r="AJ1277" i="1"/>
  <c r="G1277" i="1" s="1"/>
  <c r="H1277" i="1" s="1"/>
  <c r="AK1277" i="1"/>
  <c r="AD1271" i="1"/>
  <c r="AD1272" i="1"/>
  <c r="AD1273" i="1"/>
  <c r="AD1274" i="1"/>
  <c r="AD1275" i="1"/>
  <c r="AD1276" i="1"/>
  <c r="AD1277" i="1"/>
  <c r="U1271" i="1"/>
  <c r="U1272" i="1"/>
  <c r="U1273" i="1"/>
  <c r="U1274" i="1"/>
  <c r="U1275" i="1"/>
  <c r="U1276" i="1"/>
  <c r="U1277" i="1"/>
  <c r="O1271" i="1"/>
  <c r="O1272" i="1"/>
  <c r="O1273" i="1"/>
  <c r="O1274" i="1"/>
  <c r="O1275" i="1"/>
  <c r="O1276" i="1"/>
  <c r="O1277" i="1"/>
  <c r="G1272" i="1"/>
  <c r="H1272" i="1" s="1"/>
  <c r="G1273" i="1"/>
  <c r="H1273" i="1" s="1"/>
  <c r="O4" i="1"/>
  <c r="U4" i="1"/>
  <c r="AD4" i="1"/>
  <c r="AG4" i="1"/>
  <c r="AH4" i="1"/>
  <c r="AI4" i="1"/>
  <c r="AJ4" i="1"/>
  <c r="G4" i="1" s="1"/>
  <c r="H4" i="1" s="1"/>
  <c r="AK4" i="1"/>
  <c r="O120" i="1"/>
  <c r="U120" i="1"/>
  <c r="AD120" i="1"/>
  <c r="AG120" i="1"/>
  <c r="AH120" i="1"/>
  <c r="AI120" i="1"/>
  <c r="AJ120" i="1"/>
  <c r="G120" i="1" s="1"/>
  <c r="H120" i="1" s="1"/>
  <c r="AK120" i="1"/>
  <c r="O123" i="1"/>
  <c r="U123" i="1"/>
  <c r="AD123" i="1"/>
  <c r="AG123" i="1"/>
  <c r="AH123" i="1"/>
  <c r="AI123" i="1"/>
  <c r="AJ123" i="1"/>
  <c r="G123" i="1" s="1"/>
  <c r="H123" i="1" s="1"/>
  <c r="AK123" i="1"/>
  <c r="O135" i="1"/>
  <c r="U135" i="1"/>
  <c r="AD135" i="1"/>
  <c r="AG135" i="1"/>
  <c r="AH135" i="1"/>
  <c r="AI135" i="1"/>
  <c r="AJ135" i="1"/>
  <c r="G135" i="1" s="1"/>
  <c r="H135" i="1" s="1"/>
  <c r="AK135" i="1"/>
  <c r="O16" i="1"/>
  <c r="O131" i="1"/>
  <c r="U131" i="1"/>
  <c r="AD131" i="1"/>
  <c r="AG131" i="1"/>
  <c r="AH131" i="1"/>
  <c r="AI131" i="1"/>
  <c r="AJ131" i="1"/>
  <c r="G131" i="1" s="1"/>
  <c r="H131" i="1" s="1"/>
  <c r="AK131" i="1"/>
  <c r="A390" i="20"/>
  <c r="AG1267" i="1"/>
  <c r="AH1267" i="1"/>
  <c r="AI1267" i="1"/>
  <c r="AJ1267" i="1"/>
  <c r="G1267" i="1" s="1"/>
  <c r="H1267" i="1" s="1"/>
  <c r="AK1267" i="1"/>
  <c r="AG1268" i="1"/>
  <c r="AH1268" i="1"/>
  <c r="AI1268" i="1"/>
  <c r="AJ1268" i="1"/>
  <c r="G1268" i="1" s="1"/>
  <c r="H1268" i="1" s="1"/>
  <c r="AK1268" i="1"/>
  <c r="AG1269" i="1"/>
  <c r="AH1269" i="1"/>
  <c r="AI1269" i="1"/>
  <c r="AJ1269" i="1"/>
  <c r="G1269" i="1" s="1"/>
  <c r="H1269" i="1" s="1"/>
  <c r="AK1269" i="1"/>
  <c r="AG1270" i="1"/>
  <c r="AH1270" i="1"/>
  <c r="AI1270" i="1"/>
  <c r="AJ1270" i="1"/>
  <c r="G1270" i="1" s="1"/>
  <c r="H1270" i="1" s="1"/>
  <c r="AK1270" i="1"/>
  <c r="AD1267" i="1"/>
  <c r="AD1268" i="1"/>
  <c r="AD1269" i="1"/>
  <c r="AD1270" i="1"/>
  <c r="U1267" i="1"/>
  <c r="U1268" i="1"/>
  <c r="U1269" i="1"/>
  <c r="U1270" i="1"/>
  <c r="O1267" i="1"/>
  <c r="O1268" i="1"/>
  <c r="O1269" i="1"/>
  <c r="O1270" i="1"/>
  <c r="O121" i="1"/>
  <c r="U121" i="1"/>
  <c r="AD121" i="1"/>
  <c r="AG121" i="1"/>
  <c r="AH121" i="1"/>
  <c r="AI121" i="1"/>
  <c r="AJ121" i="1"/>
  <c r="G121" i="1" s="1"/>
  <c r="H121" i="1" s="1"/>
  <c r="AK121" i="1"/>
  <c r="AG1104" i="1"/>
  <c r="AH1104" i="1"/>
  <c r="AI1104" i="1"/>
  <c r="AJ1104" i="1"/>
  <c r="G1104" i="1" s="1"/>
  <c r="H1104" i="1" s="1"/>
  <c r="AK1104" i="1"/>
  <c r="AG1105" i="1"/>
  <c r="AH1105" i="1"/>
  <c r="AI1105" i="1"/>
  <c r="AJ1105" i="1"/>
  <c r="G1105" i="1" s="1"/>
  <c r="H1105" i="1" s="1"/>
  <c r="AK1105" i="1"/>
  <c r="AG1106" i="1"/>
  <c r="AH1106" i="1"/>
  <c r="AI1106" i="1"/>
  <c r="AJ1106" i="1"/>
  <c r="G1106" i="1" s="1"/>
  <c r="H1106" i="1" s="1"/>
  <c r="AK1106" i="1"/>
  <c r="AG1107" i="1"/>
  <c r="AH1107" i="1"/>
  <c r="AI1107" i="1"/>
  <c r="AJ1107" i="1"/>
  <c r="G1107" i="1" s="1"/>
  <c r="H1107" i="1" s="1"/>
  <c r="AK1107" i="1"/>
  <c r="AG1108" i="1"/>
  <c r="AH1108" i="1"/>
  <c r="AI1108" i="1"/>
  <c r="AJ1108" i="1"/>
  <c r="G1108" i="1" s="1"/>
  <c r="H1108" i="1" s="1"/>
  <c r="AK1108" i="1"/>
  <c r="AG1109" i="1"/>
  <c r="AH1109" i="1"/>
  <c r="AI1109" i="1"/>
  <c r="AJ1109" i="1"/>
  <c r="G1109" i="1" s="1"/>
  <c r="H1109" i="1" s="1"/>
  <c r="AK1109" i="1"/>
  <c r="AG1110" i="1"/>
  <c r="AH1110" i="1"/>
  <c r="AI1110" i="1"/>
  <c r="AJ1110" i="1"/>
  <c r="G1110" i="1" s="1"/>
  <c r="H1110" i="1" s="1"/>
  <c r="AK1110" i="1"/>
  <c r="AG1111" i="1"/>
  <c r="AH1111" i="1"/>
  <c r="AI1111" i="1"/>
  <c r="AJ1111" i="1"/>
  <c r="G1111" i="1" s="1"/>
  <c r="H1111" i="1" s="1"/>
  <c r="AK1111" i="1"/>
  <c r="AG1112" i="1"/>
  <c r="AH1112" i="1"/>
  <c r="AI1112" i="1"/>
  <c r="AJ1112" i="1"/>
  <c r="G1112" i="1" s="1"/>
  <c r="H1112" i="1" s="1"/>
  <c r="AK1112" i="1"/>
  <c r="AG1113" i="1"/>
  <c r="AH1113" i="1"/>
  <c r="AI1113" i="1"/>
  <c r="AJ1113" i="1"/>
  <c r="G1113" i="1" s="1"/>
  <c r="H1113" i="1" s="1"/>
  <c r="AK1113" i="1"/>
  <c r="AG1114" i="1"/>
  <c r="AH1114" i="1"/>
  <c r="AI1114" i="1"/>
  <c r="AJ1114" i="1"/>
  <c r="G1114" i="1" s="1"/>
  <c r="H1114" i="1" s="1"/>
  <c r="AK1114" i="1"/>
  <c r="AG1115" i="1"/>
  <c r="AH1115" i="1"/>
  <c r="AI1115" i="1"/>
  <c r="AJ1115" i="1"/>
  <c r="G1115" i="1" s="1"/>
  <c r="H1115" i="1" s="1"/>
  <c r="AK1115" i="1"/>
  <c r="AG1116" i="1"/>
  <c r="AH1116" i="1"/>
  <c r="AI1116" i="1"/>
  <c r="AJ1116" i="1"/>
  <c r="G1116" i="1" s="1"/>
  <c r="H1116" i="1" s="1"/>
  <c r="AK1116" i="1"/>
  <c r="AG1117" i="1"/>
  <c r="AH1117" i="1"/>
  <c r="AI1117" i="1"/>
  <c r="AJ1117" i="1"/>
  <c r="G1117" i="1" s="1"/>
  <c r="H1117" i="1" s="1"/>
  <c r="AK1117" i="1"/>
  <c r="AG1118" i="1"/>
  <c r="AH1118" i="1"/>
  <c r="AI1118" i="1"/>
  <c r="AJ1118" i="1"/>
  <c r="G1118" i="1" s="1"/>
  <c r="H1118" i="1" s="1"/>
  <c r="AK1118" i="1"/>
  <c r="AG1119" i="1"/>
  <c r="AH1119" i="1"/>
  <c r="AI1119" i="1"/>
  <c r="AJ1119" i="1"/>
  <c r="G1119" i="1" s="1"/>
  <c r="H1119" i="1" s="1"/>
  <c r="AK1119" i="1"/>
  <c r="AG1120" i="1"/>
  <c r="AH1120" i="1"/>
  <c r="AI1120" i="1"/>
  <c r="AJ1120" i="1"/>
  <c r="G1120" i="1" s="1"/>
  <c r="H1120" i="1" s="1"/>
  <c r="AK1120" i="1"/>
  <c r="AG1121" i="1"/>
  <c r="AH1121" i="1"/>
  <c r="AI1121" i="1"/>
  <c r="AJ1121" i="1"/>
  <c r="G1121" i="1" s="1"/>
  <c r="H1121" i="1" s="1"/>
  <c r="AK1121" i="1"/>
  <c r="AG1122" i="1"/>
  <c r="AH1122" i="1"/>
  <c r="AI1122" i="1"/>
  <c r="AJ1122" i="1"/>
  <c r="G1122" i="1" s="1"/>
  <c r="H1122" i="1" s="1"/>
  <c r="AK1122" i="1"/>
  <c r="AG1123" i="1"/>
  <c r="AH1123" i="1"/>
  <c r="AI1123" i="1"/>
  <c r="AJ1123" i="1"/>
  <c r="G1123" i="1" s="1"/>
  <c r="H1123" i="1" s="1"/>
  <c r="AK1123" i="1"/>
  <c r="AG1124" i="1"/>
  <c r="AH1124" i="1"/>
  <c r="AI1124" i="1"/>
  <c r="AJ1124" i="1"/>
  <c r="G1124" i="1" s="1"/>
  <c r="H1124" i="1" s="1"/>
  <c r="AK1124" i="1"/>
  <c r="AG1125" i="1"/>
  <c r="AH1125" i="1"/>
  <c r="AI1125" i="1"/>
  <c r="AJ1125" i="1"/>
  <c r="G1125" i="1" s="1"/>
  <c r="H1125" i="1" s="1"/>
  <c r="AK1125" i="1"/>
  <c r="AG1126" i="1"/>
  <c r="AH1126" i="1"/>
  <c r="AI1126" i="1"/>
  <c r="AJ1126" i="1"/>
  <c r="G1126" i="1" s="1"/>
  <c r="H1126" i="1" s="1"/>
  <c r="AK1126" i="1"/>
  <c r="AG1127" i="1"/>
  <c r="AH1127" i="1"/>
  <c r="AI1127" i="1"/>
  <c r="AJ1127" i="1"/>
  <c r="G1127" i="1" s="1"/>
  <c r="H1127" i="1" s="1"/>
  <c r="AK1127" i="1"/>
  <c r="AG1128" i="1"/>
  <c r="AH1128" i="1"/>
  <c r="AI1128" i="1"/>
  <c r="AJ1128" i="1"/>
  <c r="G1128" i="1" s="1"/>
  <c r="H1128" i="1" s="1"/>
  <c r="AK1128" i="1"/>
  <c r="AG1129" i="1"/>
  <c r="AH1129" i="1"/>
  <c r="AI1129" i="1"/>
  <c r="AJ1129" i="1"/>
  <c r="G1129" i="1" s="1"/>
  <c r="H1129" i="1" s="1"/>
  <c r="AK1129" i="1"/>
  <c r="AG1130" i="1"/>
  <c r="AH1130" i="1"/>
  <c r="AI1130" i="1"/>
  <c r="AJ1130" i="1"/>
  <c r="G1130" i="1" s="1"/>
  <c r="H1130" i="1" s="1"/>
  <c r="AK1130" i="1"/>
  <c r="AG1131" i="1"/>
  <c r="AH1131" i="1"/>
  <c r="AI1131" i="1"/>
  <c r="AJ1131" i="1"/>
  <c r="G1131" i="1" s="1"/>
  <c r="H1131" i="1" s="1"/>
  <c r="AK1131" i="1"/>
  <c r="AG1132" i="1"/>
  <c r="AH1132" i="1"/>
  <c r="AI1132" i="1"/>
  <c r="AJ1132" i="1"/>
  <c r="G1132" i="1" s="1"/>
  <c r="H1132" i="1" s="1"/>
  <c r="AK1132" i="1"/>
  <c r="AG1133" i="1"/>
  <c r="AH1133" i="1"/>
  <c r="AI1133" i="1"/>
  <c r="AJ1133" i="1"/>
  <c r="G1133" i="1" s="1"/>
  <c r="H1133" i="1" s="1"/>
  <c r="AK1133" i="1"/>
  <c r="AG1134" i="1"/>
  <c r="AH1134" i="1"/>
  <c r="AI1134" i="1"/>
  <c r="AJ1134" i="1"/>
  <c r="G1134" i="1" s="1"/>
  <c r="H1134" i="1" s="1"/>
  <c r="AK1134" i="1"/>
  <c r="AG1135" i="1"/>
  <c r="AH1135" i="1"/>
  <c r="AI1135" i="1"/>
  <c r="AJ1135" i="1"/>
  <c r="G1135" i="1" s="1"/>
  <c r="H1135" i="1" s="1"/>
  <c r="AK1135" i="1"/>
  <c r="AG1136" i="1"/>
  <c r="AH1136" i="1"/>
  <c r="AI1136" i="1"/>
  <c r="AJ1136" i="1"/>
  <c r="G1136" i="1" s="1"/>
  <c r="H1136" i="1" s="1"/>
  <c r="AK1136" i="1"/>
  <c r="AG1137" i="1"/>
  <c r="AH1137" i="1"/>
  <c r="AI1137" i="1"/>
  <c r="AJ1137" i="1"/>
  <c r="G1137" i="1" s="1"/>
  <c r="H1137" i="1" s="1"/>
  <c r="AK1137" i="1"/>
  <c r="AG1138" i="1"/>
  <c r="AH1138" i="1"/>
  <c r="AI1138" i="1"/>
  <c r="AJ1138" i="1"/>
  <c r="G1138" i="1" s="1"/>
  <c r="H1138" i="1" s="1"/>
  <c r="AK1138" i="1"/>
  <c r="AG1139" i="1"/>
  <c r="AH1139" i="1"/>
  <c r="AI1139" i="1"/>
  <c r="AJ1139" i="1"/>
  <c r="G1139" i="1" s="1"/>
  <c r="H1139" i="1" s="1"/>
  <c r="AK1139" i="1"/>
  <c r="AG1140" i="1"/>
  <c r="AH1140" i="1"/>
  <c r="AI1140" i="1"/>
  <c r="AJ1140" i="1"/>
  <c r="G1140" i="1" s="1"/>
  <c r="H1140" i="1" s="1"/>
  <c r="AK1140" i="1"/>
  <c r="AG1141" i="1"/>
  <c r="AH1141" i="1"/>
  <c r="AI1141" i="1"/>
  <c r="AJ1141" i="1"/>
  <c r="G1141" i="1" s="1"/>
  <c r="H1141" i="1" s="1"/>
  <c r="AK1141" i="1"/>
  <c r="AG1142" i="1"/>
  <c r="AH1142" i="1"/>
  <c r="AI1142" i="1"/>
  <c r="AJ1142" i="1"/>
  <c r="G1142" i="1" s="1"/>
  <c r="H1142" i="1" s="1"/>
  <c r="AK1142" i="1"/>
  <c r="AG1143" i="1"/>
  <c r="AH1143" i="1"/>
  <c r="AI1143" i="1"/>
  <c r="AJ1143" i="1"/>
  <c r="G1143" i="1" s="1"/>
  <c r="H1143" i="1" s="1"/>
  <c r="AK1143" i="1"/>
  <c r="AG1144" i="1"/>
  <c r="AH1144" i="1"/>
  <c r="AI1144" i="1"/>
  <c r="AJ1144" i="1"/>
  <c r="G1144" i="1" s="1"/>
  <c r="H1144" i="1" s="1"/>
  <c r="AK1144" i="1"/>
  <c r="AG1145" i="1"/>
  <c r="AH1145" i="1"/>
  <c r="AI1145" i="1"/>
  <c r="AJ1145" i="1"/>
  <c r="G1145" i="1" s="1"/>
  <c r="H1145" i="1" s="1"/>
  <c r="AK1145" i="1"/>
  <c r="AG1146" i="1"/>
  <c r="AH1146" i="1"/>
  <c r="AI1146" i="1"/>
  <c r="AJ1146" i="1"/>
  <c r="G1146" i="1" s="1"/>
  <c r="H1146" i="1" s="1"/>
  <c r="AK1146" i="1"/>
  <c r="AG1147" i="1"/>
  <c r="AH1147" i="1"/>
  <c r="AI1147" i="1"/>
  <c r="AJ1147" i="1"/>
  <c r="G1147" i="1" s="1"/>
  <c r="H1147" i="1" s="1"/>
  <c r="AK1147" i="1"/>
  <c r="AG1148" i="1"/>
  <c r="AH1148" i="1"/>
  <c r="AI1148" i="1"/>
  <c r="AJ1148" i="1"/>
  <c r="G1148" i="1" s="1"/>
  <c r="H1148" i="1" s="1"/>
  <c r="AK1148" i="1"/>
  <c r="AG1149" i="1"/>
  <c r="AH1149" i="1"/>
  <c r="AI1149" i="1"/>
  <c r="AJ1149" i="1"/>
  <c r="G1149" i="1" s="1"/>
  <c r="H1149" i="1" s="1"/>
  <c r="AK1149" i="1"/>
  <c r="AG1150" i="1"/>
  <c r="AH1150" i="1"/>
  <c r="AI1150" i="1"/>
  <c r="AJ1150" i="1"/>
  <c r="G1150" i="1" s="1"/>
  <c r="H1150" i="1" s="1"/>
  <c r="AK1150" i="1"/>
  <c r="AG1151" i="1"/>
  <c r="AH1151" i="1"/>
  <c r="AI1151" i="1"/>
  <c r="AJ1151" i="1"/>
  <c r="G1151" i="1" s="1"/>
  <c r="H1151" i="1" s="1"/>
  <c r="AK1151" i="1"/>
  <c r="AG1152" i="1"/>
  <c r="AH1152" i="1"/>
  <c r="AI1152" i="1"/>
  <c r="AJ1152" i="1"/>
  <c r="G1152" i="1" s="1"/>
  <c r="H1152" i="1" s="1"/>
  <c r="AK1152" i="1"/>
  <c r="AG1153" i="1"/>
  <c r="AH1153" i="1"/>
  <c r="AI1153" i="1"/>
  <c r="AJ1153" i="1"/>
  <c r="G1153" i="1" s="1"/>
  <c r="H1153" i="1" s="1"/>
  <c r="AK1153" i="1"/>
  <c r="AG1154" i="1"/>
  <c r="AH1154" i="1"/>
  <c r="AI1154" i="1"/>
  <c r="AJ1154" i="1"/>
  <c r="G1154" i="1" s="1"/>
  <c r="H1154" i="1" s="1"/>
  <c r="AK1154" i="1"/>
  <c r="AG1155" i="1"/>
  <c r="AH1155" i="1"/>
  <c r="AI1155" i="1"/>
  <c r="AJ1155" i="1"/>
  <c r="G1155" i="1" s="1"/>
  <c r="H1155" i="1" s="1"/>
  <c r="AK1155" i="1"/>
  <c r="AG1156" i="1"/>
  <c r="AH1156" i="1"/>
  <c r="AI1156" i="1"/>
  <c r="AJ1156" i="1"/>
  <c r="G1156" i="1" s="1"/>
  <c r="H1156" i="1" s="1"/>
  <c r="AK1156" i="1"/>
  <c r="AG1157" i="1"/>
  <c r="AH1157" i="1"/>
  <c r="AI1157" i="1"/>
  <c r="AJ1157" i="1"/>
  <c r="G1157" i="1" s="1"/>
  <c r="H1157" i="1" s="1"/>
  <c r="AK1157" i="1"/>
  <c r="AG1158" i="1"/>
  <c r="AH1158" i="1"/>
  <c r="AI1158" i="1"/>
  <c r="AJ1158" i="1"/>
  <c r="G1158" i="1" s="1"/>
  <c r="H1158" i="1" s="1"/>
  <c r="AK1158" i="1"/>
  <c r="AG1159" i="1"/>
  <c r="AH1159" i="1"/>
  <c r="AI1159" i="1"/>
  <c r="AJ1159" i="1"/>
  <c r="G1159" i="1" s="1"/>
  <c r="H1159" i="1" s="1"/>
  <c r="AK1159" i="1"/>
  <c r="AG1160" i="1"/>
  <c r="AH1160" i="1"/>
  <c r="AI1160" i="1"/>
  <c r="AJ1160" i="1"/>
  <c r="G1160" i="1" s="1"/>
  <c r="H1160" i="1" s="1"/>
  <c r="AK1160" i="1"/>
  <c r="AG1161" i="1"/>
  <c r="AH1161" i="1"/>
  <c r="AI1161" i="1"/>
  <c r="AJ1161" i="1"/>
  <c r="G1161" i="1" s="1"/>
  <c r="H1161" i="1" s="1"/>
  <c r="AK1161" i="1"/>
  <c r="AG1162" i="1"/>
  <c r="AH1162" i="1"/>
  <c r="AI1162" i="1"/>
  <c r="AJ1162" i="1"/>
  <c r="G1162" i="1" s="1"/>
  <c r="H1162" i="1" s="1"/>
  <c r="AK1162" i="1"/>
  <c r="AG1163" i="1"/>
  <c r="AH1163" i="1"/>
  <c r="AI1163" i="1"/>
  <c r="AJ1163" i="1"/>
  <c r="G1163" i="1" s="1"/>
  <c r="H1163" i="1" s="1"/>
  <c r="AK1163" i="1"/>
  <c r="AG1164" i="1"/>
  <c r="AH1164" i="1"/>
  <c r="AI1164" i="1"/>
  <c r="AJ1164" i="1"/>
  <c r="G1164" i="1" s="1"/>
  <c r="H1164" i="1" s="1"/>
  <c r="AK1164" i="1"/>
  <c r="AG1165" i="1"/>
  <c r="AH1165" i="1"/>
  <c r="AI1165" i="1"/>
  <c r="AJ1165" i="1"/>
  <c r="G1165" i="1" s="1"/>
  <c r="H1165" i="1" s="1"/>
  <c r="AK1165" i="1"/>
  <c r="AG1166" i="1"/>
  <c r="AH1166" i="1"/>
  <c r="AI1166" i="1"/>
  <c r="AJ1166" i="1"/>
  <c r="G1166" i="1" s="1"/>
  <c r="H1166" i="1" s="1"/>
  <c r="AK1166" i="1"/>
  <c r="AG1167" i="1"/>
  <c r="AH1167" i="1"/>
  <c r="AI1167" i="1"/>
  <c r="AJ1167" i="1"/>
  <c r="G1167" i="1" s="1"/>
  <c r="H1167" i="1" s="1"/>
  <c r="AK1167" i="1"/>
  <c r="AG1168" i="1"/>
  <c r="AH1168" i="1"/>
  <c r="AI1168" i="1"/>
  <c r="AJ1168" i="1"/>
  <c r="G1168" i="1" s="1"/>
  <c r="H1168" i="1" s="1"/>
  <c r="AK1168" i="1"/>
  <c r="AG1169" i="1"/>
  <c r="AH1169" i="1"/>
  <c r="AI1169" i="1"/>
  <c r="AJ1169" i="1"/>
  <c r="G1169" i="1" s="1"/>
  <c r="H1169" i="1" s="1"/>
  <c r="AK1169" i="1"/>
  <c r="AG1170" i="1"/>
  <c r="AH1170" i="1"/>
  <c r="AI1170" i="1"/>
  <c r="AJ1170" i="1"/>
  <c r="G1170" i="1" s="1"/>
  <c r="H1170" i="1" s="1"/>
  <c r="AK1170" i="1"/>
  <c r="AG1171" i="1"/>
  <c r="AH1171" i="1"/>
  <c r="AI1171" i="1"/>
  <c r="AJ1171" i="1"/>
  <c r="G1171" i="1" s="1"/>
  <c r="H1171" i="1" s="1"/>
  <c r="AK1171" i="1"/>
  <c r="AG1172" i="1"/>
  <c r="AH1172" i="1"/>
  <c r="AI1172" i="1"/>
  <c r="AJ1172" i="1"/>
  <c r="G1172" i="1" s="1"/>
  <c r="H1172" i="1" s="1"/>
  <c r="AK1172" i="1"/>
  <c r="AG1173" i="1"/>
  <c r="AH1173" i="1"/>
  <c r="AI1173" i="1"/>
  <c r="AJ1173" i="1"/>
  <c r="G1173" i="1" s="1"/>
  <c r="H1173" i="1" s="1"/>
  <c r="AK1173" i="1"/>
  <c r="AG1174" i="1"/>
  <c r="AH1174" i="1"/>
  <c r="AI1174" i="1"/>
  <c r="AJ1174" i="1"/>
  <c r="G1174" i="1" s="1"/>
  <c r="H1174" i="1" s="1"/>
  <c r="AK1174" i="1"/>
  <c r="AG1175" i="1"/>
  <c r="AH1175" i="1"/>
  <c r="AI1175" i="1"/>
  <c r="AJ1175" i="1"/>
  <c r="G1175" i="1" s="1"/>
  <c r="H1175" i="1" s="1"/>
  <c r="AK1175" i="1"/>
  <c r="AG1176" i="1"/>
  <c r="AH1176" i="1"/>
  <c r="AI1176" i="1"/>
  <c r="AJ1176" i="1"/>
  <c r="G1176" i="1" s="1"/>
  <c r="H1176" i="1" s="1"/>
  <c r="AK1176" i="1"/>
  <c r="AG1177" i="1"/>
  <c r="AH1177" i="1"/>
  <c r="AI1177" i="1"/>
  <c r="AJ1177" i="1"/>
  <c r="G1177" i="1" s="1"/>
  <c r="H1177" i="1" s="1"/>
  <c r="AK1177" i="1"/>
  <c r="AG1178" i="1"/>
  <c r="AH1178" i="1"/>
  <c r="AI1178" i="1"/>
  <c r="AJ1178" i="1"/>
  <c r="G1178" i="1" s="1"/>
  <c r="H1178" i="1" s="1"/>
  <c r="AK1178" i="1"/>
  <c r="AG1179" i="1"/>
  <c r="AH1179" i="1"/>
  <c r="AI1179" i="1"/>
  <c r="AJ1179" i="1"/>
  <c r="G1179" i="1" s="1"/>
  <c r="H1179" i="1" s="1"/>
  <c r="AK1179" i="1"/>
  <c r="AG1180" i="1"/>
  <c r="AH1180" i="1"/>
  <c r="AI1180" i="1"/>
  <c r="AJ1180" i="1"/>
  <c r="G1180" i="1" s="1"/>
  <c r="H1180" i="1" s="1"/>
  <c r="AK1180" i="1"/>
  <c r="AG1181" i="1"/>
  <c r="AH1181" i="1"/>
  <c r="AI1181" i="1"/>
  <c r="AJ1181" i="1"/>
  <c r="G1181" i="1" s="1"/>
  <c r="H1181" i="1" s="1"/>
  <c r="AK1181" i="1"/>
  <c r="AG1182" i="1"/>
  <c r="AH1182" i="1"/>
  <c r="AI1182" i="1"/>
  <c r="AJ1182" i="1"/>
  <c r="G1182" i="1" s="1"/>
  <c r="H1182" i="1" s="1"/>
  <c r="AK1182" i="1"/>
  <c r="AG1183" i="1"/>
  <c r="AH1183" i="1"/>
  <c r="AI1183" i="1"/>
  <c r="AJ1183" i="1"/>
  <c r="G1183" i="1" s="1"/>
  <c r="H1183" i="1" s="1"/>
  <c r="AK1183" i="1"/>
  <c r="AG1184" i="1"/>
  <c r="AH1184" i="1"/>
  <c r="AI1184" i="1"/>
  <c r="AJ1184" i="1"/>
  <c r="G1184" i="1" s="1"/>
  <c r="H1184" i="1" s="1"/>
  <c r="AK1184" i="1"/>
  <c r="AG1185" i="1"/>
  <c r="AH1185" i="1"/>
  <c r="AI1185" i="1"/>
  <c r="AJ1185" i="1"/>
  <c r="G1185" i="1" s="1"/>
  <c r="H1185" i="1" s="1"/>
  <c r="AK1185" i="1"/>
  <c r="AG1186" i="1"/>
  <c r="AH1186" i="1"/>
  <c r="AI1186" i="1"/>
  <c r="AJ1186" i="1"/>
  <c r="G1186" i="1" s="1"/>
  <c r="H1186" i="1" s="1"/>
  <c r="AK1186" i="1"/>
  <c r="AG1187" i="1"/>
  <c r="AH1187" i="1"/>
  <c r="AI1187" i="1"/>
  <c r="AJ1187" i="1"/>
  <c r="G1187" i="1" s="1"/>
  <c r="H1187" i="1" s="1"/>
  <c r="AK1187" i="1"/>
  <c r="AG1188" i="1"/>
  <c r="AH1188" i="1"/>
  <c r="AI1188" i="1"/>
  <c r="AJ1188" i="1"/>
  <c r="G1188" i="1" s="1"/>
  <c r="H1188" i="1" s="1"/>
  <c r="AK1188" i="1"/>
  <c r="AG1189" i="1"/>
  <c r="AH1189" i="1"/>
  <c r="AI1189" i="1"/>
  <c r="AJ1189" i="1"/>
  <c r="G1189" i="1" s="1"/>
  <c r="H1189" i="1" s="1"/>
  <c r="AK1189" i="1"/>
  <c r="AG1190" i="1"/>
  <c r="AH1190" i="1"/>
  <c r="AI1190" i="1"/>
  <c r="AJ1190" i="1"/>
  <c r="G1190" i="1" s="1"/>
  <c r="H1190" i="1" s="1"/>
  <c r="AK1190" i="1"/>
  <c r="AG1191" i="1"/>
  <c r="AH1191" i="1"/>
  <c r="AI1191" i="1"/>
  <c r="AJ1191" i="1"/>
  <c r="G1191" i="1" s="1"/>
  <c r="H1191" i="1" s="1"/>
  <c r="AK1191" i="1"/>
  <c r="AG1192" i="1"/>
  <c r="AH1192" i="1"/>
  <c r="AI1192" i="1"/>
  <c r="AJ1192" i="1"/>
  <c r="G1192" i="1" s="1"/>
  <c r="H1192" i="1" s="1"/>
  <c r="AK1192" i="1"/>
  <c r="AG1193" i="1"/>
  <c r="AH1193" i="1"/>
  <c r="AI1193" i="1"/>
  <c r="AJ1193" i="1"/>
  <c r="G1193" i="1" s="1"/>
  <c r="H1193" i="1" s="1"/>
  <c r="AK1193" i="1"/>
  <c r="AG1194" i="1"/>
  <c r="AH1194" i="1"/>
  <c r="AI1194" i="1"/>
  <c r="AJ1194" i="1"/>
  <c r="G1194" i="1" s="1"/>
  <c r="H1194" i="1" s="1"/>
  <c r="AK1194" i="1"/>
  <c r="AG1195" i="1"/>
  <c r="AH1195" i="1"/>
  <c r="AI1195" i="1"/>
  <c r="AJ1195" i="1"/>
  <c r="G1195" i="1" s="1"/>
  <c r="H1195" i="1" s="1"/>
  <c r="AK1195" i="1"/>
  <c r="AG1196" i="1"/>
  <c r="AH1196" i="1"/>
  <c r="AI1196" i="1"/>
  <c r="AJ1196" i="1"/>
  <c r="G1196" i="1" s="1"/>
  <c r="H1196" i="1" s="1"/>
  <c r="AK1196" i="1"/>
  <c r="AG1197" i="1"/>
  <c r="AH1197" i="1"/>
  <c r="AI1197" i="1"/>
  <c r="AJ1197" i="1"/>
  <c r="G1197" i="1" s="1"/>
  <c r="H1197" i="1" s="1"/>
  <c r="AK1197" i="1"/>
  <c r="AG1198" i="1"/>
  <c r="AH1198" i="1"/>
  <c r="AI1198" i="1"/>
  <c r="AJ1198" i="1"/>
  <c r="G1198" i="1" s="1"/>
  <c r="H1198" i="1" s="1"/>
  <c r="AK1198" i="1"/>
  <c r="AG1199" i="1"/>
  <c r="AH1199" i="1"/>
  <c r="AI1199" i="1"/>
  <c r="AJ1199" i="1"/>
  <c r="G1199" i="1" s="1"/>
  <c r="H1199" i="1" s="1"/>
  <c r="AK1199" i="1"/>
  <c r="AG1200" i="1"/>
  <c r="AH1200" i="1"/>
  <c r="AI1200" i="1"/>
  <c r="AJ1200" i="1"/>
  <c r="G1200" i="1" s="1"/>
  <c r="H1200" i="1" s="1"/>
  <c r="AK1200" i="1"/>
  <c r="AG1201" i="1"/>
  <c r="AH1201" i="1"/>
  <c r="AI1201" i="1"/>
  <c r="AJ1201" i="1"/>
  <c r="G1201" i="1" s="1"/>
  <c r="H1201" i="1" s="1"/>
  <c r="AK1201" i="1"/>
  <c r="AG1202" i="1"/>
  <c r="AH1202" i="1"/>
  <c r="AI1202" i="1"/>
  <c r="AJ1202" i="1"/>
  <c r="G1202" i="1" s="1"/>
  <c r="H1202" i="1" s="1"/>
  <c r="AK1202" i="1"/>
  <c r="AG1203" i="1"/>
  <c r="AH1203" i="1"/>
  <c r="AI1203" i="1"/>
  <c r="AJ1203" i="1"/>
  <c r="G1203" i="1" s="1"/>
  <c r="H1203" i="1" s="1"/>
  <c r="AK1203" i="1"/>
  <c r="AG1204" i="1"/>
  <c r="AH1204" i="1"/>
  <c r="AI1204" i="1"/>
  <c r="AJ1204" i="1"/>
  <c r="G1204" i="1" s="1"/>
  <c r="H1204" i="1" s="1"/>
  <c r="AK1204" i="1"/>
  <c r="AG1205" i="1"/>
  <c r="AH1205" i="1"/>
  <c r="AI1205" i="1"/>
  <c r="AJ1205" i="1"/>
  <c r="G1205" i="1" s="1"/>
  <c r="H1205" i="1" s="1"/>
  <c r="AK1205" i="1"/>
  <c r="AG1206" i="1"/>
  <c r="AH1206" i="1"/>
  <c r="AI1206" i="1"/>
  <c r="AJ1206" i="1"/>
  <c r="G1206" i="1" s="1"/>
  <c r="H1206" i="1" s="1"/>
  <c r="AK1206" i="1"/>
  <c r="AG1207" i="1"/>
  <c r="AH1207" i="1"/>
  <c r="AI1207" i="1"/>
  <c r="AJ1207" i="1"/>
  <c r="G1207" i="1" s="1"/>
  <c r="H1207" i="1" s="1"/>
  <c r="AK1207" i="1"/>
  <c r="AG1208" i="1"/>
  <c r="AH1208" i="1"/>
  <c r="AI1208" i="1"/>
  <c r="AJ1208" i="1"/>
  <c r="G1208" i="1" s="1"/>
  <c r="H1208" i="1" s="1"/>
  <c r="AK1208" i="1"/>
  <c r="AG1209" i="1"/>
  <c r="AH1209" i="1"/>
  <c r="AI1209" i="1"/>
  <c r="AJ1209" i="1"/>
  <c r="G1209" i="1" s="1"/>
  <c r="H1209" i="1" s="1"/>
  <c r="AK1209" i="1"/>
  <c r="AG1210" i="1"/>
  <c r="AH1210" i="1"/>
  <c r="AI1210" i="1"/>
  <c r="AJ1210" i="1"/>
  <c r="G1210" i="1" s="1"/>
  <c r="H1210" i="1" s="1"/>
  <c r="AK1210" i="1"/>
  <c r="AG1211" i="1"/>
  <c r="AH1211" i="1"/>
  <c r="AI1211" i="1"/>
  <c r="AJ1211" i="1"/>
  <c r="G1211" i="1" s="1"/>
  <c r="H1211" i="1" s="1"/>
  <c r="AK1211" i="1"/>
  <c r="AG1212" i="1"/>
  <c r="AH1212" i="1"/>
  <c r="AI1212" i="1"/>
  <c r="AJ1212" i="1"/>
  <c r="G1212" i="1" s="1"/>
  <c r="H1212" i="1" s="1"/>
  <c r="AK1212" i="1"/>
  <c r="AG1213" i="1"/>
  <c r="AH1213" i="1"/>
  <c r="AI1213" i="1"/>
  <c r="AJ1213" i="1"/>
  <c r="G1213" i="1" s="1"/>
  <c r="H1213" i="1" s="1"/>
  <c r="AK1213" i="1"/>
  <c r="AG1214" i="1"/>
  <c r="AH1214" i="1"/>
  <c r="AI1214" i="1"/>
  <c r="AJ1214" i="1"/>
  <c r="G1214" i="1" s="1"/>
  <c r="H1214" i="1" s="1"/>
  <c r="AK1214" i="1"/>
  <c r="AG1215" i="1"/>
  <c r="AH1215" i="1"/>
  <c r="AI1215" i="1"/>
  <c r="AJ1215" i="1"/>
  <c r="G1215" i="1" s="1"/>
  <c r="H1215" i="1" s="1"/>
  <c r="AK1215" i="1"/>
  <c r="AG1216" i="1"/>
  <c r="AH1216" i="1"/>
  <c r="AI1216" i="1"/>
  <c r="AJ1216" i="1"/>
  <c r="G1216" i="1" s="1"/>
  <c r="H1216" i="1" s="1"/>
  <c r="AK1216" i="1"/>
  <c r="AG1217" i="1"/>
  <c r="AH1217" i="1"/>
  <c r="AI1217" i="1"/>
  <c r="AJ1217" i="1"/>
  <c r="G1217" i="1" s="1"/>
  <c r="H1217" i="1" s="1"/>
  <c r="AK1217" i="1"/>
  <c r="AG1218" i="1"/>
  <c r="AH1218" i="1"/>
  <c r="AI1218" i="1"/>
  <c r="AJ1218" i="1"/>
  <c r="G1218" i="1" s="1"/>
  <c r="H1218" i="1" s="1"/>
  <c r="AK1218" i="1"/>
  <c r="AG1219" i="1"/>
  <c r="AH1219" i="1"/>
  <c r="AI1219" i="1"/>
  <c r="AJ1219" i="1"/>
  <c r="G1219" i="1" s="1"/>
  <c r="H1219" i="1" s="1"/>
  <c r="AK1219" i="1"/>
  <c r="AG1220" i="1"/>
  <c r="AH1220" i="1"/>
  <c r="AI1220" i="1"/>
  <c r="AJ1220" i="1"/>
  <c r="G1220" i="1" s="1"/>
  <c r="H1220" i="1" s="1"/>
  <c r="AK1220" i="1"/>
  <c r="AG1221" i="1"/>
  <c r="AH1221" i="1"/>
  <c r="AI1221" i="1"/>
  <c r="AJ1221" i="1"/>
  <c r="G1221" i="1" s="1"/>
  <c r="H1221" i="1" s="1"/>
  <c r="AK1221" i="1"/>
  <c r="AG1222" i="1"/>
  <c r="AH1222" i="1"/>
  <c r="AI1222" i="1"/>
  <c r="AJ1222" i="1"/>
  <c r="G1222" i="1" s="1"/>
  <c r="H1222" i="1" s="1"/>
  <c r="AK1222" i="1"/>
  <c r="AG1223" i="1"/>
  <c r="AH1223" i="1"/>
  <c r="AI1223" i="1"/>
  <c r="AJ1223" i="1"/>
  <c r="G1223" i="1" s="1"/>
  <c r="H1223" i="1" s="1"/>
  <c r="AK1223" i="1"/>
  <c r="AG1224" i="1"/>
  <c r="AH1224" i="1"/>
  <c r="AI1224" i="1"/>
  <c r="AJ1224" i="1"/>
  <c r="G1224" i="1" s="1"/>
  <c r="H1224" i="1" s="1"/>
  <c r="AK1224" i="1"/>
  <c r="AG1225" i="1"/>
  <c r="AH1225" i="1"/>
  <c r="AI1225" i="1"/>
  <c r="AJ1225" i="1"/>
  <c r="G1225" i="1" s="1"/>
  <c r="H1225" i="1" s="1"/>
  <c r="AK1225" i="1"/>
  <c r="AG1226" i="1"/>
  <c r="AH1226" i="1"/>
  <c r="AI1226" i="1"/>
  <c r="AJ1226" i="1"/>
  <c r="G1226" i="1" s="1"/>
  <c r="H1226" i="1" s="1"/>
  <c r="AK1226" i="1"/>
  <c r="AG1227" i="1"/>
  <c r="AH1227" i="1"/>
  <c r="AI1227" i="1"/>
  <c r="AJ1227" i="1"/>
  <c r="G1227" i="1" s="1"/>
  <c r="H1227" i="1" s="1"/>
  <c r="AK1227" i="1"/>
  <c r="AG1228" i="1"/>
  <c r="AH1228" i="1"/>
  <c r="AI1228" i="1"/>
  <c r="AJ1228" i="1"/>
  <c r="G1228" i="1" s="1"/>
  <c r="H1228" i="1" s="1"/>
  <c r="AK1228" i="1"/>
  <c r="AG1229" i="1"/>
  <c r="AH1229" i="1"/>
  <c r="AI1229" i="1"/>
  <c r="AJ1229" i="1"/>
  <c r="G1229" i="1" s="1"/>
  <c r="H1229" i="1" s="1"/>
  <c r="AK1229" i="1"/>
  <c r="AG1230" i="1"/>
  <c r="AH1230" i="1"/>
  <c r="AI1230" i="1"/>
  <c r="AJ1230" i="1"/>
  <c r="G1230" i="1" s="1"/>
  <c r="H1230" i="1" s="1"/>
  <c r="AK1230" i="1"/>
  <c r="AG1231" i="1"/>
  <c r="AH1231" i="1"/>
  <c r="AI1231" i="1"/>
  <c r="AJ1231" i="1"/>
  <c r="G1231" i="1" s="1"/>
  <c r="H1231" i="1" s="1"/>
  <c r="AK1231" i="1"/>
  <c r="AG1232" i="1"/>
  <c r="AH1232" i="1"/>
  <c r="AI1232" i="1"/>
  <c r="AJ1232" i="1"/>
  <c r="G1232" i="1" s="1"/>
  <c r="H1232" i="1" s="1"/>
  <c r="AK1232" i="1"/>
  <c r="AG1233" i="1"/>
  <c r="AH1233" i="1"/>
  <c r="AI1233" i="1"/>
  <c r="AJ1233" i="1"/>
  <c r="G1233" i="1" s="1"/>
  <c r="H1233" i="1" s="1"/>
  <c r="AK1233" i="1"/>
  <c r="AG1234" i="1"/>
  <c r="AH1234" i="1"/>
  <c r="AI1234" i="1"/>
  <c r="AJ1234" i="1"/>
  <c r="G1234" i="1" s="1"/>
  <c r="H1234" i="1" s="1"/>
  <c r="AK1234" i="1"/>
  <c r="AG1235" i="1"/>
  <c r="AH1235" i="1"/>
  <c r="AI1235" i="1"/>
  <c r="AJ1235" i="1"/>
  <c r="G1235" i="1" s="1"/>
  <c r="H1235" i="1" s="1"/>
  <c r="AK1235" i="1"/>
  <c r="AG1236" i="1"/>
  <c r="AH1236" i="1"/>
  <c r="AI1236" i="1"/>
  <c r="AJ1236" i="1"/>
  <c r="G1236" i="1" s="1"/>
  <c r="H1236" i="1" s="1"/>
  <c r="AK1236" i="1"/>
  <c r="AG1237" i="1"/>
  <c r="AH1237" i="1"/>
  <c r="AI1237" i="1"/>
  <c r="AJ1237" i="1"/>
  <c r="G1237" i="1" s="1"/>
  <c r="H1237" i="1" s="1"/>
  <c r="AK1237" i="1"/>
  <c r="AG1238" i="1"/>
  <c r="AH1238" i="1"/>
  <c r="AI1238" i="1"/>
  <c r="AJ1238" i="1"/>
  <c r="G1238" i="1" s="1"/>
  <c r="H1238" i="1" s="1"/>
  <c r="AK1238" i="1"/>
  <c r="AG1239" i="1"/>
  <c r="AH1239" i="1"/>
  <c r="AI1239" i="1"/>
  <c r="AJ1239" i="1"/>
  <c r="G1239" i="1" s="1"/>
  <c r="H1239" i="1" s="1"/>
  <c r="AK1239" i="1"/>
  <c r="AG1240" i="1"/>
  <c r="AH1240" i="1"/>
  <c r="AI1240" i="1"/>
  <c r="AJ1240" i="1"/>
  <c r="G1240" i="1" s="1"/>
  <c r="H1240" i="1" s="1"/>
  <c r="AK1240" i="1"/>
  <c r="AG1241" i="1"/>
  <c r="AH1241" i="1"/>
  <c r="AI1241" i="1"/>
  <c r="AJ1241" i="1"/>
  <c r="G1241" i="1" s="1"/>
  <c r="H1241" i="1" s="1"/>
  <c r="AK1241" i="1"/>
  <c r="AG1242" i="1"/>
  <c r="AH1242" i="1"/>
  <c r="AI1242" i="1"/>
  <c r="AJ1242" i="1"/>
  <c r="G1242" i="1" s="1"/>
  <c r="H1242" i="1" s="1"/>
  <c r="AK1242" i="1"/>
  <c r="AG1243" i="1"/>
  <c r="AH1243" i="1"/>
  <c r="AI1243" i="1"/>
  <c r="AJ1243" i="1"/>
  <c r="G1243" i="1" s="1"/>
  <c r="H1243" i="1" s="1"/>
  <c r="AK1243" i="1"/>
  <c r="AG1244" i="1"/>
  <c r="AH1244" i="1"/>
  <c r="AI1244" i="1"/>
  <c r="AJ1244" i="1"/>
  <c r="G1244" i="1" s="1"/>
  <c r="H1244" i="1" s="1"/>
  <c r="AK1244" i="1"/>
  <c r="AG1245" i="1"/>
  <c r="AH1245" i="1"/>
  <c r="AI1245" i="1"/>
  <c r="AJ1245" i="1"/>
  <c r="G1245" i="1" s="1"/>
  <c r="H1245" i="1" s="1"/>
  <c r="AK1245" i="1"/>
  <c r="AG1246" i="1"/>
  <c r="AH1246" i="1"/>
  <c r="AI1246" i="1"/>
  <c r="AJ1246" i="1"/>
  <c r="G1246" i="1" s="1"/>
  <c r="H1246" i="1" s="1"/>
  <c r="AK1246" i="1"/>
  <c r="AG1247" i="1"/>
  <c r="AH1247" i="1"/>
  <c r="AI1247" i="1"/>
  <c r="AJ1247" i="1"/>
  <c r="G1247" i="1" s="1"/>
  <c r="H1247" i="1" s="1"/>
  <c r="AK1247" i="1"/>
  <c r="AG1248" i="1"/>
  <c r="AH1248" i="1"/>
  <c r="AI1248" i="1"/>
  <c r="AJ1248" i="1"/>
  <c r="G1248" i="1" s="1"/>
  <c r="H1248" i="1" s="1"/>
  <c r="AK1248" i="1"/>
  <c r="AG1249" i="1"/>
  <c r="AH1249" i="1"/>
  <c r="AI1249" i="1"/>
  <c r="AJ1249" i="1"/>
  <c r="G1249" i="1" s="1"/>
  <c r="H1249" i="1" s="1"/>
  <c r="AK1249" i="1"/>
  <c r="AG1250" i="1"/>
  <c r="AH1250" i="1"/>
  <c r="AI1250" i="1"/>
  <c r="AJ1250" i="1"/>
  <c r="G1250" i="1" s="1"/>
  <c r="H1250" i="1" s="1"/>
  <c r="AK1250" i="1"/>
  <c r="AG1251" i="1"/>
  <c r="AH1251" i="1"/>
  <c r="AI1251" i="1"/>
  <c r="AJ1251" i="1"/>
  <c r="G1251" i="1" s="1"/>
  <c r="H1251" i="1" s="1"/>
  <c r="AK1251" i="1"/>
  <c r="AG1252" i="1"/>
  <c r="AH1252" i="1"/>
  <c r="AI1252" i="1"/>
  <c r="AJ1252" i="1"/>
  <c r="G1252" i="1" s="1"/>
  <c r="H1252" i="1" s="1"/>
  <c r="AK1252" i="1"/>
  <c r="AG1253" i="1"/>
  <c r="AH1253" i="1"/>
  <c r="AI1253" i="1"/>
  <c r="AJ1253" i="1"/>
  <c r="G1253" i="1" s="1"/>
  <c r="H1253" i="1" s="1"/>
  <c r="AK1253" i="1"/>
  <c r="AG1254" i="1"/>
  <c r="AH1254" i="1"/>
  <c r="AI1254" i="1"/>
  <c r="AJ1254" i="1"/>
  <c r="G1254" i="1" s="1"/>
  <c r="H1254" i="1" s="1"/>
  <c r="AK1254" i="1"/>
  <c r="AG1255" i="1"/>
  <c r="AH1255" i="1"/>
  <c r="AI1255" i="1"/>
  <c r="AJ1255" i="1"/>
  <c r="G1255" i="1" s="1"/>
  <c r="H1255" i="1" s="1"/>
  <c r="AK1255" i="1"/>
  <c r="AG1256" i="1"/>
  <c r="AH1256" i="1"/>
  <c r="AI1256" i="1"/>
  <c r="AJ1256" i="1"/>
  <c r="G1256" i="1" s="1"/>
  <c r="H1256" i="1" s="1"/>
  <c r="AK1256" i="1"/>
  <c r="AG1257" i="1"/>
  <c r="AH1257" i="1"/>
  <c r="AI1257" i="1"/>
  <c r="AJ1257" i="1"/>
  <c r="G1257" i="1" s="1"/>
  <c r="H1257" i="1" s="1"/>
  <c r="AK1257" i="1"/>
  <c r="AG1258" i="1"/>
  <c r="AH1258" i="1"/>
  <c r="AI1258" i="1"/>
  <c r="AJ1258" i="1"/>
  <c r="G1258" i="1" s="1"/>
  <c r="H1258" i="1" s="1"/>
  <c r="AK1258" i="1"/>
  <c r="AG1259" i="1"/>
  <c r="AH1259" i="1"/>
  <c r="AI1259" i="1"/>
  <c r="AJ1259" i="1"/>
  <c r="G1259" i="1" s="1"/>
  <c r="H1259" i="1" s="1"/>
  <c r="AK1259" i="1"/>
  <c r="AG1260" i="1"/>
  <c r="AH1260" i="1"/>
  <c r="AI1260" i="1"/>
  <c r="AJ1260" i="1"/>
  <c r="G1260" i="1" s="1"/>
  <c r="H1260" i="1" s="1"/>
  <c r="AK1260" i="1"/>
  <c r="AG1261" i="1"/>
  <c r="AH1261" i="1"/>
  <c r="AI1261" i="1"/>
  <c r="AJ1261" i="1"/>
  <c r="G1261" i="1" s="1"/>
  <c r="H1261" i="1" s="1"/>
  <c r="AK1261" i="1"/>
  <c r="AG1262" i="1"/>
  <c r="AH1262" i="1"/>
  <c r="AI1262" i="1"/>
  <c r="AJ1262" i="1"/>
  <c r="G1262" i="1" s="1"/>
  <c r="H1262" i="1" s="1"/>
  <c r="AK1262" i="1"/>
  <c r="AG1263" i="1"/>
  <c r="AH1263" i="1"/>
  <c r="AI1263" i="1"/>
  <c r="AJ1263" i="1"/>
  <c r="G1263" i="1" s="1"/>
  <c r="H1263" i="1" s="1"/>
  <c r="AK1263" i="1"/>
  <c r="AG1264" i="1"/>
  <c r="AH1264" i="1"/>
  <c r="AI1264" i="1"/>
  <c r="AJ1264" i="1"/>
  <c r="G1264" i="1" s="1"/>
  <c r="H1264" i="1" s="1"/>
  <c r="AK1264" i="1"/>
  <c r="AG1265" i="1"/>
  <c r="AH1265" i="1"/>
  <c r="AI1265" i="1"/>
  <c r="AJ1265" i="1"/>
  <c r="G1265" i="1" s="1"/>
  <c r="H1265" i="1" s="1"/>
  <c r="AK1265" i="1"/>
  <c r="AG1266" i="1"/>
  <c r="AH1266" i="1"/>
  <c r="AI1266" i="1"/>
  <c r="AJ1266" i="1"/>
  <c r="G1266" i="1" s="1"/>
  <c r="H1266" i="1" s="1"/>
  <c r="AK1266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AD1102" i="1"/>
  <c r="AG1102" i="1"/>
  <c r="AH1102" i="1"/>
  <c r="AI1102" i="1"/>
  <c r="AJ1102" i="1"/>
  <c r="G1102" i="1" s="1"/>
  <c r="H1102" i="1" s="1"/>
  <c r="AK1102" i="1"/>
  <c r="AD1103" i="1"/>
  <c r="AG1103" i="1"/>
  <c r="AH1103" i="1"/>
  <c r="AI1103" i="1"/>
  <c r="AJ1103" i="1"/>
  <c r="G1103" i="1" s="1"/>
  <c r="H1103" i="1" s="1"/>
  <c r="AK1103" i="1"/>
  <c r="U1102" i="1"/>
  <c r="U1103" i="1"/>
  <c r="O1103" i="1"/>
  <c r="O1102" i="1"/>
  <c r="AD1100" i="1"/>
  <c r="AG1100" i="1"/>
  <c r="AH1100" i="1"/>
  <c r="AI1100" i="1"/>
  <c r="AJ1100" i="1"/>
  <c r="G1100" i="1" s="1"/>
  <c r="H1100" i="1" s="1"/>
  <c r="AK1100" i="1"/>
  <c r="AD1101" i="1"/>
  <c r="AG1101" i="1"/>
  <c r="AH1101" i="1"/>
  <c r="AI1101" i="1"/>
  <c r="AJ1101" i="1"/>
  <c r="G1101" i="1" s="1"/>
  <c r="H1101" i="1" s="1"/>
  <c r="AK1101" i="1"/>
  <c r="A389" i="20"/>
  <c r="U1100" i="1"/>
  <c r="U1101" i="1"/>
  <c r="O1100" i="1"/>
  <c r="O1101" i="1"/>
  <c r="A388" i="20"/>
  <c r="AD1076" i="1"/>
  <c r="AG1076" i="1"/>
  <c r="AH1076" i="1"/>
  <c r="AI1076" i="1"/>
  <c r="AJ1076" i="1"/>
  <c r="AK1076" i="1"/>
  <c r="AD1077" i="1"/>
  <c r="AG1077" i="1"/>
  <c r="AH1077" i="1"/>
  <c r="AI1077" i="1"/>
  <c r="AJ1077" i="1"/>
  <c r="G1077" i="1" s="1"/>
  <c r="H1077" i="1" s="1"/>
  <c r="AK1077" i="1"/>
  <c r="AD1078" i="1"/>
  <c r="AG1078" i="1"/>
  <c r="AH1078" i="1"/>
  <c r="AI1078" i="1"/>
  <c r="AJ1078" i="1"/>
  <c r="G1078" i="1" s="1"/>
  <c r="H1078" i="1" s="1"/>
  <c r="AK1078" i="1"/>
  <c r="AD1079" i="1"/>
  <c r="AG1079" i="1"/>
  <c r="AH1079" i="1"/>
  <c r="AI1079" i="1"/>
  <c r="AJ1079" i="1"/>
  <c r="G1079" i="1" s="1"/>
  <c r="H1079" i="1" s="1"/>
  <c r="AK1079" i="1"/>
  <c r="AD1080" i="1"/>
  <c r="AG1080" i="1"/>
  <c r="AH1080" i="1"/>
  <c r="AI1080" i="1"/>
  <c r="AJ1080" i="1"/>
  <c r="G1080" i="1" s="1"/>
  <c r="H1080" i="1" s="1"/>
  <c r="AK1080" i="1"/>
  <c r="AD1081" i="1"/>
  <c r="AG1081" i="1"/>
  <c r="AH1081" i="1"/>
  <c r="AI1081" i="1"/>
  <c r="AJ1081" i="1"/>
  <c r="G1081" i="1" s="1"/>
  <c r="H1081" i="1" s="1"/>
  <c r="AK1081" i="1"/>
  <c r="AD1082" i="1"/>
  <c r="AG1082" i="1"/>
  <c r="AH1082" i="1"/>
  <c r="AI1082" i="1"/>
  <c r="AJ1082" i="1"/>
  <c r="G1082" i="1" s="1"/>
  <c r="H1082" i="1" s="1"/>
  <c r="AK1082" i="1"/>
  <c r="AD1083" i="1"/>
  <c r="AG1083" i="1"/>
  <c r="AH1083" i="1"/>
  <c r="AI1083" i="1"/>
  <c r="AJ1083" i="1"/>
  <c r="G1083" i="1" s="1"/>
  <c r="H1083" i="1" s="1"/>
  <c r="AK1083" i="1"/>
  <c r="AD1084" i="1"/>
  <c r="AG1084" i="1"/>
  <c r="AH1084" i="1"/>
  <c r="AI1084" i="1"/>
  <c r="AJ1084" i="1"/>
  <c r="G1084" i="1" s="1"/>
  <c r="H1084" i="1" s="1"/>
  <c r="AK1084" i="1"/>
  <c r="AD1085" i="1"/>
  <c r="AG1085" i="1"/>
  <c r="AH1085" i="1"/>
  <c r="AI1085" i="1"/>
  <c r="AJ1085" i="1"/>
  <c r="G1085" i="1" s="1"/>
  <c r="H1085" i="1" s="1"/>
  <c r="AK1085" i="1"/>
  <c r="AD1086" i="1"/>
  <c r="AG1086" i="1"/>
  <c r="AH1086" i="1"/>
  <c r="AI1086" i="1"/>
  <c r="AJ1086" i="1"/>
  <c r="G1086" i="1" s="1"/>
  <c r="H1086" i="1" s="1"/>
  <c r="AK1086" i="1"/>
  <c r="AD1087" i="1"/>
  <c r="AG1087" i="1"/>
  <c r="AH1087" i="1"/>
  <c r="AI1087" i="1"/>
  <c r="AJ1087" i="1"/>
  <c r="G1087" i="1" s="1"/>
  <c r="H1087" i="1" s="1"/>
  <c r="AK1087" i="1"/>
  <c r="AD1088" i="1"/>
  <c r="AG1088" i="1"/>
  <c r="AH1088" i="1"/>
  <c r="AI1088" i="1"/>
  <c r="AJ1088" i="1"/>
  <c r="G1088" i="1" s="1"/>
  <c r="H1088" i="1" s="1"/>
  <c r="AK1088" i="1"/>
  <c r="AD1089" i="1"/>
  <c r="AG1089" i="1"/>
  <c r="AH1089" i="1"/>
  <c r="AI1089" i="1"/>
  <c r="AJ1089" i="1"/>
  <c r="G1089" i="1" s="1"/>
  <c r="H1089" i="1" s="1"/>
  <c r="AK1089" i="1"/>
  <c r="AD1090" i="1"/>
  <c r="AG1090" i="1"/>
  <c r="AH1090" i="1"/>
  <c r="AI1090" i="1"/>
  <c r="AJ1090" i="1"/>
  <c r="G1090" i="1" s="1"/>
  <c r="H1090" i="1" s="1"/>
  <c r="AK1090" i="1"/>
  <c r="AD1091" i="1"/>
  <c r="AG1091" i="1"/>
  <c r="AH1091" i="1"/>
  <c r="AI1091" i="1"/>
  <c r="AJ1091" i="1"/>
  <c r="G1091" i="1" s="1"/>
  <c r="H1091" i="1" s="1"/>
  <c r="AK1091" i="1"/>
  <c r="AD1092" i="1"/>
  <c r="AG1092" i="1"/>
  <c r="AH1092" i="1"/>
  <c r="AI1092" i="1"/>
  <c r="AJ1092" i="1"/>
  <c r="G1092" i="1" s="1"/>
  <c r="H1092" i="1" s="1"/>
  <c r="AK1092" i="1"/>
  <c r="AD1093" i="1"/>
  <c r="AG1093" i="1"/>
  <c r="AH1093" i="1"/>
  <c r="AI1093" i="1"/>
  <c r="AJ1093" i="1"/>
  <c r="G1093" i="1" s="1"/>
  <c r="H1093" i="1" s="1"/>
  <c r="AK1093" i="1"/>
  <c r="AD1094" i="1"/>
  <c r="AG1094" i="1"/>
  <c r="AH1094" i="1"/>
  <c r="AI1094" i="1"/>
  <c r="AJ1094" i="1"/>
  <c r="G1094" i="1" s="1"/>
  <c r="H1094" i="1" s="1"/>
  <c r="AK1094" i="1"/>
  <c r="AD1095" i="1"/>
  <c r="AG1095" i="1"/>
  <c r="AH1095" i="1"/>
  <c r="AI1095" i="1"/>
  <c r="AJ1095" i="1"/>
  <c r="G1095" i="1" s="1"/>
  <c r="H1095" i="1" s="1"/>
  <c r="AK1095" i="1"/>
  <c r="AD1096" i="1"/>
  <c r="AG1096" i="1"/>
  <c r="AH1096" i="1"/>
  <c r="AI1096" i="1"/>
  <c r="AJ1096" i="1"/>
  <c r="G1096" i="1" s="1"/>
  <c r="H1096" i="1" s="1"/>
  <c r="AK1096" i="1"/>
  <c r="AD1097" i="1"/>
  <c r="AG1097" i="1"/>
  <c r="AH1097" i="1"/>
  <c r="AI1097" i="1"/>
  <c r="AJ1097" i="1"/>
  <c r="G1097" i="1" s="1"/>
  <c r="H1097" i="1" s="1"/>
  <c r="AK1097" i="1"/>
  <c r="AD1098" i="1"/>
  <c r="AG1098" i="1"/>
  <c r="AH1098" i="1"/>
  <c r="AI1098" i="1"/>
  <c r="AJ1098" i="1"/>
  <c r="G1098" i="1" s="1"/>
  <c r="H1098" i="1" s="1"/>
  <c r="AK1098" i="1"/>
  <c r="AD1099" i="1"/>
  <c r="AG1099" i="1"/>
  <c r="AH1099" i="1"/>
  <c r="AI1099" i="1"/>
  <c r="AJ1099" i="1"/>
  <c r="G1099" i="1" s="1"/>
  <c r="H1099" i="1" s="1"/>
  <c r="AK1099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G1076" i="1"/>
  <c r="H1076" i="1" s="1"/>
  <c r="O95" i="1"/>
  <c r="U95" i="1"/>
  <c r="AD95" i="1"/>
  <c r="AG95" i="1"/>
  <c r="AH95" i="1"/>
  <c r="AI95" i="1"/>
  <c r="AJ95" i="1"/>
  <c r="G95" i="1" s="1"/>
  <c r="H95" i="1" s="1"/>
  <c r="AK95" i="1"/>
  <c r="AD1075" i="1"/>
  <c r="AG1075" i="1"/>
  <c r="AH1075" i="1"/>
  <c r="AI1075" i="1"/>
  <c r="AJ1075" i="1"/>
  <c r="G1075" i="1" s="1"/>
  <c r="H1075" i="1" s="1"/>
  <c r="AK1075" i="1"/>
  <c r="U1075" i="1"/>
  <c r="O1075" i="1"/>
  <c r="A387" i="20"/>
  <c r="AD1074" i="1"/>
  <c r="AG1074" i="1"/>
  <c r="AH1074" i="1"/>
  <c r="AI1074" i="1"/>
  <c r="AJ1074" i="1"/>
  <c r="AK1074" i="1"/>
  <c r="U1074" i="1"/>
  <c r="O1074" i="1"/>
  <c r="H1074" i="1"/>
  <c r="O1073" i="1"/>
  <c r="U1073" i="1"/>
  <c r="AD1073" i="1"/>
  <c r="AG1073" i="1"/>
  <c r="AH1073" i="1"/>
  <c r="AI1073" i="1"/>
  <c r="AJ1073" i="1"/>
  <c r="G1073" i="1" s="1"/>
  <c r="H1073" i="1" s="1"/>
  <c r="AK1073" i="1"/>
  <c r="AD1067" i="1"/>
  <c r="AG1067" i="1"/>
  <c r="AH1067" i="1"/>
  <c r="AI1067" i="1"/>
  <c r="AJ1067" i="1"/>
  <c r="G1067" i="1" s="1"/>
  <c r="H1067" i="1" s="1"/>
  <c r="AK1067" i="1"/>
  <c r="AD1068" i="1"/>
  <c r="AG1068" i="1"/>
  <c r="AH1068" i="1"/>
  <c r="AI1068" i="1"/>
  <c r="AJ1068" i="1"/>
  <c r="G1068" i="1" s="1"/>
  <c r="H1068" i="1" s="1"/>
  <c r="AK1068" i="1"/>
  <c r="AD1069" i="1"/>
  <c r="AG1069" i="1"/>
  <c r="AH1069" i="1"/>
  <c r="AI1069" i="1"/>
  <c r="AJ1069" i="1"/>
  <c r="G1069" i="1" s="1"/>
  <c r="H1069" i="1" s="1"/>
  <c r="AK1069" i="1"/>
  <c r="AD1070" i="1"/>
  <c r="AG1070" i="1"/>
  <c r="AH1070" i="1"/>
  <c r="AI1070" i="1"/>
  <c r="AJ1070" i="1"/>
  <c r="G1070" i="1" s="1"/>
  <c r="H1070" i="1" s="1"/>
  <c r="AK1070" i="1"/>
  <c r="AD1071" i="1"/>
  <c r="AG1071" i="1"/>
  <c r="AH1071" i="1"/>
  <c r="AI1071" i="1"/>
  <c r="AJ1071" i="1"/>
  <c r="G1071" i="1" s="1"/>
  <c r="H1071" i="1" s="1"/>
  <c r="AK1071" i="1"/>
  <c r="AD1072" i="1"/>
  <c r="AG1072" i="1"/>
  <c r="AH1072" i="1"/>
  <c r="AI1072" i="1"/>
  <c r="AJ1072" i="1"/>
  <c r="G1072" i="1" s="1"/>
  <c r="H1072" i="1" s="1"/>
  <c r="AK1072" i="1"/>
  <c r="O1072" i="1"/>
  <c r="U1072" i="1"/>
  <c r="U1067" i="1"/>
  <c r="U1068" i="1"/>
  <c r="U1069" i="1"/>
  <c r="U1070" i="1"/>
  <c r="U1071" i="1"/>
  <c r="O1067" i="1"/>
  <c r="O1068" i="1"/>
  <c r="O1069" i="1"/>
  <c r="O1070" i="1"/>
  <c r="O1071" i="1"/>
  <c r="AD1063" i="1"/>
  <c r="AG1063" i="1"/>
  <c r="AH1063" i="1"/>
  <c r="AI1063" i="1"/>
  <c r="AJ1063" i="1"/>
  <c r="AK1063" i="1"/>
  <c r="AD1064" i="1"/>
  <c r="AG1064" i="1"/>
  <c r="AH1064" i="1"/>
  <c r="AI1064" i="1"/>
  <c r="AJ1064" i="1"/>
  <c r="G1064" i="1" s="1"/>
  <c r="H1064" i="1" s="1"/>
  <c r="AK1064" i="1"/>
  <c r="AD1065" i="1"/>
  <c r="AG1065" i="1"/>
  <c r="AH1065" i="1"/>
  <c r="AI1065" i="1"/>
  <c r="AJ1065" i="1"/>
  <c r="G1065" i="1" s="1"/>
  <c r="H1065" i="1" s="1"/>
  <c r="AK1065" i="1"/>
  <c r="AD1066" i="1"/>
  <c r="AG1066" i="1"/>
  <c r="AH1066" i="1"/>
  <c r="AI1066" i="1"/>
  <c r="AJ1066" i="1"/>
  <c r="G1066" i="1" s="1"/>
  <c r="H1066" i="1" s="1"/>
  <c r="AK1066" i="1"/>
  <c r="U1063" i="1"/>
  <c r="U1064" i="1"/>
  <c r="U1065" i="1"/>
  <c r="U1066" i="1"/>
  <c r="O1063" i="1"/>
  <c r="O1064" i="1"/>
  <c r="O1065" i="1"/>
  <c r="O1066" i="1"/>
  <c r="G1063" i="1"/>
  <c r="H1063" i="1" s="1"/>
  <c r="O1061" i="1"/>
  <c r="U1061" i="1"/>
  <c r="AD1061" i="1"/>
  <c r="AG1061" i="1"/>
  <c r="AH1061" i="1"/>
  <c r="AI1061" i="1"/>
  <c r="AJ1061" i="1"/>
  <c r="G1061" i="1" s="1"/>
  <c r="H1061" i="1" s="1"/>
  <c r="AK1061" i="1"/>
  <c r="O1062" i="1"/>
  <c r="U1062" i="1"/>
  <c r="AD1062" i="1"/>
  <c r="AG1062" i="1"/>
  <c r="AH1062" i="1"/>
  <c r="AI1062" i="1"/>
  <c r="AJ1062" i="1"/>
  <c r="G1062" i="1" s="1"/>
  <c r="H1062" i="1" s="1"/>
  <c r="AK1062" i="1"/>
  <c r="U1059" i="1"/>
  <c r="AD1059" i="1"/>
  <c r="AG1059" i="1"/>
  <c r="AH1059" i="1"/>
  <c r="AI1059" i="1"/>
  <c r="AJ1059" i="1"/>
  <c r="G1059" i="1" s="1"/>
  <c r="H1059" i="1" s="1"/>
  <c r="AK1059" i="1"/>
  <c r="U1060" i="1"/>
  <c r="AD1060" i="1"/>
  <c r="AG1060" i="1"/>
  <c r="AH1060" i="1"/>
  <c r="AI1060" i="1"/>
  <c r="AJ1060" i="1"/>
  <c r="G1060" i="1" s="1"/>
  <c r="H1060" i="1" s="1"/>
  <c r="AK1060" i="1"/>
  <c r="O1059" i="1"/>
  <c r="O1060" i="1"/>
  <c r="U1057" i="1"/>
  <c r="AD1057" i="1"/>
  <c r="AG1057" i="1"/>
  <c r="AH1057" i="1"/>
  <c r="AI1057" i="1"/>
  <c r="AJ1057" i="1"/>
  <c r="G1057" i="1" s="1"/>
  <c r="H1057" i="1" s="1"/>
  <c r="AK1057" i="1"/>
  <c r="U1058" i="1"/>
  <c r="AD1058" i="1"/>
  <c r="AG1058" i="1"/>
  <c r="AH1058" i="1"/>
  <c r="AI1058" i="1"/>
  <c r="AJ1058" i="1"/>
  <c r="G1058" i="1" s="1"/>
  <c r="H1058" i="1" s="1"/>
  <c r="AK1058" i="1"/>
  <c r="O1058" i="1"/>
  <c r="O1057" i="1"/>
  <c r="U1054" i="1"/>
  <c r="AD1054" i="1"/>
  <c r="AG1054" i="1"/>
  <c r="AH1054" i="1"/>
  <c r="AI1054" i="1"/>
  <c r="AJ1054" i="1"/>
  <c r="G1054" i="1" s="1"/>
  <c r="H1054" i="1" s="1"/>
  <c r="AK1054" i="1"/>
  <c r="U1055" i="1"/>
  <c r="AD1055" i="1"/>
  <c r="AG1055" i="1"/>
  <c r="AH1055" i="1"/>
  <c r="AI1055" i="1"/>
  <c r="AJ1055" i="1"/>
  <c r="G1055" i="1" s="1"/>
  <c r="H1055" i="1" s="1"/>
  <c r="AK1055" i="1"/>
  <c r="U1056" i="1"/>
  <c r="AD1056" i="1"/>
  <c r="AG1056" i="1"/>
  <c r="AH1056" i="1"/>
  <c r="AI1056" i="1"/>
  <c r="AJ1056" i="1"/>
  <c r="G1056" i="1" s="1"/>
  <c r="H1056" i="1" s="1"/>
  <c r="AK1056" i="1"/>
  <c r="O1056" i="1"/>
  <c r="O1055" i="1"/>
  <c r="O1054" i="1"/>
  <c r="AD1053" i="1"/>
  <c r="AG1053" i="1"/>
  <c r="AH1053" i="1"/>
  <c r="AI1053" i="1"/>
  <c r="AJ1053" i="1"/>
  <c r="G1053" i="1" s="1"/>
  <c r="H1053" i="1" s="1"/>
  <c r="AK1053" i="1"/>
  <c r="U1053" i="1"/>
  <c r="O1053" i="1"/>
  <c r="AD1052" i="1"/>
  <c r="AG1052" i="1"/>
  <c r="AI1052" i="1"/>
  <c r="AJ1052" i="1"/>
  <c r="G1052" i="1" s="1"/>
  <c r="H1052" i="1" s="1"/>
  <c r="AK1052" i="1"/>
  <c r="O1052" i="1"/>
  <c r="AD1051" i="1"/>
  <c r="AG1051" i="1"/>
  <c r="AH1051" i="1"/>
  <c r="AI1051" i="1"/>
  <c r="AJ1051" i="1"/>
  <c r="G1051" i="1" s="1"/>
  <c r="H1051" i="1" s="1"/>
  <c r="AK1051" i="1"/>
  <c r="U1051" i="1"/>
  <c r="O1051" i="1"/>
  <c r="AG1037" i="1"/>
  <c r="AH1037" i="1"/>
  <c r="AI1037" i="1"/>
  <c r="AJ1037" i="1"/>
  <c r="G1037" i="1" s="1"/>
  <c r="H1037" i="1" s="1"/>
  <c r="AK1037" i="1"/>
  <c r="AG1038" i="1"/>
  <c r="AH1038" i="1"/>
  <c r="AI1038" i="1"/>
  <c r="AJ1038" i="1"/>
  <c r="G1038" i="1" s="1"/>
  <c r="H1038" i="1" s="1"/>
  <c r="AK1038" i="1"/>
  <c r="AG1039" i="1"/>
  <c r="AH1039" i="1"/>
  <c r="AI1039" i="1"/>
  <c r="AJ1039" i="1"/>
  <c r="G1039" i="1" s="1"/>
  <c r="H1039" i="1" s="1"/>
  <c r="AK1039" i="1"/>
  <c r="AG1040" i="1"/>
  <c r="AH1040" i="1"/>
  <c r="AI1040" i="1"/>
  <c r="AJ1040" i="1"/>
  <c r="AK1040" i="1"/>
  <c r="AG1041" i="1"/>
  <c r="AH1041" i="1"/>
  <c r="AI1041" i="1"/>
  <c r="AJ1041" i="1"/>
  <c r="G1041" i="1" s="1"/>
  <c r="H1041" i="1" s="1"/>
  <c r="AK1041" i="1"/>
  <c r="AG1042" i="1"/>
  <c r="AH1042" i="1"/>
  <c r="AI1042" i="1"/>
  <c r="AJ1042" i="1"/>
  <c r="G1042" i="1" s="1"/>
  <c r="H1042" i="1" s="1"/>
  <c r="AK1042" i="1"/>
  <c r="AG1043" i="1"/>
  <c r="AH1043" i="1"/>
  <c r="AI1043" i="1"/>
  <c r="AJ1043" i="1"/>
  <c r="G1043" i="1" s="1"/>
  <c r="H1043" i="1" s="1"/>
  <c r="AK1043" i="1"/>
  <c r="AG1044" i="1"/>
  <c r="AH1044" i="1"/>
  <c r="AI1044" i="1"/>
  <c r="AJ1044" i="1"/>
  <c r="G1044" i="1" s="1"/>
  <c r="H1044" i="1" s="1"/>
  <c r="AK1044" i="1"/>
  <c r="AG1045" i="1"/>
  <c r="AH1045" i="1"/>
  <c r="AI1045" i="1"/>
  <c r="AJ1045" i="1"/>
  <c r="G1045" i="1" s="1"/>
  <c r="H1045" i="1" s="1"/>
  <c r="AK1045" i="1"/>
  <c r="AG1046" i="1"/>
  <c r="AH1046" i="1"/>
  <c r="AI1046" i="1"/>
  <c r="AJ1046" i="1"/>
  <c r="G1046" i="1" s="1"/>
  <c r="H1046" i="1" s="1"/>
  <c r="AK1046" i="1"/>
  <c r="AG1047" i="1"/>
  <c r="AH1047" i="1"/>
  <c r="AI1047" i="1"/>
  <c r="AJ1047" i="1"/>
  <c r="G1047" i="1" s="1"/>
  <c r="H1047" i="1" s="1"/>
  <c r="AK1047" i="1"/>
  <c r="AG1048" i="1"/>
  <c r="AH1048" i="1"/>
  <c r="AI1048" i="1"/>
  <c r="AJ1048" i="1"/>
  <c r="G1048" i="1" s="1"/>
  <c r="H1048" i="1" s="1"/>
  <c r="AK1048" i="1"/>
  <c r="AG1049" i="1"/>
  <c r="AH1049" i="1"/>
  <c r="AI1049" i="1"/>
  <c r="AJ1049" i="1"/>
  <c r="G1049" i="1" s="1"/>
  <c r="H1049" i="1" s="1"/>
  <c r="AK1049" i="1"/>
  <c r="AG1050" i="1"/>
  <c r="AH1050" i="1"/>
  <c r="AI1050" i="1"/>
  <c r="AJ1050" i="1"/>
  <c r="G1050" i="1" s="1"/>
  <c r="H1050" i="1" s="1"/>
  <c r="AK1050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G1040" i="1"/>
  <c r="H1040" i="1" s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AG1035" i="1"/>
  <c r="AH1035" i="1"/>
  <c r="AI1035" i="1"/>
  <c r="AJ1035" i="1"/>
  <c r="G1035" i="1" s="1"/>
  <c r="H1035" i="1" s="1"/>
  <c r="AK1035" i="1"/>
  <c r="AG1036" i="1"/>
  <c r="AH1036" i="1"/>
  <c r="AI1036" i="1"/>
  <c r="AJ1036" i="1"/>
  <c r="G1036" i="1" s="1"/>
  <c r="H1036" i="1" s="1"/>
  <c r="AK1036" i="1"/>
  <c r="AD1035" i="1"/>
  <c r="AD1036" i="1"/>
  <c r="U1035" i="1"/>
  <c r="U1036" i="1"/>
  <c r="O1035" i="1"/>
  <c r="O1036" i="1"/>
  <c r="O126" i="1"/>
  <c r="U126" i="1"/>
  <c r="AD126" i="1"/>
  <c r="AG126" i="1"/>
  <c r="AH126" i="1"/>
  <c r="AI126" i="1"/>
  <c r="AJ126" i="1"/>
  <c r="G126" i="1" s="1"/>
  <c r="H126" i="1" s="1"/>
  <c r="AK126" i="1"/>
  <c r="AD1034" i="1"/>
  <c r="AG1034" i="1"/>
  <c r="AH1034" i="1"/>
  <c r="AI1034" i="1"/>
  <c r="AJ1034" i="1"/>
  <c r="G1034" i="1" s="1"/>
  <c r="H1034" i="1" s="1"/>
  <c r="AK1034" i="1"/>
  <c r="U1034" i="1"/>
  <c r="O1034" i="1"/>
  <c r="O66" i="1"/>
  <c r="U66" i="1"/>
  <c r="AD66" i="1"/>
  <c r="AG66" i="1"/>
  <c r="AH66" i="1"/>
  <c r="AI66" i="1"/>
  <c r="AJ66" i="1"/>
  <c r="G66" i="1" s="1"/>
  <c r="H66" i="1" s="1"/>
  <c r="AK66" i="1"/>
  <c r="U1032" i="1"/>
  <c r="AD1032" i="1"/>
  <c r="AG1032" i="1"/>
  <c r="AH1032" i="1"/>
  <c r="AI1032" i="1"/>
  <c r="AJ1032" i="1"/>
  <c r="G1032" i="1" s="1"/>
  <c r="H1032" i="1" s="1"/>
  <c r="AK1032" i="1"/>
  <c r="O1032" i="1"/>
  <c r="AK1033" i="1"/>
  <c r="AJ1033" i="1"/>
  <c r="G1033" i="1" s="1"/>
  <c r="H1033" i="1" s="1"/>
  <c r="AI1033" i="1"/>
  <c r="AH1033" i="1"/>
  <c r="AG1033" i="1"/>
  <c r="AD1033" i="1"/>
  <c r="U1033" i="1"/>
  <c r="O1033" i="1"/>
  <c r="AG1031" i="1"/>
  <c r="AH1031" i="1"/>
  <c r="AI1031" i="1"/>
  <c r="AJ1031" i="1"/>
  <c r="G1031" i="1" s="1"/>
  <c r="H1031" i="1" s="1"/>
  <c r="AK1031" i="1"/>
  <c r="AD1031" i="1"/>
  <c r="U1031" i="1"/>
  <c r="O1031" i="1"/>
  <c r="O1030" i="1"/>
  <c r="U1030" i="1"/>
  <c r="AD1030" i="1"/>
  <c r="AG1030" i="1"/>
  <c r="AH1030" i="1"/>
  <c r="AI1030" i="1"/>
  <c r="AJ1030" i="1"/>
  <c r="G1030" i="1" s="1"/>
  <c r="H1030" i="1" s="1"/>
  <c r="AK1030" i="1"/>
  <c r="O1029" i="1"/>
  <c r="U1029" i="1"/>
  <c r="AD1029" i="1"/>
  <c r="AG1029" i="1"/>
  <c r="AH1029" i="1"/>
  <c r="AI1029" i="1"/>
  <c r="AJ1029" i="1"/>
  <c r="G1029" i="1" s="1"/>
  <c r="H1029" i="1" s="1"/>
  <c r="AK1029" i="1"/>
  <c r="O732" i="1"/>
  <c r="U732" i="1"/>
  <c r="AD732" i="1"/>
  <c r="AG732" i="1"/>
  <c r="AH732" i="1"/>
  <c r="AI732" i="1"/>
  <c r="AJ732" i="1"/>
  <c r="G732" i="1" s="1"/>
  <c r="H732" i="1" s="1"/>
  <c r="AK732" i="1"/>
  <c r="O124" i="1"/>
  <c r="U124" i="1"/>
  <c r="AD124" i="1"/>
  <c r="AG124" i="1"/>
  <c r="AH124" i="1"/>
  <c r="AI124" i="1"/>
  <c r="AJ124" i="1"/>
  <c r="G124" i="1" s="1"/>
  <c r="H124" i="1" s="1"/>
  <c r="AK124" i="1"/>
  <c r="AD1024" i="1"/>
  <c r="AG1024" i="1"/>
  <c r="AH1024" i="1"/>
  <c r="AI1024" i="1"/>
  <c r="AJ1024" i="1"/>
  <c r="G1024" i="1" s="1"/>
  <c r="H1024" i="1" s="1"/>
  <c r="AK1024" i="1"/>
  <c r="U1024" i="1"/>
  <c r="O1024" i="1"/>
  <c r="AG1027" i="1"/>
  <c r="AH1027" i="1"/>
  <c r="AI1027" i="1"/>
  <c r="AJ1027" i="1"/>
  <c r="G1027" i="1" s="1"/>
  <c r="H1027" i="1" s="1"/>
  <c r="AK1027" i="1"/>
  <c r="AG1028" i="1"/>
  <c r="AH1028" i="1"/>
  <c r="AI1028" i="1"/>
  <c r="AJ1028" i="1"/>
  <c r="G1028" i="1" s="1"/>
  <c r="H1028" i="1" s="1"/>
  <c r="AK1028" i="1"/>
  <c r="AD1027" i="1"/>
  <c r="AD1028" i="1"/>
  <c r="U1027" i="1"/>
  <c r="U1028" i="1"/>
  <c r="O1027" i="1"/>
  <c r="O1028" i="1"/>
  <c r="O68" i="1"/>
  <c r="U68" i="1"/>
  <c r="AD68" i="1"/>
  <c r="AG68" i="1"/>
  <c r="AH68" i="1"/>
  <c r="AI68" i="1"/>
  <c r="AJ68" i="1"/>
  <c r="G68" i="1" s="1"/>
  <c r="H68" i="1" s="1"/>
  <c r="AK68" i="1"/>
  <c r="O67" i="1"/>
  <c r="U67" i="1"/>
  <c r="AD67" i="1"/>
  <c r="AG67" i="1"/>
  <c r="AH67" i="1"/>
  <c r="AI67" i="1"/>
  <c r="AJ67" i="1"/>
  <c r="G67" i="1" s="1"/>
  <c r="H67" i="1" s="1"/>
  <c r="AK67" i="1"/>
  <c r="AG1025" i="1"/>
  <c r="AH1025" i="1"/>
  <c r="AI1025" i="1"/>
  <c r="AJ1025" i="1"/>
  <c r="G1025" i="1" s="1"/>
  <c r="H1025" i="1" s="1"/>
  <c r="AK1025" i="1"/>
  <c r="AG1026" i="1"/>
  <c r="AH1026" i="1"/>
  <c r="AI1026" i="1"/>
  <c r="AJ1026" i="1"/>
  <c r="G1026" i="1" s="1"/>
  <c r="H1026" i="1" s="1"/>
  <c r="AK1026" i="1"/>
  <c r="AD1025" i="1"/>
  <c r="AD1026" i="1"/>
  <c r="U1025" i="1"/>
  <c r="U1026" i="1"/>
  <c r="O1025" i="1"/>
  <c r="O1026" i="1"/>
  <c r="AD1023" i="1"/>
  <c r="AG1023" i="1"/>
  <c r="AH1023" i="1"/>
  <c r="AI1023" i="1"/>
  <c r="AJ1023" i="1"/>
  <c r="G1023" i="1" s="1"/>
  <c r="H1023" i="1" s="1"/>
  <c r="AK1023" i="1"/>
  <c r="U1023" i="1"/>
  <c r="O1023" i="1"/>
  <c r="AG1012" i="1"/>
  <c r="AH1012" i="1"/>
  <c r="AI1012" i="1"/>
  <c r="AJ1012" i="1"/>
  <c r="G1012" i="1" s="1"/>
  <c r="H1012" i="1" s="1"/>
  <c r="AK1012" i="1"/>
  <c r="AG1013" i="1"/>
  <c r="AH1013" i="1"/>
  <c r="AI1013" i="1"/>
  <c r="AJ1013" i="1"/>
  <c r="G1013" i="1" s="1"/>
  <c r="H1013" i="1" s="1"/>
  <c r="AK1013" i="1"/>
  <c r="AG1014" i="1"/>
  <c r="AH1014" i="1"/>
  <c r="AI1014" i="1"/>
  <c r="AJ1014" i="1"/>
  <c r="G1014" i="1" s="1"/>
  <c r="H1014" i="1" s="1"/>
  <c r="AK1014" i="1"/>
  <c r="AG1015" i="1"/>
  <c r="AH1015" i="1"/>
  <c r="AI1015" i="1"/>
  <c r="AJ1015" i="1"/>
  <c r="G1015" i="1" s="1"/>
  <c r="H1015" i="1" s="1"/>
  <c r="AK1015" i="1"/>
  <c r="AG1016" i="1"/>
  <c r="AH1016" i="1"/>
  <c r="AI1016" i="1"/>
  <c r="AJ1016" i="1"/>
  <c r="G1016" i="1" s="1"/>
  <c r="H1016" i="1" s="1"/>
  <c r="AK1016" i="1"/>
  <c r="AG1017" i="1"/>
  <c r="AH1017" i="1"/>
  <c r="AI1017" i="1"/>
  <c r="AJ1017" i="1"/>
  <c r="G1017" i="1" s="1"/>
  <c r="H1017" i="1" s="1"/>
  <c r="AK1017" i="1"/>
  <c r="AG1018" i="1"/>
  <c r="AH1018" i="1"/>
  <c r="AI1018" i="1"/>
  <c r="AJ1018" i="1"/>
  <c r="G1018" i="1" s="1"/>
  <c r="H1018" i="1" s="1"/>
  <c r="AK1018" i="1"/>
  <c r="AG1019" i="1"/>
  <c r="AH1019" i="1"/>
  <c r="AI1019" i="1"/>
  <c r="AJ1019" i="1"/>
  <c r="AK1019" i="1"/>
  <c r="AG1020" i="1"/>
  <c r="AH1020" i="1"/>
  <c r="AI1020" i="1"/>
  <c r="AJ1020" i="1"/>
  <c r="G1020" i="1" s="1"/>
  <c r="H1020" i="1" s="1"/>
  <c r="AK1020" i="1"/>
  <c r="AG1021" i="1"/>
  <c r="AH1021" i="1"/>
  <c r="AI1021" i="1"/>
  <c r="AJ1021" i="1"/>
  <c r="G1021" i="1" s="1"/>
  <c r="H1021" i="1" s="1"/>
  <c r="AK1021" i="1"/>
  <c r="AG1022" i="1"/>
  <c r="AH1022" i="1"/>
  <c r="AI1022" i="1"/>
  <c r="AJ1022" i="1"/>
  <c r="G1022" i="1" s="1"/>
  <c r="H1022" i="1" s="1"/>
  <c r="AK1022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G1019" i="1"/>
  <c r="H1019" i="1" s="1"/>
  <c r="U1012" i="1"/>
  <c r="U1013" i="1"/>
  <c r="U1014" i="1"/>
  <c r="U1015" i="1"/>
  <c r="U1016" i="1"/>
  <c r="U1017" i="1"/>
  <c r="U1018" i="1"/>
  <c r="U1019" i="1"/>
  <c r="U1020" i="1"/>
  <c r="U1021" i="1"/>
  <c r="U1022" i="1"/>
  <c r="O1012" i="1"/>
  <c r="O1013" i="1"/>
  <c r="O1014" i="1"/>
  <c r="O1015" i="1"/>
  <c r="O1016" i="1"/>
  <c r="O1017" i="1"/>
  <c r="O1018" i="1"/>
  <c r="O1019" i="1"/>
  <c r="O1020" i="1"/>
  <c r="O1021" i="1"/>
  <c r="O1022" i="1"/>
  <c r="AG1010" i="1"/>
  <c r="AH1010" i="1"/>
  <c r="AI1010" i="1"/>
  <c r="AJ1010" i="1"/>
  <c r="G1010" i="1" s="1"/>
  <c r="H1010" i="1" s="1"/>
  <c r="AK1010" i="1"/>
  <c r="AG1011" i="1"/>
  <c r="AH1011" i="1"/>
  <c r="AI1011" i="1"/>
  <c r="AJ1011" i="1"/>
  <c r="G1011" i="1" s="1"/>
  <c r="H1011" i="1" s="1"/>
  <c r="AK1011" i="1"/>
  <c r="AD1010" i="1"/>
  <c r="AD1011" i="1"/>
  <c r="U1010" i="1"/>
  <c r="U1011" i="1"/>
  <c r="O1011" i="1"/>
  <c r="O1010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AG982" i="1"/>
  <c r="AH982" i="1"/>
  <c r="AI982" i="1"/>
  <c r="AJ982" i="1"/>
  <c r="G982" i="1" s="1"/>
  <c r="H982" i="1" s="1"/>
  <c r="AK982" i="1"/>
  <c r="AG983" i="1"/>
  <c r="AH983" i="1"/>
  <c r="AI983" i="1"/>
  <c r="AJ983" i="1"/>
  <c r="G983" i="1" s="1"/>
  <c r="H983" i="1" s="1"/>
  <c r="AK983" i="1"/>
  <c r="AG984" i="1"/>
  <c r="AH984" i="1"/>
  <c r="AI984" i="1"/>
  <c r="AJ984" i="1"/>
  <c r="G984" i="1" s="1"/>
  <c r="H984" i="1" s="1"/>
  <c r="AK984" i="1"/>
  <c r="AG985" i="1"/>
  <c r="AH985" i="1"/>
  <c r="AI985" i="1"/>
  <c r="AJ985" i="1"/>
  <c r="G985" i="1" s="1"/>
  <c r="H985" i="1" s="1"/>
  <c r="AK985" i="1"/>
  <c r="AG986" i="1"/>
  <c r="AH986" i="1"/>
  <c r="AI986" i="1"/>
  <c r="AJ986" i="1"/>
  <c r="G986" i="1" s="1"/>
  <c r="H986" i="1" s="1"/>
  <c r="AK986" i="1"/>
  <c r="AG987" i="1"/>
  <c r="AH987" i="1"/>
  <c r="AI987" i="1"/>
  <c r="AJ987" i="1"/>
  <c r="G987" i="1" s="1"/>
  <c r="H987" i="1" s="1"/>
  <c r="AK987" i="1"/>
  <c r="AG988" i="1"/>
  <c r="AH988" i="1"/>
  <c r="AI988" i="1"/>
  <c r="AJ988" i="1"/>
  <c r="G988" i="1" s="1"/>
  <c r="H988" i="1" s="1"/>
  <c r="AK988" i="1"/>
  <c r="AG989" i="1"/>
  <c r="AH989" i="1"/>
  <c r="AI989" i="1"/>
  <c r="AJ989" i="1"/>
  <c r="G989" i="1" s="1"/>
  <c r="H989" i="1" s="1"/>
  <c r="AK989" i="1"/>
  <c r="AG990" i="1"/>
  <c r="AH990" i="1"/>
  <c r="AI990" i="1"/>
  <c r="AJ990" i="1"/>
  <c r="G990" i="1" s="1"/>
  <c r="H990" i="1" s="1"/>
  <c r="AK990" i="1"/>
  <c r="AG991" i="1"/>
  <c r="AH991" i="1"/>
  <c r="AI991" i="1"/>
  <c r="AJ991" i="1"/>
  <c r="G991" i="1" s="1"/>
  <c r="H991" i="1" s="1"/>
  <c r="AK991" i="1"/>
  <c r="AG992" i="1"/>
  <c r="AH992" i="1"/>
  <c r="AI992" i="1"/>
  <c r="AJ992" i="1"/>
  <c r="G992" i="1" s="1"/>
  <c r="H992" i="1" s="1"/>
  <c r="AK992" i="1"/>
  <c r="AG993" i="1"/>
  <c r="AH993" i="1"/>
  <c r="AI993" i="1"/>
  <c r="AJ993" i="1"/>
  <c r="G993" i="1" s="1"/>
  <c r="H993" i="1" s="1"/>
  <c r="AK993" i="1"/>
  <c r="AG994" i="1"/>
  <c r="AH994" i="1"/>
  <c r="AI994" i="1"/>
  <c r="AJ994" i="1"/>
  <c r="G994" i="1" s="1"/>
  <c r="H994" i="1" s="1"/>
  <c r="AK994" i="1"/>
  <c r="AG995" i="1"/>
  <c r="AH995" i="1"/>
  <c r="AI995" i="1"/>
  <c r="AJ995" i="1"/>
  <c r="G995" i="1" s="1"/>
  <c r="H995" i="1" s="1"/>
  <c r="AK995" i="1"/>
  <c r="AG996" i="1"/>
  <c r="AH996" i="1"/>
  <c r="AI996" i="1"/>
  <c r="AJ996" i="1"/>
  <c r="G996" i="1" s="1"/>
  <c r="H996" i="1" s="1"/>
  <c r="AK996" i="1"/>
  <c r="AG997" i="1"/>
  <c r="AH997" i="1"/>
  <c r="AI997" i="1"/>
  <c r="AJ997" i="1"/>
  <c r="G997" i="1" s="1"/>
  <c r="H997" i="1" s="1"/>
  <c r="AK997" i="1"/>
  <c r="AG998" i="1"/>
  <c r="AH998" i="1"/>
  <c r="AI998" i="1"/>
  <c r="AJ998" i="1"/>
  <c r="G998" i="1" s="1"/>
  <c r="H998" i="1" s="1"/>
  <c r="AK998" i="1"/>
  <c r="AG999" i="1"/>
  <c r="AH999" i="1"/>
  <c r="AI999" i="1"/>
  <c r="AJ999" i="1"/>
  <c r="G999" i="1" s="1"/>
  <c r="H999" i="1" s="1"/>
  <c r="AK999" i="1"/>
  <c r="AG1000" i="1"/>
  <c r="AH1000" i="1"/>
  <c r="AI1000" i="1"/>
  <c r="AJ1000" i="1"/>
  <c r="G1000" i="1" s="1"/>
  <c r="H1000" i="1" s="1"/>
  <c r="AK1000" i="1"/>
  <c r="AG1001" i="1"/>
  <c r="AH1001" i="1"/>
  <c r="AI1001" i="1"/>
  <c r="AJ1001" i="1"/>
  <c r="G1001" i="1" s="1"/>
  <c r="H1001" i="1" s="1"/>
  <c r="AK1001" i="1"/>
  <c r="AG1002" i="1"/>
  <c r="AH1002" i="1"/>
  <c r="AI1002" i="1"/>
  <c r="AJ1002" i="1"/>
  <c r="G1002" i="1" s="1"/>
  <c r="H1002" i="1" s="1"/>
  <c r="AK1002" i="1"/>
  <c r="AG1003" i="1"/>
  <c r="AH1003" i="1"/>
  <c r="AI1003" i="1"/>
  <c r="AJ1003" i="1"/>
  <c r="G1003" i="1" s="1"/>
  <c r="H1003" i="1" s="1"/>
  <c r="AK1003" i="1"/>
  <c r="AG1004" i="1"/>
  <c r="AH1004" i="1"/>
  <c r="AI1004" i="1"/>
  <c r="AJ1004" i="1"/>
  <c r="G1004" i="1" s="1"/>
  <c r="H1004" i="1" s="1"/>
  <c r="AK1004" i="1"/>
  <c r="AG1005" i="1"/>
  <c r="AH1005" i="1"/>
  <c r="AI1005" i="1"/>
  <c r="AJ1005" i="1"/>
  <c r="G1005" i="1" s="1"/>
  <c r="H1005" i="1" s="1"/>
  <c r="AK1005" i="1"/>
  <c r="AG1006" i="1"/>
  <c r="AH1006" i="1"/>
  <c r="AI1006" i="1"/>
  <c r="AJ1006" i="1"/>
  <c r="G1006" i="1" s="1"/>
  <c r="H1006" i="1" s="1"/>
  <c r="AK1006" i="1"/>
  <c r="AG1007" i="1"/>
  <c r="AH1007" i="1"/>
  <c r="AI1007" i="1"/>
  <c r="AJ1007" i="1"/>
  <c r="G1007" i="1" s="1"/>
  <c r="H1007" i="1" s="1"/>
  <c r="AK1007" i="1"/>
  <c r="AG1008" i="1"/>
  <c r="AH1008" i="1"/>
  <c r="AI1008" i="1"/>
  <c r="AJ1008" i="1"/>
  <c r="G1008" i="1" s="1"/>
  <c r="H1008" i="1" s="1"/>
  <c r="AK1008" i="1"/>
  <c r="AG1009" i="1"/>
  <c r="AH1009" i="1"/>
  <c r="AI1009" i="1"/>
  <c r="AJ1009" i="1"/>
  <c r="G1009" i="1" s="1"/>
  <c r="H1009" i="1" s="1"/>
  <c r="AK1009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981" i="1"/>
  <c r="U981" i="1"/>
  <c r="AD981" i="1"/>
  <c r="AG981" i="1"/>
  <c r="AH981" i="1"/>
  <c r="AI981" i="1"/>
  <c r="AJ981" i="1"/>
  <c r="G981" i="1" s="1"/>
  <c r="H981" i="1" s="1"/>
  <c r="AK981" i="1"/>
  <c r="AG980" i="1"/>
  <c r="AH980" i="1"/>
  <c r="AI980" i="1"/>
  <c r="AJ980" i="1"/>
  <c r="G980" i="1" s="1"/>
  <c r="H980" i="1" s="1"/>
  <c r="AK980" i="1"/>
  <c r="AD980" i="1"/>
  <c r="U980" i="1"/>
  <c r="O980" i="1"/>
  <c r="AG912" i="1"/>
  <c r="AH912" i="1"/>
  <c r="AI912" i="1"/>
  <c r="AJ912" i="1"/>
  <c r="G912" i="1" s="1"/>
  <c r="H912" i="1" s="1"/>
  <c r="AK912" i="1"/>
  <c r="AG913" i="1"/>
  <c r="AH913" i="1"/>
  <c r="AI913" i="1"/>
  <c r="AJ913" i="1"/>
  <c r="G913" i="1" s="1"/>
  <c r="H913" i="1" s="1"/>
  <c r="AK913" i="1"/>
  <c r="AG914" i="1"/>
  <c r="AH914" i="1"/>
  <c r="AI914" i="1"/>
  <c r="AJ914" i="1"/>
  <c r="G914" i="1" s="1"/>
  <c r="H914" i="1" s="1"/>
  <c r="AK914" i="1"/>
  <c r="AG915" i="1"/>
  <c r="AH915" i="1"/>
  <c r="AI915" i="1"/>
  <c r="AJ915" i="1"/>
  <c r="G915" i="1" s="1"/>
  <c r="H915" i="1" s="1"/>
  <c r="AK915" i="1"/>
  <c r="AG916" i="1"/>
  <c r="AH916" i="1"/>
  <c r="AI916" i="1"/>
  <c r="AJ916" i="1"/>
  <c r="G916" i="1" s="1"/>
  <c r="H916" i="1" s="1"/>
  <c r="AK916" i="1"/>
  <c r="AG917" i="1"/>
  <c r="AH917" i="1"/>
  <c r="AI917" i="1"/>
  <c r="AJ917" i="1"/>
  <c r="G917" i="1" s="1"/>
  <c r="H917" i="1" s="1"/>
  <c r="AK917" i="1"/>
  <c r="AG918" i="1"/>
  <c r="AH918" i="1"/>
  <c r="AI918" i="1"/>
  <c r="AJ918" i="1"/>
  <c r="G918" i="1" s="1"/>
  <c r="H918" i="1" s="1"/>
  <c r="AK918" i="1"/>
  <c r="AG919" i="1"/>
  <c r="AH919" i="1"/>
  <c r="AI919" i="1"/>
  <c r="AJ919" i="1"/>
  <c r="G919" i="1" s="1"/>
  <c r="H919" i="1" s="1"/>
  <c r="AK919" i="1"/>
  <c r="AG920" i="1"/>
  <c r="AH920" i="1"/>
  <c r="AI920" i="1"/>
  <c r="AJ920" i="1"/>
  <c r="G920" i="1" s="1"/>
  <c r="H920" i="1" s="1"/>
  <c r="AK920" i="1"/>
  <c r="AG921" i="1"/>
  <c r="AH921" i="1"/>
  <c r="AI921" i="1"/>
  <c r="AJ921" i="1"/>
  <c r="G921" i="1" s="1"/>
  <c r="H921" i="1" s="1"/>
  <c r="AK921" i="1"/>
  <c r="AG922" i="1"/>
  <c r="AH922" i="1"/>
  <c r="AI922" i="1"/>
  <c r="AJ922" i="1"/>
  <c r="G922" i="1" s="1"/>
  <c r="H922" i="1" s="1"/>
  <c r="AK922" i="1"/>
  <c r="AG923" i="1"/>
  <c r="AH923" i="1"/>
  <c r="AI923" i="1"/>
  <c r="AJ923" i="1"/>
  <c r="G923" i="1" s="1"/>
  <c r="H923" i="1" s="1"/>
  <c r="AK923" i="1"/>
  <c r="AG924" i="1"/>
  <c r="AH924" i="1"/>
  <c r="AI924" i="1"/>
  <c r="AJ924" i="1"/>
  <c r="G924" i="1" s="1"/>
  <c r="H924" i="1" s="1"/>
  <c r="AK924" i="1"/>
  <c r="AG925" i="1"/>
  <c r="AH925" i="1"/>
  <c r="AI925" i="1"/>
  <c r="AJ925" i="1"/>
  <c r="G925" i="1" s="1"/>
  <c r="H925" i="1" s="1"/>
  <c r="AK925" i="1"/>
  <c r="AG926" i="1"/>
  <c r="AH926" i="1"/>
  <c r="AI926" i="1"/>
  <c r="AJ926" i="1"/>
  <c r="G926" i="1" s="1"/>
  <c r="H926" i="1" s="1"/>
  <c r="AK926" i="1"/>
  <c r="AG927" i="1"/>
  <c r="AH927" i="1"/>
  <c r="AI927" i="1"/>
  <c r="AJ927" i="1"/>
  <c r="G927" i="1" s="1"/>
  <c r="H927" i="1" s="1"/>
  <c r="AK927" i="1"/>
  <c r="AG928" i="1"/>
  <c r="AH928" i="1"/>
  <c r="AI928" i="1"/>
  <c r="AJ928" i="1"/>
  <c r="G928" i="1" s="1"/>
  <c r="H928" i="1" s="1"/>
  <c r="AK928" i="1"/>
  <c r="AG929" i="1"/>
  <c r="AH929" i="1"/>
  <c r="AI929" i="1"/>
  <c r="AJ929" i="1"/>
  <c r="G929" i="1" s="1"/>
  <c r="H929" i="1" s="1"/>
  <c r="AK929" i="1"/>
  <c r="AG930" i="1"/>
  <c r="AH930" i="1"/>
  <c r="AI930" i="1"/>
  <c r="AJ930" i="1"/>
  <c r="G930" i="1" s="1"/>
  <c r="H930" i="1" s="1"/>
  <c r="AK930" i="1"/>
  <c r="AG931" i="1"/>
  <c r="AH931" i="1"/>
  <c r="AI931" i="1"/>
  <c r="AJ931" i="1"/>
  <c r="G931" i="1" s="1"/>
  <c r="H931" i="1" s="1"/>
  <c r="AK931" i="1"/>
  <c r="AG932" i="1"/>
  <c r="AH932" i="1"/>
  <c r="AI932" i="1"/>
  <c r="AJ932" i="1"/>
  <c r="G932" i="1" s="1"/>
  <c r="H932" i="1" s="1"/>
  <c r="AK932" i="1"/>
  <c r="AG933" i="1"/>
  <c r="AH933" i="1"/>
  <c r="AI933" i="1"/>
  <c r="AJ933" i="1"/>
  <c r="G933" i="1" s="1"/>
  <c r="H933" i="1" s="1"/>
  <c r="AK933" i="1"/>
  <c r="AG934" i="1"/>
  <c r="AH934" i="1"/>
  <c r="AI934" i="1"/>
  <c r="AJ934" i="1"/>
  <c r="G934" i="1" s="1"/>
  <c r="H934" i="1" s="1"/>
  <c r="AK934" i="1"/>
  <c r="AG935" i="1"/>
  <c r="AH935" i="1"/>
  <c r="AI935" i="1"/>
  <c r="AJ935" i="1"/>
  <c r="G935" i="1" s="1"/>
  <c r="H935" i="1" s="1"/>
  <c r="AK935" i="1"/>
  <c r="AG936" i="1"/>
  <c r="AH936" i="1"/>
  <c r="AI936" i="1"/>
  <c r="AJ936" i="1"/>
  <c r="G936" i="1" s="1"/>
  <c r="H936" i="1" s="1"/>
  <c r="AK936" i="1"/>
  <c r="AG937" i="1"/>
  <c r="AH937" i="1"/>
  <c r="AI937" i="1"/>
  <c r="AJ937" i="1"/>
  <c r="G937" i="1" s="1"/>
  <c r="H937" i="1" s="1"/>
  <c r="AK937" i="1"/>
  <c r="AG938" i="1"/>
  <c r="AH938" i="1"/>
  <c r="AI938" i="1"/>
  <c r="AJ938" i="1"/>
  <c r="G938" i="1" s="1"/>
  <c r="H938" i="1" s="1"/>
  <c r="AK938" i="1"/>
  <c r="AG939" i="1"/>
  <c r="AH939" i="1"/>
  <c r="AI939" i="1"/>
  <c r="AJ939" i="1"/>
  <c r="G939" i="1" s="1"/>
  <c r="H939" i="1" s="1"/>
  <c r="AK939" i="1"/>
  <c r="AG940" i="1"/>
  <c r="AH940" i="1"/>
  <c r="AI940" i="1"/>
  <c r="AJ940" i="1"/>
  <c r="G940" i="1" s="1"/>
  <c r="H940" i="1" s="1"/>
  <c r="AK940" i="1"/>
  <c r="AG941" i="1"/>
  <c r="AH941" i="1"/>
  <c r="AI941" i="1"/>
  <c r="AJ941" i="1"/>
  <c r="G941" i="1" s="1"/>
  <c r="H941" i="1" s="1"/>
  <c r="AK941" i="1"/>
  <c r="AG942" i="1"/>
  <c r="AH942" i="1"/>
  <c r="AI942" i="1"/>
  <c r="AJ942" i="1"/>
  <c r="G942" i="1" s="1"/>
  <c r="H942" i="1" s="1"/>
  <c r="AK942" i="1"/>
  <c r="AG943" i="1"/>
  <c r="AH943" i="1"/>
  <c r="AI943" i="1"/>
  <c r="AJ943" i="1"/>
  <c r="G943" i="1" s="1"/>
  <c r="H943" i="1" s="1"/>
  <c r="AK943" i="1"/>
  <c r="AG944" i="1"/>
  <c r="AH944" i="1"/>
  <c r="AI944" i="1"/>
  <c r="AJ944" i="1"/>
  <c r="G944" i="1" s="1"/>
  <c r="H944" i="1" s="1"/>
  <c r="AK944" i="1"/>
  <c r="AG945" i="1"/>
  <c r="AH945" i="1"/>
  <c r="AI945" i="1"/>
  <c r="AJ945" i="1"/>
  <c r="G945" i="1" s="1"/>
  <c r="H945" i="1" s="1"/>
  <c r="AK945" i="1"/>
  <c r="AG946" i="1"/>
  <c r="AH946" i="1"/>
  <c r="AI946" i="1"/>
  <c r="AJ946" i="1"/>
  <c r="G946" i="1" s="1"/>
  <c r="H946" i="1" s="1"/>
  <c r="AK946" i="1"/>
  <c r="AG947" i="1"/>
  <c r="AH947" i="1"/>
  <c r="AI947" i="1"/>
  <c r="AJ947" i="1"/>
  <c r="G947" i="1" s="1"/>
  <c r="H947" i="1" s="1"/>
  <c r="AK947" i="1"/>
  <c r="AG948" i="1"/>
  <c r="AH948" i="1"/>
  <c r="AI948" i="1"/>
  <c r="AJ948" i="1"/>
  <c r="G948" i="1" s="1"/>
  <c r="H948" i="1" s="1"/>
  <c r="AK948" i="1"/>
  <c r="AG949" i="1"/>
  <c r="AH949" i="1"/>
  <c r="AI949" i="1"/>
  <c r="AJ949" i="1"/>
  <c r="G949" i="1" s="1"/>
  <c r="H949" i="1" s="1"/>
  <c r="AK949" i="1"/>
  <c r="AG950" i="1"/>
  <c r="AH950" i="1"/>
  <c r="AI950" i="1"/>
  <c r="AJ950" i="1"/>
  <c r="G950" i="1" s="1"/>
  <c r="H950" i="1" s="1"/>
  <c r="AK950" i="1"/>
  <c r="AG951" i="1"/>
  <c r="AH951" i="1"/>
  <c r="AI951" i="1"/>
  <c r="AJ951" i="1"/>
  <c r="G951" i="1" s="1"/>
  <c r="H951" i="1" s="1"/>
  <c r="AK951" i="1"/>
  <c r="AG952" i="1"/>
  <c r="AH952" i="1"/>
  <c r="AI952" i="1"/>
  <c r="AJ952" i="1"/>
  <c r="G952" i="1" s="1"/>
  <c r="H952" i="1" s="1"/>
  <c r="AK952" i="1"/>
  <c r="AG953" i="1"/>
  <c r="AH953" i="1"/>
  <c r="AI953" i="1"/>
  <c r="AJ953" i="1"/>
  <c r="G953" i="1" s="1"/>
  <c r="H953" i="1" s="1"/>
  <c r="AK953" i="1"/>
  <c r="AG954" i="1"/>
  <c r="AH954" i="1"/>
  <c r="AI954" i="1"/>
  <c r="AJ954" i="1"/>
  <c r="G954" i="1" s="1"/>
  <c r="H954" i="1" s="1"/>
  <c r="AK954" i="1"/>
  <c r="AG955" i="1"/>
  <c r="AH955" i="1"/>
  <c r="AI955" i="1"/>
  <c r="AJ955" i="1"/>
  <c r="G955" i="1" s="1"/>
  <c r="H955" i="1" s="1"/>
  <c r="AK955" i="1"/>
  <c r="AG956" i="1"/>
  <c r="AH956" i="1"/>
  <c r="AI956" i="1"/>
  <c r="AJ956" i="1"/>
  <c r="G956" i="1" s="1"/>
  <c r="H956" i="1" s="1"/>
  <c r="AK956" i="1"/>
  <c r="AG957" i="1"/>
  <c r="AH957" i="1"/>
  <c r="AI957" i="1"/>
  <c r="AJ957" i="1"/>
  <c r="G957" i="1" s="1"/>
  <c r="H957" i="1" s="1"/>
  <c r="AK957" i="1"/>
  <c r="AG958" i="1"/>
  <c r="AH958" i="1"/>
  <c r="AI958" i="1"/>
  <c r="AJ958" i="1"/>
  <c r="G958" i="1" s="1"/>
  <c r="H958" i="1" s="1"/>
  <c r="AK958" i="1"/>
  <c r="AG959" i="1"/>
  <c r="AH959" i="1"/>
  <c r="AI959" i="1"/>
  <c r="AJ959" i="1"/>
  <c r="G959" i="1" s="1"/>
  <c r="H959" i="1" s="1"/>
  <c r="AK959" i="1"/>
  <c r="AG960" i="1"/>
  <c r="AH960" i="1"/>
  <c r="AI960" i="1"/>
  <c r="AJ960" i="1"/>
  <c r="G960" i="1" s="1"/>
  <c r="H960" i="1" s="1"/>
  <c r="AK960" i="1"/>
  <c r="AG961" i="1"/>
  <c r="AH961" i="1"/>
  <c r="AI961" i="1"/>
  <c r="AJ961" i="1"/>
  <c r="G961" i="1" s="1"/>
  <c r="H961" i="1" s="1"/>
  <c r="AK961" i="1"/>
  <c r="AG962" i="1"/>
  <c r="AH962" i="1"/>
  <c r="AI962" i="1"/>
  <c r="AJ962" i="1"/>
  <c r="G962" i="1" s="1"/>
  <c r="H962" i="1" s="1"/>
  <c r="AK962" i="1"/>
  <c r="AG963" i="1"/>
  <c r="AH963" i="1"/>
  <c r="AI963" i="1"/>
  <c r="AJ963" i="1"/>
  <c r="G963" i="1" s="1"/>
  <c r="H963" i="1" s="1"/>
  <c r="AK963" i="1"/>
  <c r="AG964" i="1"/>
  <c r="AH964" i="1"/>
  <c r="AI964" i="1"/>
  <c r="AJ964" i="1"/>
  <c r="G964" i="1" s="1"/>
  <c r="H964" i="1" s="1"/>
  <c r="AK964" i="1"/>
  <c r="AG965" i="1"/>
  <c r="AH965" i="1"/>
  <c r="AI965" i="1"/>
  <c r="AJ965" i="1"/>
  <c r="G965" i="1" s="1"/>
  <c r="H965" i="1" s="1"/>
  <c r="AK965" i="1"/>
  <c r="AG966" i="1"/>
  <c r="AH966" i="1"/>
  <c r="AI966" i="1"/>
  <c r="AJ966" i="1"/>
  <c r="G966" i="1" s="1"/>
  <c r="H966" i="1" s="1"/>
  <c r="AK966" i="1"/>
  <c r="AG967" i="1"/>
  <c r="AH967" i="1"/>
  <c r="AI967" i="1"/>
  <c r="AJ967" i="1"/>
  <c r="G967" i="1" s="1"/>
  <c r="H967" i="1" s="1"/>
  <c r="AK967" i="1"/>
  <c r="AG968" i="1"/>
  <c r="AH968" i="1"/>
  <c r="AI968" i="1"/>
  <c r="AJ968" i="1"/>
  <c r="G968" i="1" s="1"/>
  <c r="H968" i="1" s="1"/>
  <c r="AK968" i="1"/>
  <c r="AG969" i="1"/>
  <c r="AH969" i="1"/>
  <c r="AI969" i="1"/>
  <c r="AJ969" i="1"/>
  <c r="G969" i="1" s="1"/>
  <c r="H969" i="1" s="1"/>
  <c r="AK969" i="1"/>
  <c r="AG970" i="1"/>
  <c r="AH970" i="1"/>
  <c r="AI970" i="1"/>
  <c r="AJ970" i="1"/>
  <c r="G970" i="1" s="1"/>
  <c r="H970" i="1" s="1"/>
  <c r="AK970" i="1"/>
  <c r="AG971" i="1"/>
  <c r="AH971" i="1"/>
  <c r="AI971" i="1"/>
  <c r="AJ971" i="1"/>
  <c r="G971" i="1" s="1"/>
  <c r="H971" i="1" s="1"/>
  <c r="AK971" i="1"/>
  <c r="AG972" i="1"/>
  <c r="AH972" i="1"/>
  <c r="AI972" i="1"/>
  <c r="AJ972" i="1"/>
  <c r="G972" i="1" s="1"/>
  <c r="H972" i="1" s="1"/>
  <c r="AK972" i="1"/>
  <c r="AG973" i="1"/>
  <c r="AH973" i="1"/>
  <c r="AI973" i="1"/>
  <c r="AJ973" i="1"/>
  <c r="G973" i="1" s="1"/>
  <c r="H973" i="1" s="1"/>
  <c r="AK973" i="1"/>
  <c r="AG974" i="1"/>
  <c r="AH974" i="1"/>
  <c r="AI974" i="1"/>
  <c r="AJ974" i="1"/>
  <c r="G974" i="1" s="1"/>
  <c r="H974" i="1" s="1"/>
  <c r="AK974" i="1"/>
  <c r="AG975" i="1"/>
  <c r="AH975" i="1"/>
  <c r="AI975" i="1"/>
  <c r="AJ975" i="1"/>
  <c r="G975" i="1" s="1"/>
  <c r="H975" i="1" s="1"/>
  <c r="AK975" i="1"/>
  <c r="AG976" i="1"/>
  <c r="AH976" i="1"/>
  <c r="AI976" i="1"/>
  <c r="AJ976" i="1"/>
  <c r="G976" i="1" s="1"/>
  <c r="H976" i="1" s="1"/>
  <c r="AK976" i="1"/>
  <c r="AG977" i="1"/>
  <c r="AH977" i="1"/>
  <c r="AI977" i="1"/>
  <c r="AJ977" i="1"/>
  <c r="G977" i="1" s="1"/>
  <c r="H977" i="1" s="1"/>
  <c r="AK977" i="1"/>
  <c r="AG978" i="1"/>
  <c r="AH978" i="1"/>
  <c r="AI978" i="1"/>
  <c r="AJ978" i="1"/>
  <c r="G978" i="1" s="1"/>
  <c r="H978" i="1" s="1"/>
  <c r="AK978" i="1"/>
  <c r="AG979" i="1"/>
  <c r="AH979" i="1"/>
  <c r="AI979" i="1"/>
  <c r="AJ979" i="1"/>
  <c r="G979" i="1" s="1"/>
  <c r="H979" i="1" s="1"/>
  <c r="AK979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U911" i="1"/>
  <c r="AG174" i="1"/>
  <c r="A5" i="1"/>
  <c r="A6" i="1" s="1"/>
  <c r="A7" i="1" s="1"/>
  <c r="AD911" i="1"/>
  <c r="AG911" i="1"/>
  <c r="AH911" i="1"/>
  <c r="AI911" i="1"/>
  <c r="AJ911" i="1"/>
  <c r="G911" i="1" s="1"/>
  <c r="H911" i="1" s="1"/>
  <c r="AK911" i="1"/>
  <c r="O911" i="1"/>
  <c r="U910" i="1"/>
  <c r="AD910" i="1"/>
  <c r="AG910" i="1"/>
  <c r="AH910" i="1"/>
  <c r="AI910" i="1"/>
  <c r="AJ910" i="1"/>
  <c r="G910" i="1" s="1"/>
  <c r="H910" i="1" s="1"/>
  <c r="AK910" i="1"/>
  <c r="O910" i="1"/>
  <c r="O5" i="1"/>
  <c r="U5" i="1"/>
  <c r="AD5" i="1"/>
  <c r="AG5" i="1"/>
  <c r="AH5" i="1"/>
  <c r="AI5" i="1"/>
  <c r="AJ5" i="1"/>
  <c r="G5" i="1" s="1"/>
  <c r="H5" i="1" s="1"/>
  <c r="AK5" i="1"/>
  <c r="U34" i="1"/>
  <c r="U20" i="1"/>
  <c r="O82" i="1"/>
  <c r="U82" i="1"/>
  <c r="AD82" i="1"/>
  <c r="AG82" i="1"/>
  <c r="AH82" i="1"/>
  <c r="AI82" i="1"/>
  <c r="AJ82" i="1"/>
  <c r="G82" i="1" s="1"/>
  <c r="H82" i="1" s="1"/>
  <c r="AK82" i="1"/>
  <c r="AD909" i="1"/>
  <c r="AG909" i="1"/>
  <c r="AH909" i="1"/>
  <c r="AI909" i="1"/>
  <c r="AJ909" i="1"/>
  <c r="G909" i="1" s="1"/>
  <c r="H909" i="1" s="1"/>
  <c r="AK909" i="1"/>
  <c r="AG904" i="1"/>
  <c r="AH904" i="1"/>
  <c r="AI904" i="1"/>
  <c r="AJ904" i="1"/>
  <c r="G904" i="1" s="1"/>
  <c r="H904" i="1" s="1"/>
  <c r="AK904" i="1"/>
  <c r="AG905" i="1"/>
  <c r="AH905" i="1"/>
  <c r="AI905" i="1"/>
  <c r="AJ905" i="1"/>
  <c r="G905" i="1" s="1"/>
  <c r="H905" i="1" s="1"/>
  <c r="AK905" i="1"/>
  <c r="AG906" i="1"/>
  <c r="AH906" i="1"/>
  <c r="AI906" i="1"/>
  <c r="AJ906" i="1"/>
  <c r="G906" i="1" s="1"/>
  <c r="H906" i="1" s="1"/>
  <c r="AK906" i="1"/>
  <c r="AG907" i="1"/>
  <c r="AH907" i="1"/>
  <c r="AI907" i="1"/>
  <c r="AJ907" i="1"/>
  <c r="G907" i="1" s="1"/>
  <c r="H907" i="1" s="1"/>
  <c r="AK907" i="1"/>
  <c r="AG908" i="1"/>
  <c r="AH908" i="1"/>
  <c r="AI908" i="1"/>
  <c r="AJ908" i="1"/>
  <c r="G908" i="1" s="1"/>
  <c r="H908" i="1" s="1"/>
  <c r="AK908" i="1"/>
  <c r="AD904" i="1"/>
  <c r="AD905" i="1"/>
  <c r="AD906" i="1"/>
  <c r="AD907" i="1"/>
  <c r="AD908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O909" i="1"/>
  <c r="O905" i="1"/>
  <c r="O906" i="1"/>
  <c r="O907" i="1"/>
  <c r="O908" i="1"/>
  <c r="O904" i="1"/>
  <c r="AG895" i="1"/>
  <c r="AH895" i="1"/>
  <c r="AI895" i="1"/>
  <c r="AJ895" i="1"/>
  <c r="G895" i="1" s="1"/>
  <c r="H895" i="1" s="1"/>
  <c r="AK895" i="1"/>
  <c r="AG896" i="1"/>
  <c r="AH896" i="1"/>
  <c r="AI896" i="1"/>
  <c r="AJ896" i="1"/>
  <c r="G896" i="1" s="1"/>
  <c r="H896" i="1" s="1"/>
  <c r="AK896" i="1"/>
  <c r="AG897" i="1"/>
  <c r="AH897" i="1"/>
  <c r="AI897" i="1"/>
  <c r="AJ897" i="1"/>
  <c r="G897" i="1" s="1"/>
  <c r="H897" i="1" s="1"/>
  <c r="AK897" i="1"/>
  <c r="AG898" i="1"/>
  <c r="AH898" i="1"/>
  <c r="AI898" i="1"/>
  <c r="AJ898" i="1"/>
  <c r="G898" i="1" s="1"/>
  <c r="H898" i="1" s="1"/>
  <c r="AK898" i="1"/>
  <c r="AG899" i="1"/>
  <c r="AH899" i="1"/>
  <c r="AI899" i="1"/>
  <c r="AJ899" i="1"/>
  <c r="G899" i="1" s="1"/>
  <c r="H899" i="1" s="1"/>
  <c r="AK899" i="1"/>
  <c r="AG900" i="1"/>
  <c r="AH900" i="1"/>
  <c r="AI900" i="1"/>
  <c r="AJ900" i="1"/>
  <c r="G900" i="1" s="1"/>
  <c r="H900" i="1" s="1"/>
  <c r="AK900" i="1"/>
  <c r="AG901" i="1"/>
  <c r="AH901" i="1"/>
  <c r="AI901" i="1"/>
  <c r="AJ901" i="1"/>
  <c r="G901" i="1" s="1"/>
  <c r="H901" i="1" s="1"/>
  <c r="AK901" i="1"/>
  <c r="AG902" i="1"/>
  <c r="AH902" i="1"/>
  <c r="AI902" i="1"/>
  <c r="AJ902" i="1"/>
  <c r="G902" i="1" s="1"/>
  <c r="H902" i="1" s="1"/>
  <c r="AK902" i="1"/>
  <c r="AG903" i="1"/>
  <c r="AH903" i="1"/>
  <c r="AI903" i="1"/>
  <c r="AJ903" i="1"/>
  <c r="G903" i="1" s="1"/>
  <c r="H903" i="1" s="1"/>
  <c r="AK903" i="1"/>
  <c r="AD895" i="1"/>
  <c r="AD896" i="1"/>
  <c r="AD897" i="1"/>
  <c r="AD898" i="1"/>
  <c r="AD899" i="1"/>
  <c r="AD900" i="1"/>
  <c r="AD901" i="1"/>
  <c r="AD902" i="1"/>
  <c r="AD903" i="1"/>
  <c r="O895" i="1"/>
  <c r="O896" i="1"/>
  <c r="O897" i="1"/>
  <c r="O898" i="1"/>
  <c r="O899" i="1"/>
  <c r="O900" i="1"/>
  <c r="O901" i="1"/>
  <c r="O902" i="1"/>
  <c r="O903" i="1"/>
  <c r="O69" i="1"/>
  <c r="U69" i="1"/>
  <c r="AD69" i="1"/>
  <c r="AG69" i="1"/>
  <c r="AH69" i="1"/>
  <c r="AI69" i="1"/>
  <c r="AJ69" i="1"/>
  <c r="G69" i="1" s="1"/>
  <c r="H69" i="1" s="1"/>
  <c r="AK69" i="1"/>
  <c r="AG92" i="1"/>
  <c r="O190" i="1"/>
  <c r="U190" i="1"/>
  <c r="AD190" i="1"/>
  <c r="AG190" i="1"/>
  <c r="AH190" i="1"/>
  <c r="AI190" i="1"/>
  <c r="AJ190" i="1"/>
  <c r="G190" i="1" s="1"/>
  <c r="H190" i="1" s="1"/>
  <c r="AK190" i="1"/>
  <c r="O188" i="1"/>
  <c r="U188" i="1"/>
  <c r="AD188" i="1"/>
  <c r="AG188" i="1"/>
  <c r="AH188" i="1"/>
  <c r="AI188" i="1"/>
  <c r="AJ188" i="1"/>
  <c r="G188" i="1" s="1"/>
  <c r="H188" i="1" s="1"/>
  <c r="AK188" i="1"/>
  <c r="O186" i="1"/>
  <c r="U186" i="1"/>
  <c r="AD186" i="1"/>
  <c r="AG186" i="1"/>
  <c r="AH186" i="1"/>
  <c r="AI186" i="1"/>
  <c r="AJ186" i="1"/>
  <c r="G186" i="1" s="1"/>
  <c r="H186" i="1" s="1"/>
  <c r="AK186" i="1"/>
  <c r="O184" i="1"/>
  <c r="U184" i="1"/>
  <c r="AD184" i="1"/>
  <c r="AG184" i="1"/>
  <c r="AH184" i="1"/>
  <c r="AI184" i="1"/>
  <c r="AJ184" i="1"/>
  <c r="G184" i="1" s="1"/>
  <c r="H184" i="1" s="1"/>
  <c r="AK184" i="1"/>
  <c r="O182" i="1"/>
  <c r="U182" i="1"/>
  <c r="AD182" i="1"/>
  <c r="AG182" i="1"/>
  <c r="AH182" i="1"/>
  <c r="AI182" i="1"/>
  <c r="AJ182" i="1"/>
  <c r="G182" i="1" s="1"/>
  <c r="H182" i="1" s="1"/>
  <c r="AK182" i="1"/>
  <c r="O6" i="1"/>
  <c r="U6" i="1"/>
  <c r="AD6" i="1"/>
  <c r="AG6" i="1"/>
  <c r="AH6" i="1"/>
  <c r="AI6" i="1"/>
  <c r="AJ6" i="1"/>
  <c r="G6" i="1" s="1"/>
  <c r="H6" i="1" s="1"/>
  <c r="AK6" i="1"/>
  <c r="O889" i="1"/>
  <c r="U889" i="1"/>
  <c r="AD889" i="1"/>
  <c r="AG889" i="1"/>
  <c r="AH889" i="1"/>
  <c r="AI889" i="1"/>
  <c r="AJ889" i="1"/>
  <c r="G889" i="1" s="1"/>
  <c r="H889" i="1" s="1"/>
  <c r="AK889" i="1"/>
  <c r="U872" i="1"/>
  <c r="AG883" i="1"/>
  <c r="AH883" i="1"/>
  <c r="AI883" i="1"/>
  <c r="AJ883" i="1"/>
  <c r="G883" i="1" s="1"/>
  <c r="H883" i="1" s="1"/>
  <c r="AK883" i="1"/>
  <c r="AG884" i="1"/>
  <c r="AH884" i="1"/>
  <c r="AI884" i="1"/>
  <c r="AJ884" i="1"/>
  <c r="G884" i="1" s="1"/>
  <c r="H884" i="1" s="1"/>
  <c r="AK884" i="1"/>
  <c r="AG885" i="1"/>
  <c r="AH885" i="1"/>
  <c r="AI885" i="1"/>
  <c r="AJ885" i="1"/>
  <c r="AK885" i="1"/>
  <c r="AG886" i="1"/>
  <c r="AH886" i="1"/>
  <c r="AI886" i="1"/>
  <c r="AJ886" i="1"/>
  <c r="G886" i="1" s="1"/>
  <c r="H886" i="1" s="1"/>
  <c r="AK886" i="1"/>
  <c r="AG887" i="1"/>
  <c r="AH887" i="1"/>
  <c r="AI887" i="1"/>
  <c r="AJ887" i="1"/>
  <c r="G887" i="1" s="1"/>
  <c r="H887" i="1" s="1"/>
  <c r="AK887" i="1"/>
  <c r="AG888" i="1"/>
  <c r="AH888" i="1"/>
  <c r="AI888" i="1"/>
  <c r="AJ888" i="1"/>
  <c r="G888" i="1" s="1"/>
  <c r="H888" i="1" s="1"/>
  <c r="AK888" i="1"/>
  <c r="AG890" i="1"/>
  <c r="AH890" i="1"/>
  <c r="AI890" i="1"/>
  <c r="AJ890" i="1"/>
  <c r="G890" i="1" s="1"/>
  <c r="H890" i="1" s="1"/>
  <c r="AK890" i="1"/>
  <c r="AG891" i="1"/>
  <c r="AH891" i="1"/>
  <c r="AI891" i="1"/>
  <c r="AJ891" i="1"/>
  <c r="G891" i="1" s="1"/>
  <c r="H891" i="1" s="1"/>
  <c r="AK891" i="1"/>
  <c r="AG892" i="1"/>
  <c r="AH892" i="1"/>
  <c r="AI892" i="1"/>
  <c r="AJ892" i="1"/>
  <c r="G892" i="1" s="1"/>
  <c r="H892" i="1" s="1"/>
  <c r="AK892" i="1"/>
  <c r="AG893" i="1"/>
  <c r="AH893" i="1"/>
  <c r="AI893" i="1"/>
  <c r="AJ893" i="1"/>
  <c r="G893" i="1" s="1"/>
  <c r="H893" i="1" s="1"/>
  <c r="AK893" i="1"/>
  <c r="AG894" i="1"/>
  <c r="AH894" i="1"/>
  <c r="AI894" i="1"/>
  <c r="AJ894" i="1"/>
  <c r="G894" i="1" s="1"/>
  <c r="H894" i="1" s="1"/>
  <c r="AK894" i="1"/>
  <c r="AD884" i="1"/>
  <c r="AD885" i="1"/>
  <c r="AD886" i="1"/>
  <c r="AD887" i="1"/>
  <c r="AD888" i="1"/>
  <c r="AD890" i="1"/>
  <c r="AD891" i="1"/>
  <c r="AD892" i="1"/>
  <c r="AD893" i="1"/>
  <c r="AD894" i="1"/>
  <c r="U884" i="1"/>
  <c r="U885" i="1"/>
  <c r="U886" i="1"/>
  <c r="U887" i="1"/>
  <c r="U888" i="1"/>
  <c r="U890" i="1"/>
  <c r="U891" i="1"/>
  <c r="U892" i="1"/>
  <c r="U893" i="1"/>
  <c r="U894" i="1"/>
  <c r="O884" i="1"/>
  <c r="O885" i="1"/>
  <c r="O886" i="1"/>
  <c r="O887" i="1"/>
  <c r="O888" i="1"/>
  <c r="O890" i="1"/>
  <c r="O891" i="1"/>
  <c r="O892" i="1"/>
  <c r="O893" i="1"/>
  <c r="O894" i="1"/>
  <c r="G885" i="1"/>
  <c r="H885" i="1" s="1"/>
  <c r="AG877" i="1"/>
  <c r="AH877" i="1"/>
  <c r="AI877" i="1"/>
  <c r="AJ877" i="1"/>
  <c r="G877" i="1" s="1"/>
  <c r="H877" i="1" s="1"/>
  <c r="AK877" i="1"/>
  <c r="AG878" i="1"/>
  <c r="AH878" i="1"/>
  <c r="AI878" i="1"/>
  <c r="AJ878" i="1"/>
  <c r="G878" i="1" s="1"/>
  <c r="H878" i="1" s="1"/>
  <c r="AK878" i="1"/>
  <c r="AG879" i="1"/>
  <c r="AH879" i="1"/>
  <c r="AI879" i="1"/>
  <c r="AJ879" i="1"/>
  <c r="G879" i="1" s="1"/>
  <c r="H879" i="1" s="1"/>
  <c r="AK879" i="1"/>
  <c r="AG880" i="1"/>
  <c r="AH880" i="1"/>
  <c r="AI880" i="1"/>
  <c r="AJ880" i="1"/>
  <c r="G880" i="1" s="1"/>
  <c r="H880" i="1" s="1"/>
  <c r="AK880" i="1"/>
  <c r="AG881" i="1"/>
  <c r="AH881" i="1"/>
  <c r="AI881" i="1"/>
  <c r="AJ881" i="1"/>
  <c r="G881" i="1" s="1"/>
  <c r="H881" i="1" s="1"/>
  <c r="AK881" i="1"/>
  <c r="AG882" i="1"/>
  <c r="AH882" i="1"/>
  <c r="AI882" i="1"/>
  <c r="AJ882" i="1"/>
  <c r="G882" i="1" s="1"/>
  <c r="H882" i="1" s="1"/>
  <c r="AK882" i="1"/>
  <c r="AD877" i="1"/>
  <c r="AD878" i="1"/>
  <c r="AD879" i="1"/>
  <c r="AD880" i="1"/>
  <c r="AD881" i="1"/>
  <c r="AD882" i="1"/>
  <c r="AD883" i="1"/>
  <c r="U877" i="1"/>
  <c r="U878" i="1"/>
  <c r="U879" i="1"/>
  <c r="U880" i="1"/>
  <c r="U881" i="1"/>
  <c r="U882" i="1"/>
  <c r="U883" i="1"/>
  <c r="O877" i="1"/>
  <c r="O878" i="1"/>
  <c r="O879" i="1"/>
  <c r="O880" i="1"/>
  <c r="O881" i="1"/>
  <c r="O882" i="1"/>
  <c r="O883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3" i="1"/>
  <c r="U874" i="1"/>
  <c r="U875" i="1"/>
  <c r="U876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AG809" i="1"/>
  <c r="AH809" i="1"/>
  <c r="AI809" i="1"/>
  <c r="AJ809" i="1"/>
  <c r="G809" i="1" s="1"/>
  <c r="H809" i="1" s="1"/>
  <c r="AK809" i="1"/>
  <c r="AG810" i="1"/>
  <c r="AH810" i="1"/>
  <c r="AI810" i="1"/>
  <c r="AJ810" i="1"/>
  <c r="G810" i="1" s="1"/>
  <c r="H810" i="1" s="1"/>
  <c r="AK810" i="1"/>
  <c r="AG811" i="1"/>
  <c r="AH811" i="1"/>
  <c r="AI811" i="1"/>
  <c r="AJ811" i="1"/>
  <c r="G811" i="1" s="1"/>
  <c r="H811" i="1" s="1"/>
  <c r="AK811" i="1"/>
  <c r="AG812" i="1"/>
  <c r="AH812" i="1"/>
  <c r="AI812" i="1"/>
  <c r="AJ812" i="1"/>
  <c r="G812" i="1" s="1"/>
  <c r="H812" i="1" s="1"/>
  <c r="AK812" i="1"/>
  <c r="AG813" i="1"/>
  <c r="AH813" i="1"/>
  <c r="AI813" i="1"/>
  <c r="AJ813" i="1"/>
  <c r="G813" i="1" s="1"/>
  <c r="H813" i="1" s="1"/>
  <c r="AK813" i="1"/>
  <c r="AG814" i="1"/>
  <c r="AH814" i="1"/>
  <c r="AI814" i="1"/>
  <c r="AJ814" i="1"/>
  <c r="G814" i="1" s="1"/>
  <c r="H814" i="1" s="1"/>
  <c r="AK814" i="1"/>
  <c r="AG815" i="1"/>
  <c r="AH815" i="1"/>
  <c r="AI815" i="1"/>
  <c r="AJ815" i="1"/>
  <c r="G815" i="1" s="1"/>
  <c r="H815" i="1" s="1"/>
  <c r="AK815" i="1"/>
  <c r="AG816" i="1"/>
  <c r="AH816" i="1"/>
  <c r="AI816" i="1"/>
  <c r="AJ816" i="1"/>
  <c r="G816" i="1" s="1"/>
  <c r="H816" i="1" s="1"/>
  <c r="AK816" i="1"/>
  <c r="AG817" i="1"/>
  <c r="AH817" i="1"/>
  <c r="AI817" i="1"/>
  <c r="AJ817" i="1"/>
  <c r="G817" i="1" s="1"/>
  <c r="H817" i="1" s="1"/>
  <c r="AK817" i="1"/>
  <c r="AG818" i="1"/>
  <c r="AH818" i="1"/>
  <c r="AI818" i="1"/>
  <c r="AJ818" i="1"/>
  <c r="G818" i="1" s="1"/>
  <c r="H818" i="1" s="1"/>
  <c r="AK818" i="1"/>
  <c r="AG819" i="1"/>
  <c r="AH819" i="1"/>
  <c r="AI819" i="1"/>
  <c r="AJ819" i="1"/>
  <c r="G819" i="1" s="1"/>
  <c r="H819" i="1" s="1"/>
  <c r="AK819" i="1"/>
  <c r="AG820" i="1"/>
  <c r="AH820" i="1"/>
  <c r="AI820" i="1"/>
  <c r="AJ820" i="1"/>
  <c r="G820" i="1" s="1"/>
  <c r="H820" i="1" s="1"/>
  <c r="AK820" i="1"/>
  <c r="AG821" i="1"/>
  <c r="AH821" i="1"/>
  <c r="AI821" i="1"/>
  <c r="AJ821" i="1"/>
  <c r="G821" i="1" s="1"/>
  <c r="H821" i="1" s="1"/>
  <c r="AK821" i="1"/>
  <c r="AG822" i="1"/>
  <c r="AH822" i="1"/>
  <c r="AI822" i="1"/>
  <c r="AJ822" i="1"/>
  <c r="G822" i="1" s="1"/>
  <c r="H822" i="1" s="1"/>
  <c r="AK822" i="1"/>
  <c r="AG823" i="1"/>
  <c r="AH823" i="1"/>
  <c r="AI823" i="1"/>
  <c r="AJ823" i="1"/>
  <c r="G823" i="1" s="1"/>
  <c r="H823" i="1" s="1"/>
  <c r="AK823" i="1"/>
  <c r="AG824" i="1"/>
  <c r="AH824" i="1"/>
  <c r="AI824" i="1"/>
  <c r="AJ824" i="1"/>
  <c r="G824" i="1" s="1"/>
  <c r="H824" i="1" s="1"/>
  <c r="AK824" i="1"/>
  <c r="AG825" i="1"/>
  <c r="AH825" i="1"/>
  <c r="AI825" i="1"/>
  <c r="AJ825" i="1"/>
  <c r="G825" i="1" s="1"/>
  <c r="H825" i="1" s="1"/>
  <c r="AK825" i="1"/>
  <c r="AG826" i="1"/>
  <c r="AH826" i="1"/>
  <c r="AI826" i="1"/>
  <c r="AJ826" i="1"/>
  <c r="G826" i="1" s="1"/>
  <c r="H826" i="1" s="1"/>
  <c r="AK826" i="1"/>
  <c r="AG827" i="1"/>
  <c r="AH827" i="1"/>
  <c r="AI827" i="1"/>
  <c r="AJ827" i="1"/>
  <c r="G827" i="1" s="1"/>
  <c r="H827" i="1" s="1"/>
  <c r="AK827" i="1"/>
  <c r="AG828" i="1"/>
  <c r="AH828" i="1"/>
  <c r="AI828" i="1"/>
  <c r="AJ828" i="1"/>
  <c r="G828" i="1" s="1"/>
  <c r="H828" i="1" s="1"/>
  <c r="AK828" i="1"/>
  <c r="AG829" i="1"/>
  <c r="AH829" i="1"/>
  <c r="AI829" i="1"/>
  <c r="AJ829" i="1"/>
  <c r="G829" i="1" s="1"/>
  <c r="H829" i="1" s="1"/>
  <c r="AK829" i="1"/>
  <c r="AG830" i="1"/>
  <c r="AH830" i="1"/>
  <c r="AI830" i="1"/>
  <c r="AJ830" i="1"/>
  <c r="G830" i="1" s="1"/>
  <c r="H830" i="1" s="1"/>
  <c r="AK830" i="1"/>
  <c r="AG831" i="1"/>
  <c r="AH831" i="1"/>
  <c r="AI831" i="1"/>
  <c r="AJ831" i="1"/>
  <c r="G831" i="1" s="1"/>
  <c r="H831" i="1" s="1"/>
  <c r="AK831" i="1"/>
  <c r="AG832" i="1"/>
  <c r="AH832" i="1"/>
  <c r="AI832" i="1"/>
  <c r="AJ832" i="1"/>
  <c r="G832" i="1" s="1"/>
  <c r="H832" i="1" s="1"/>
  <c r="AK832" i="1"/>
  <c r="AG833" i="1"/>
  <c r="AH833" i="1"/>
  <c r="AI833" i="1"/>
  <c r="AJ833" i="1"/>
  <c r="G833" i="1" s="1"/>
  <c r="H833" i="1" s="1"/>
  <c r="AK833" i="1"/>
  <c r="AG834" i="1"/>
  <c r="AH834" i="1"/>
  <c r="AI834" i="1"/>
  <c r="AJ834" i="1"/>
  <c r="G834" i="1" s="1"/>
  <c r="H834" i="1" s="1"/>
  <c r="AK834" i="1"/>
  <c r="AG835" i="1"/>
  <c r="AH835" i="1"/>
  <c r="AI835" i="1"/>
  <c r="AJ835" i="1"/>
  <c r="G835" i="1" s="1"/>
  <c r="H835" i="1" s="1"/>
  <c r="AK835" i="1"/>
  <c r="AG836" i="1"/>
  <c r="AH836" i="1"/>
  <c r="AI836" i="1"/>
  <c r="AJ836" i="1"/>
  <c r="G836" i="1" s="1"/>
  <c r="H836" i="1" s="1"/>
  <c r="AK836" i="1"/>
  <c r="AG837" i="1"/>
  <c r="AH837" i="1"/>
  <c r="AI837" i="1"/>
  <c r="AJ837" i="1"/>
  <c r="G837" i="1" s="1"/>
  <c r="H837" i="1" s="1"/>
  <c r="AK837" i="1"/>
  <c r="AG838" i="1"/>
  <c r="AH838" i="1"/>
  <c r="AI838" i="1"/>
  <c r="AJ838" i="1"/>
  <c r="G838" i="1" s="1"/>
  <c r="H838" i="1" s="1"/>
  <c r="AK838" i="1"/>
  <c r="AG839" i="1"/>
  <c r="AH839" i="1"/>
  <c r="AI839" i="1"/>
  <c r="AJ839" i="1"/>
  <c r="G839" i="1" s="1"/>
  <c r="H839" i="1" s="1"/>
  <c r="AK839" i="1"/>
  <c r="AG840" i="1"/>
  <c r="AH840" i="1"/>
  <c r="AI840" i="1"/>
  <c r="AJ840" i="1"/>
  <c r="G840" i="1" s="1"/>
  <c r="H840" i="1" s="1"/>
  <c r="AK840" i="1"/>
  <c r="AG841" i="1"/>
  <c r="AH841" i="1"/>
  <c r="AI841" i="1"/>
  <c r="AJ841" i="1"/>
  <c r="G841" i="1" s="1"/>
  <c r="H841" i="1" s="1"/>
  <c r="AK841" i="1"/>
  <c r="AG842" i="1"/>
  <c r="AH842" i="1"/>
  <c r="AI842" i="1"/>
  <c r="AJ842" i="1"/>
  <c r="G842" i="1" s="1"/>
  <c r="H842" i="1" s="1"/>
  <c r="AK842" i="1"/>
  <c r="AG843" i="1"/>
  <c r="AH843" i="1"/>
  <c r="AI843" i="1"/>
  <c r="AJ843" i="1"/>
  <c r="G843" i="1" s="1"/>
  <c r="H843" i="1" s="1"/>
  <c r="AK843" i="1"/>
  <c r="AG844" i="1"/>
  <c r="AH844" i="1"/>
  <c r="AI844" i="1"/>
  <c r="AJ844" i="1"/>
  <c r="G844" i="1" s="1"/>
  <c r="H844" i="1" s="1"/>
  <c r="AK844" i="1"/>
  <c r="AG845" i="1"/>
  <c r="AH845" i="1"/>
  <c r="AI845" i="1"/>
  <c r="AJ845" i="1"/>
  <c r="G845" i="1" s="1"/>
  <c r="H845" i="1" s="1"/>
  <c r="AK845" i="1"/>
  <c r="AG846" i="1"/>
  <c r="AH846" i="1"/>
  <c r="AI846" i="1"/>
  <c r="AJ846" i="1"/>
  <c r="G846" i="1" s="1"/>
  <c r="H846" i="1" s="1"/>
  <c r="AK846" i="1"/>
  <c r="AG847" i="1"/>
  <c r="AH847" i="1"/>
  <c r="AI847" i="1"/>
  <c r="AJ847" i="1"/>
  <c r="G847" i="1" s="1"/>
  <c r="H847" i="1" s="1"/>
  <c r="AK847" i="1"/>
  <c r="AG848" i="1"/>
  <c r="AH848" i="1"/>
  <c r="AI848" i="1"/>
  <c r="AJ848" i="1"/>
  <c r="G848" i="1" s="1"/>
  <c r="H848" i="1" s="1"/>
  <c r="AK848" i="1"/>
  <c r="AG849" i="1"/>
  <c r="AH849" i="1"/>
  <c r="AI849" i="1"/>
  <c r="AJ849" i="1"/>
  <c r="G849" i="1" s="1"/>
  <c r="H849" i="1" s="1"/>
  <c r="AK849" i="1"/>
  <c r="AG850" i="1"/>
  <c r="AH850" i="1"/>
  <c r="AI850" i="1"/>
  <c r="AJ850" i="1"/>
  <c r="G850" i="1" s="1"/>
  <c r="H850" i="1" s="1"/>
  <c r="AK850" i="1"/>
  <c r="AG851" i="1"/>
  <c r="AH851" i="1"/>
  <c r="AI851" i="1"/>
  <c r="AJ851" i="1"/>
  <c r="G851" i="1" s="1"/>
  <c r="H851" i="1" s="1"/>
  <c r="AK851" i="1"/>
  <c r="AG852" i="1"/>
  <c r="AH852" i="1"/>
  <c r="AI852" i="1"/>
  <c r="AJ852" i="1"/>
  <c r="G852" i="1" s="1"/>
  <c r="H852" i="1" s="1"/>
  <c r="AK852" i="1"/>
  <c r="AG853" i="1"/>
  <c r="AH853" i="1"/>
  <c r="AI853" i="1"/>
  <c r="AJ853" i="1"/>
  <c r="G853" i="1" s="1"/>
  <c r="H853" i="1" s="1"/>
  <c r="AK853" i="1"/>
  <c r="AG854" i="1"/>
  <c r="AH854" i="1"/>
  <c r="AI854" i="1"/>
  <c r="AJ854" i="1"/>
  <c r="G854" i="1" s="1"/>
  <c r="H854" i="1" s="1"/>
  <c r="AK854" i="1"/>
  <c r="AG855" i="1"/>
  <c r="AH855" i="1"/>
  <c r="AI855" i="1"/>
  <c r="AJ855" i="1"/>
  <c r="G855" i="1" s="1"/>
  <c r="H855" i="1" s="1"/>
  <c r="AK855" i="1"/>
  <c r="AG856" i="1"/>
  <c r="AH856" i="1"/>
  <c r="AI856" i="1"/>
  <c r="AJ856" i="1"/>
  <c r="G856" i="1" s="1"/>
  <c r="H856" i="1" s="1"/>
  <c r="AK856" i="1"/>
  <c r="AG857" i="1"/>
  <c r="AH857" i="1"/>
  <c r="AI857" i="1"/>
  <c r="AJ857" i="1"/>
  <c r="G857" i="1" s="1"/>
  <c r="H857" i="1" s="1"/>
  <c r="AK857" i="1"/>
  <c r="AG858" i="1"/>
  <c r="AH858" i="1"/>
  <c r="AI858" i="1"/>
  <c r="AJ858" i="1"/>
  <c r="G858" i="1" s="1"/>
  <c r="H858" i="1" s="1"/>
  <c r="AK858" i="1"/>
  <c r="AG859" i="1"/>
  <c r="AH859" i="1"/>
  <c r="AI859" i="1"/>
  <c r="AJ859" i="1"/>
  <c r="G859" i="1" s="1"/>
  <c r="H859" i="1" s="1"/>
  <c r="AK859" i="1"/>
  <c r="AG860" i="1"/>
  <c r="AH860" i="1"/>
  <c r="AI860" i="1"/>
  <c r="AJ860" i="1"/>
  <c r="G860" i="1" s="1"/>
  <c r="H860" i="1" s="1"/>
  <c r="AK860" i="1"/>
  <c r="AG861" i="1"/>
  <c r="AH861" i="1"/>
  <c r="AI861" i="1"/>
  <c r="AJ861" i="1"/>
  <c r="G861" i="1" s="1"/>
  <c r="H861" i="1" s="1"/>
  <c r="AK861" i="1"/>
  <c r="AG862" i="1"/>
  <c r="AH862" i="1"/>
  <c r="AI862" i="1"/>
  <c r="AJ862" i="1"/>
  <c r="G862" i="1" s="1"/>
  <c r="H862" i="1" s="1"/>
  <c r="AK862" i="1"/>
  <c r="AG863" i="1"/>
  <c r="AH863" i="1"/>
  <c r="AI863" i="1"/>
  <c r="AJ863" i="1"/>
  <c r="G863" i="1" s="1"/>
  <c r="H863" i="1" s="1"/>
  <c r="AK863" i="1"/>
  <c r="AG864" i="1"/>
  <c r="AH864" i="1"/>
  <c r="AI864" i="1"/>
  <c r="AJ864" i="1"/>
  <c r="G864" i="1" s="1"/>
  <c r="H864" i="1" s="1"/>
  <c r="AK864" i="1"/>
  <c r="AG865" i="1"/>
  <c r="AH865" i="1"/>
  <c r="AI865" i="1"/>
  <c r="AJ865" i="1"/>
  <c r="G865" i="1" s="1"/>
  <c r="H865" i="1" s="1"/>
  <c r="AK865" i="1"/>
  <c r="AG866" i="1"/>
  <c r="AH866" i="1"/>
  <c r="AI866" i="1"/>
  <c r="AJ866" i="1"/>
  <c r="G866" i="1" s="1"/>
  <c r="H866" i="1" s="1"/>
  <c r="AK866" i="1"/>
  <c r="AG867" i="1"/>
  <c r="AH867" i="1"/>
  <c r="AI867" i="1"/>
  <c r="AJ867" i="1"/>
  <c r="G867" i="1" s="1"/>
  <c r="H867" i="1" s="1"/>
  <c r="AK867" i="1"/>
  <c r="AG868" i="1"/>
  <c r="AH868" i="1"/>
  <c r="AI868" i="1"/>
  <c r="AJ868" i="1"/>
  <c r="G868" i="1" s="1"/>
  <c r="H868" i="1" s="1"/>
  <c r="AK868" i="1"/>
  <c r="AG869" i="1"/>
  <c r="AH869" i="1"/>
  <c r="AI869" i="1"/>
  <c r="AJ869" i="1"/>
  <c r="G869" i="1" s="1"/>
  <c r="H869" i="1" s="1"/>
  <c r="AK869" i="1"/>
  <c r="AG870" i="1"/>
  <c r="AH870" i="1"/>
  <c r="AI870" i="1"/>
  <c r="AJ870" i="1"/>
  <c r="G870" i="1" s="1"/>
  <c r="H870" i="1" s="1"/>
  <c r="AK870" i="1"/>
  <c r="AG871" i="1"/>
  <c r="AH871" i="1"/>
  <c r="AI871" i="1"/>
  <c r="AJ871" i="1"/>
  <c r="G871" i="1" s="1"/>
  <c r="H871" i="1" s="1"/>
  <c r="AK871" i="1"/>
  <c r="AG872" i="1"/>
  <c r="AH872" i="1"/>
  <c r="AI872" i="1"/>
  <c r="AJ872" i="1"/>
  <c r="G872" i="1" s="1"/>
  <c r="H872" i="1" s="1"/>
  <c r="AK872" i="1"/>
  <c r="AG873" i="1"/>
  <c r="AH873" i="1"/>
  <c r="AI873" i="1"/>
  <c r="AJ873" i="1"/>
  <c r="G873" i="1" s="1"/>
  <c r="H873" i="1" s="1"/>
  <c r="AK873" i="1"/>
  <c r="AG874" i="1"/>
  <c r="AH874" i="1"/>
  <c r="AI874" i="1"/>
  <c r="AJ874" i="1"/>
  <c r="G874" i="1" s="1"/>
  <c r="H874" i="1" s="1"/>
  <c r="AK874" i="1"/>
  <c r="AG875" i="1"/>
  <c r="AH875" i="1"/>
  <c r="AI875" i="1"/>
  <c r="AJ875" i="1"/>
  <c r="G875" i="1" s="1"/>
  <c r="H875" i="1" s="1"/>
  <c r="AK875" i="1"/>
  <c r="AG876" i="1"/>
  <c r="AH876" i="1"/>
  <c r="AI876" i="1"/>
  <c r="AJ876" i="1"/>
  <c r="G876" i="1" s="1"/>
  <c r="H876" i="1" s="1"/>
  <c r="AK876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08" i="1"/>
  <c r="AG808" i="1"/>
  <c r="AH808" i="1"/>
  <c r="AI808" i="1"/>
  <c r="AJ808" i="1"/>
  <c r="G808" i="1" s="1"/>
  <c r="H808" i="1" s="1"/>
  <c r="AK808" i="1"/>
  <c r="U808" i="1"/>
  <c r="O808" i="1"/>
  <c r="AD804" i="1"/>
  <c r="AG804" i="1"/>
  <c r="AH804" i="1"/>
  <c r="AI804" i="1"/>
  <c r="AJ804" i="1"/>
  <c r="G804" i="1" s="1"/>
  <c r="H804" i="1" s="1"/>
  <c r="AK804" i="1"/>
  <c r="AD805" i="1"/>
  <c r="AG805" i="1"/>
  <c r="AH805" i="1"/>
  <c r="AI805" i="1"/>
  <c r="AJ805" i="1"/>
  <c r="G805" i="1" s="1"/>
  <c r="H805" i="1" s="1"/>
  <c r="AK805" i="1"/>
  <c r="AD806" i="1"/>
  <c r="AG806" i="1"/>
  <c r="AH806" i="1"/>
  <c r="AI806" i="1"/>
  <c r="AJ806" i="1"/>
  <c r="G806" i="1" s="1"/>
  <c r="H806" i="1" s="1"/>
  <c r="AK806" i="1"/>
  <c r="AD807" i="1"/>
  <c r="AG807" i="1"/>
  <c r="AH807" i="1"/>
  <c r="AI807" i="1"/>
  <c r="AJ807" i="1"/>
  <c r="G807" i="1" s="1"/>
  <c r="H807" i="1" s="1"/>
  <c r="AK807" i="1"/>
  <c r="U804" i="1"/>
  <c r="U805" i="1"/>
  <c r="U806" i="1"/>
  <c r="U807" i="1"/>
  <c r="O807" i="1"/>
  <c r="O806" i="1"/>
  <c r="O805" i="1"/>
  <c r="O804" i="1"/>
  <c r="AG801" i="1"/>
  <c r="AH801" i="1"/>
  <c r="AI801" i="1"/>
  <c r="AJ801" i="1"/>
  <c r="G801" i="1" s="1"/>
  <c r="H801" i="1" s="1"/>
  <c r="AK801" i="1"/>
  <c r="AG802" i="1"/>
  <c r="AH802" i="1"/>
  <c r="AI802" i="1"/>
  <c r="AJ802" i="1"/>
  <c r="G802" i="1" s="1"/>
  <c r="H802" i="1" s="1"/>
  <c r="AK802" i="1"/>
  <c r="AG803" i="1"/>
  <c r="AH803" i="1"/>
  <c r="AI803" i="1"/>
  <c r="AJ803" i="1"/>
  <c r="G803" i="1" s="1"/>
  <c r="H803" i="1" s="1"/>
  <c r="AK803" i="1"/>
  <c r="AD801" i="1"/>
  <c r="AD802" i="1"/>
  <c r="AD803" i="1"/>
  <c r="U801" i="1"/>
  <c r="U802" i="1"/>
  <c r="U803" i="1"/>
  <c r="O801" i="1"/>
  <c r="O802" i="1"/>
  <c r="O803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774" i="1"/>
  <c r="AG800" i="1"/>
  <c r="AH800" i="1"/>
  <c r="AI800" i="1"/>
  <c r="AJ800" i="1"/>
  <c r="G800" i="1" s="1"/>
  <c r="H800" i="1" s="1"/>
  <c r="AK800" i="1"/>
  <c r="AD800" i="1"/>
  <c r="O800" i="1"/>
  <c r="AG781" i="1"/>
  <c r="AH781" i="1"/>
  <c r="AI781" i="1"/>
  <c r="AJ781" i="1"/>
  <c r="G781" i="1" s="1"/>
  <c r="H781" i="1" s="1"/>
  <c r="AK781" i="1"/>
  <c r="AG782" i="1"/>
  <c r="AH782" i="1"/>
  <c r="AI782" i="1"/>
  <c r="AJ782" i="1"/>
  <c r="G782" i="1" s="1"/>
  <c r="H782" i="1" s="1"/>
  <c r="AK782" i="1"/>
  <c r="AG783" i="1"/>
  <c r="AH783" i="1"/>
  <c r="AI783" i="1"/>
  <c r="AJ783" i="1"/>
  <c r="G783" i="1" s="1"/>
  <c r="H783" i="1" s="1"/>
  <c r="AK783" i="1"/>
  <c r="AG784" i="1"/>
  <c r="AH784" i="1"/>
  <c r="AI784" i="1"/>
  <c r="AJ784" i="1"/>
  <c r="G784" i="1" s="1"/>
  <c r="H784" i="1" s="1"/>
  <c r="AK784" i="1"/>
  <c r="AG785" i="1"/>
  <c r="AH785" i="1"/>
  <c r="AI785" i="1"/>
  <c r="AJ785" i="1"/>
  <c r="G785" i="1" s="1"/>
  <c r="H785" i="1" s="1"/>
  <c r="AK785" i="1"/>
  <c r="AG786" i="1"/>
  <c r="AH786" i="1"/>
  <c r="AI786" i="1"/>
  <c r="AJ786" i="1"/>
  <c r="G786" i="1" s="1"/>
  <c r="H786" i="1" s="1"/>
  <c r="AK786" i="1"/>
  <c r="AG787" i="1"/>
  <c r="AH787" i="1"/>
  <c r="AI787" i="1"/>
  <c r="AJ787" i="1"/>
  <c r="G787" i="1" s="1"/>
  <c r="H787" i="1" s="1"/>
  <c r="AK787" i="1"/>
  <c r="AG788" i="1"/>
  <c r="AH788" i="1"/>
  <c r="AI788" i="1"/>
  <c r="AJ788" i="1"/>
  <c r="G788" i="1" s="1"/>
  <c r="H788" i="1" s="1"/>
  <c r="AK788" i="1"/>
  <c r="AG789" i="1"/>
  <c r="AH789" i="1"/>
  <c r="AI789" i="1"/>
  <c r="AJ789" i="1"/>
  <c r="G789" i="1" s="1"/>
  <c r="H789" i="1" s="1"/>
  <c r="AK789" i="1"/>
  <c r="AG790" i="1"/>
  <c r="AH790" i="1"/>
  <c r="AI790" i="1"/>
  <c r="AJ790" i="1"/>
  <c r="G790" i="1" s="1"/>
  <c r="H790" i="1" s="1"/>
  <c r="AK790" i="1"/>
  <c r="AG791" i="1"/>
  <c r="AH791" i="1"/>
  <c r="AI791" i="1"/>
  <c r="AJ791" i="1"/>
  <c r="G791" i="1" s="1"/>
  <c r="H791" i="1" s="1"/>
  <c r="AK791" i="1"/>
  <c r="AG792" i="1"/>
  <c r="AH792" i="1"/>
  <c r="AI792" i="1"/>
  <c r="AJ792" i="1"/>
  <c r="G792" i="1" s="1"/>
  <c r="H792" i="1" s="1"/>
  <c r="AK792" i="1"/>
  <c r="AG793" i="1"/>
  <c r="AH793" i="1"/>
  <c r="AI793" i="1"/>
  <c r="AJ793" i="1"/>
  <c r="G793" i="1" s="1"/>
  <c r="H793" i="1" s="1"/>
  <c r="AK793" i="1"/>
  <c r="AG794" i="1"/>
  <c r="AH794" i="1"/>
  <c r="AI794" i="1"/>
  <c r="AJ794" i="1"/>
  <c r="G794" i="1" s="1"/>
  <c r="H794" i="1" s="1"/>
  <c r="AK794" i="1"/>
  <c r="AG795" i="1"/>
  <c r="AH795" i="1"/>
  <c r="AI795" i="1"/>
  <c r="AJ795" i="1"/>
  <c r="G795" i="1" s="1"/>
  <c r="H795" i="1" s="1"/>
  <c r="AK795" i="1"/>
  <c r="AG796" i="1"/>
  <c r="AH796" i="1"/>
  <c r="AI796" i="1"/>
  <c r="AJ796" i="1"/>
  <c r="G796" i="1" s="1"/>
  <c r="H796" i="1" s="1"/>
  <c r="AK796" i="1"/>
  <c r="AG797" i="1"/>
  <c r="AH797" i="1"/>
  <c r="AI797" i="1"/>
  <c r="AJ797" i="1"/>
  <c r="G797" i="1" s="1"/>
  <c r="H797" i="1" s="1"/>
  <c r="AK797" i="1"/>
  <c r="AG798" i="1"/>
  <c r="AH798" i="1"/>
  <c r="AI798" i="1"/>
  <c r="AJ798" i="1"/>
  <c r="G798" i="1" s="1"/>
  <c r="H798" i="1" s="1"/>
  <c r="AK798" i="1"/>
  <c r="AG799" i="1"/>
  <c r="AH799" i="1"/>
  <c r="AI799" i="1"/>
  <c r="AJ799" i="1"/>
  <c r="G799" i="1" s="1"/>
  <c r="H799" i="1" s="1"/>
  <c r="AK799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112" i="1"/>
  <c r="U112" i="1"/>
  <c r="AD112" i="1"/>
  <c r="AG112" i="1"/>
  <c r="AH112" i="1"/>
  <c r="AI112" i="1"/>
  <c r="AJ112" i="1"/>
  <c r="G112" i="1" s="1"/>
  <c r="H112" i="1" s="1"/>
  <c r="AK112" i="1"/>
  <c r="O113" i="1"/>
  <c r="U113" i="1"/>
  <c r="AD113" i="1"/>
  <c r="AG113" i="1"/>
  <c r="AH113" i="1"/>
  <c r="AI113" i="1"/>
  <c r="AJ113" i="1"/>
  <c r="G113" i="1" s="1"/>
  <c r="H113" i="1" s="1"/>
  <c r="AK113" i="1"/>
  <c r="O108" i="1"/>
  <c r="U108" i="1"/>
  <c r="AD108" i="1"/>
  <c r="AG108" i="1"/>
  <c r="AH108" i="1"/>
  <c r="AI108" i="1"/>
  <c r="AJ108" i="1"/>
  <c r="G108" i="1" s="1"/>
  <c r="H108" i="1" s="1"/>
  <c r="AK108" i="1"/>
  <c r="O109" i="1"/>
  <c r="U109" i="1"/>
  <c r="AD109" i="1"/>
  <c r="AG109" i="1"/>
  <c r="AH109" i="1"/>
  <c r="AI109" i="1"/>
  <c r="AJ109" i="1"/>
  <c r="G109" i="1" s="1"/>
  <c r="H109" i="1" s="1"/>
  <c r="AK109" i="1"/>
  <c r="O132" i="1"/>
  <c r="U132" i="1"/>
  <c r="AD132" i="1"/>
  <c r="AG132" i="1"/>
  <c r="AH132" i="1"/>
  <c r="AI132" i="1"/>
  <c r="AJ132" i="1"/>
  <c r="G132" i="1" s="1"/>
  <c r="H132" i="1" s="1"/>
  <c r="AK132" i="1"/>
  <c r="AD780" i="1"/>
  <c r="AG780" i="1"/>
  <c r="AH780" i="1"/>
  <c r="AI780" i="1"/>
  <c r="AJ780" i="1"/>
  <c r="G780" i="1" s="1"/>
  <c r="H780" i="1" s="1"/>
  <c r="AK780" i="1"/>
  <c r="O780" i="1"/>
  <c r="AD778" i="1"/>
  <c r="AG778" i="1"/>
  <c r="AH778" i="1"/>
  <c r="AI778" i="1"/>
  <c r="AJ778" i="1"/>
  <c r="G778" i="1" s="1"/>
  <c r="H778" i="1" s="1"/>
  <c r="AK778" i="1"/>
  <c r="AD779" i="1"/>
  <c r="AG779" i="1"/>
  <c r="AH779" i="1"/>
  <c r="AI779" i="1"/>
  <c r="AJ779" i="1"/>
  <c r="G779" i="1" s="1"/>
  <c r="H779" i="1" s="1"/>
  <c r="AK779" i="1"/>
  <c r="O778" i="1"/>
  <c r="O779" i="1"/>
  <c r="AG776" i="1"/>
  <c r="AH776" i="1"/>
  <c r="AI776" i="1"/>
  <c r="AJ776" i="1"/>
  <c r="G776" i="1" s="1"/>
  <c r="H776" i="1" s="1"/>
  <c r="AK776" i="1"/>
  <c r="AG777" i="1"/>
  <c r="AH777" i="1"/>
  <c r="AI777" i="1"/>
  <c r="AJ777" i="1"/>
  <c r="G777" i="1" s="1"/>
  <c r="H777" i="1" s="1"/>
  <c r="AK777" i="1"/>
  <c r="AD776" i="1"/>
  <c r="AD777" i="1"/>
  <c r="O777" i="1"/>
  <c r="O776" i="1"/>
  <c r="AG774" i="1"/>
  <c r="AH774" i="1"/>
  <c r="AI774" i="1"/>
  <c r="AJ774" i="1"/>
  <c r="G774" i="1" s="1"/>
  <c r="H774" i="1" s="1"/>
  <c r="AK774" i="1"/>
  <c r="AG775" i="1"/>
  <c r="AH775" i="1"/>
  <c r="AI775" i="1"/>
  <c r="AJ775" i="1"/>
  <c r="G775" i="1" s="1"/>
  <c r="H775" i="1" s="1"/>
  <c r="AK775" i="1"/>
  <c r="AD774" i="1"/>
  <c r="AD775" i="1"/>
  <c r="O775" i="1"/>
  <c r="O774" i="1"/>
  <c r="O127" i="1"/>
  <c r="U127" i="1"/>
  <c r="AD127" i="1"/>
  <c r="AG127" i="1"/>
  <c r="AH127" i="1"/>
  <c r="AI127" i="1"/>
  <c r="AJ127" i="1"/>
  <c r="G127" i="1" s="1"/>
  <c r="H127" i="1" s="1"/>
  <c r="AK127" i="1"/>
  <c r="U772" i="1"/>
  <c r="O772" i="1"/>
  <c r="AD772" i="1"/>
  <c r="AG772" i="1"/>
  <c r="AH772" i="1"/>
  <c r="AI772" i="1"/>
  <c r="AJ772" i="1"/>
  <c r="G772" i="1" s="1"/>
  <c r="H772" i="1" s="1"/>
  <c r="AK772" i="1"/>
  <c r="AG771" i="1"/>
  <c r="AH771" i="1"/>
  <c r="AI771" i="1"/>
  <c r="AJ771" i="1"/>
  <c r="G771" i="1" s="1"/>
  <c r="H771" i="1" s="1"/>
  <c r="AK771" i="1"/>
  <c r="AG773" i="1"/>
  <c r="AH773" i="1"/>
  <c r="AI773" i="1"/>
  <c r="AJ773" i="1"/>
  <c r="G773" i="1" s="1"/>
  <c r="H773" i="1" s="1"/>
  <c r="AK773" i="1"/>
  <c r="AD771" i="1"/>
  <c r="AD773" i="1"/>
  <c r="U771" i="1"/>
  <c r="U773" i="1"/>
  <c r="O773" i="1"/>
  <c r="O771" i="1"/>
  <c r="O770" i="1"/>
  <c r="U770" i="1"/>
  <c r="AD770" i="1"/>
  <c r="AG770" i="1"/>
  <c r="AH770" i="1"/>
  <c r="AI770" i="1"/>
  <c r="AJ770" i="1"/>
  <c r="G770" i="1" s="1"/>
  <c r="H770" i="1" s="1"/>
  <c r="AK770" i="1"/>
  <c r="AG540" i="1"/>
  <c r="O70" i="1"/>
  <c r="U70" i="1"/>
  <c r="AD70" i="1"/>
  <c r="AG70" i="1"/>
  <c r="AH70" i="1"/>
  <c r="AI70" i="1"/>
  <c r="AJ70" i="1"/>
  <c r="G70" i="1" s="1"/>
  <c r="H70" i="1" s="1"/>
  <c r="AK70" i="1"/>
  <c r="O765" i="1"/>
  <c r="U765" i="1"/>
  <c r="AD765" i="1"/>
  <c r="AG765" i="1"/>
  <c r="AH765" i="1"/>
  <c r="AI765" i="1"/>
  <c r="AJ765" i="1"/>
  <c r="G765" i="1" s="1"/>
  <c r="H765" i="1" s="1"/>
  <c r="AK765" i="1"/>
  <c r="O769" i="1"/>
  <c r="U769" i="1"/>
  <c r="AD769" i="1"/>
  <c r="AG769" i="1"/>
  <c r="AH769" i="1"/>
  <c r="AI769" i="1"/>
  <c r="AJ769" i="1"/>
  <c r="G769" i="1" s="1"/>
  <c r="H769" i="1" s="1"/>
  <c r="AK769" i="1"/>
  <c r="O768" i="1"/>
  <c r="U768" i="1"/>
  <c r="AD768" i="1"/>
  <c r="AG768" i="1"/>
  <c r="AH768" i="1"/>
  <c r="AI768" i="1"/>
  <c r="AJ768" i="1"/>
  <c r="G768" i="1" s="1"/>
  <c r="H768" i="1" s="1"/>
  <c r="AK768" i="1"/>
  <c r="AG766" i="1"/>
  <c r="AH766" i="1"/>
  <c r="AI766" i="1"/>
  <c r="AJ766" i="1"/>
  <c r="G766" i="1" s="1"/>
  <c r="H766" i="1" s="1"/>
  <c r="AK766" i="1"/>
  <c r="AG767" i="1"/>
  <c r="AH767" i="1"/>
  <c r="AI767" i="1"/>
  <c r="AJ767" i="1"/>
  <c r="G767" i="1" s="1"/>
  <c r="H767" i="1" s="1"/>
  <c r="AK767" i="1"/>
  <c r="AD766" i="1"/>
  <c r="AD767" i="1"/>
  <c r="U766" i="1"/>
  <c r="U767" i="1"/>
  <c r="O767" i="1"/>
  <c r="O766" i="1"/>
  <c r="AD760" i="1"/>
  <c r="AG760" i="1"/>
  <c r="AH760" i="1"/>
  <c r="AI760" i="1"/>
  <c r="AJ760" i="1"/>
  <c r="G760" i="1" s="1"/>
  <c r="H760" i="1" s="1"/>
  <c r="AK760" i="1"/>
  <c r="AD761" i="1"/>
  <c r="AG761" i="1"/>
  <c r="AH761" i="1"/>
  <c r="AI761" i="1"/>
  <c r="AJ761" i="1"/>
  <c r="G761" i="1" s="1"/>
  <c r="H761" i="1" s="1"/>
  <c r="AK761" i="1"/>
  <c r="AD762" i="1"/>
  <c r="AG762" i="1"/>
  <c r="AH762" i="1"/>
  <c r="AI762" i="1"/>
  <c r="AJ762" i="1"/>
  <c r="G762" i="1" s="1"/>
  <c r="H762" i="1" s="1"/>
  <c r="AK762" i="1"/>
  <c r="AD763" i="1"/>
  <c r="AG763" i="1"/>
  <c r="AH763" i="1"/>
  <c r="AI763" i="1"/>
  <c r="AJ763" i="1"/>
  <c r="G763" i="1" s="1"/>
  <c r="H763" i="1" s="1"/>
  <c r="AK763" i="1"/>
  <c r="AD764" i="1"/>
  <c r="AG764" i="1"/>
  <c r="AH764" i="1"/>
  <c r="AI764" i="1"/>
  <c r="AJ764" i="1"/>
  <c r="G764" i="1" s="1"/>
  <c r="H764" i="1" s="1"/>
  <c r="AK764" i="1"/>
  <c r="U764" i="1"/>
  <c r="O764" i="1"/>
  <c r="U760" i="1"/>
  <c r="U761" i="1"/>
  <c r="U762" i="1"/>
  <c r="U763" i="1"/>
  <c r="O760" i="1"/>
  <c r="O761" i="1"/>
  <c r="O762" i="1"/>
  <c r="O763" i="1"/>
  <c r="O759" i="1"/>
  <c r="U759" i="1"/>
  <c r="AD759" i="1"/>
  <c r="AG759" i="1"/>
  <c r="AH759" i="1"/>
  <c r="AI759" i="1"/>
  <c r="AJ759" i="1"/>
  <c r="G759" i="1" s="1"/>
  <c r="H759" i="1" s="1"/>
  <c r="AK759" i="1"/>
  <c r="AG758" i="1"/>
  <c r="AH758" i="1"/>
  <c r="AI758" i="1"/>
  <c r="AJ758" i="1"/>
  <c r="G758" i="1" s="1"/>
  <c r="H758" i="1" s="1"/>
  <c r="AK758" i="1"/>
  <c r="AD758" i="1"/>
  <c r="U758" i="1"/>
  <c r="O758" i="1"/>
  <c r="AG756" i="1"/>
  <c r="AH756" i="1"/>
  <c r="AI756" i="1"/>
  <c r="AJ756" i="1"/>
  <c r="G756" i="1" s="1"/>
  <c r="H756" i="1" s="1"/>
  <c r="AK756" i="1"/>
  <c r="AG757" i="1"/>
  <c r="AH757" i="1"/>
  <c r="AI757" i="1"/>
  <c r="AJ757" i="1"/>
  <c r="G757" i="1" s="1"/>
  <c r="H757" i="1" s="1"/>
  <c r="AK757" i="1"/>
  <c r="AD756" i="1"/>
  <c r="AD757" i="1"/>
  <c r="U756" i="1"/>
  <c r="U757" i="1"/>
  <c r="O757" i="1"/>
  <c r="O756" i="1"/>
  <c r="AG751" i="1"/>
  <c r="AH751" i="1"/>
  <c r="AI751" i="1"/>
  <c r="AJ751" i="1"/>
  <c r="G751" i="1" s="1"/>
  <c r="H751" i="1" s="1"/>
  <c r="AK751" i="1"/>
  <c r="AG752" i="1"/>
  <c r="AH752" i="1"/>
  <c r="AI752" i="1"/>
  <c r="AJ752" i="1"/>
  <c r="G752" i="1" s="1"/>
  <c r="H752" i="1" s="1"/>
  <c r="AK752" i="1"/>
  <c r="AG753" i="1"/>
  <c r="AH753" i="1"/>
  <c r="AI753" i="1"/>
  <c r="AJ753" i="1"/>
  <c r="G753" i="1" s="1"/>
  <c r="H753" i="1" s="1"/>
  <c r="AK753" i="1"/>
  <c r="AG754" i="1"/>
  <c r="AH754" i="1"/>
  <c r="AI754" i="1"/>
  <c r="AJ754" i="1"/>
  <c r="G754" i="1" s="1"/>
  <c r="H754" i="1" s="1"/>
  <c r="AK754" i="1"/>
  <c r="AG755" i="1"/>
  <c r="AH755" i="1"/>
  <c r="AI755" i="1"/>
  <c r="AJ755" i="1"/>
  <c r="G755" i="1" s="1"/>
  <c r="H755" i="1" s="1"/>
  <c r="AK755" i="1"/>
  <c r="AD751" i="1"/>
  <c r="AD752" i="1"/>
  <c r="AD753" i="1"/>
  <c r="AD754" i="1"/>
  <c r="AD755" i="1"/>
  <c r="U751" i="1"/>
  <c r="U752" i="1"/>
  <c r="U753" i="1"/>
  <c r="U754" i="1"/>
  <c r="U755" i="1"/>
  <c r="O751" i="1"/>
  <c r="O752" i="1"/>
  <c r="O753" i="1"/>
  <c r="O754" i="1"/>
  <c r="O755" i="1"/>
  <c r="AG747" i="1"/>
  <c r="AH747" i="1"/>
  <c r="AI747" i="1"/>
  <c r="AJ747" i="1"/>
  <c r="AK747" i="1"/>
  <c r="AG748" i="1"/>
  <c r="AH748" i="1"/>
  <c r="AI748" i="1"/>
  <c r="AJ748" i="1"/>
  <c r="G748" i="1" s="1"/>
  <c r="H748" i="1" s="1"/>
  <c r="AK748" i="1"/>
  <c r="AG749" i="1"/>
  <c r="AH749" i="1"/>
  <c r="AI749" i="1"/>
  <c r="AJ749" i="1"/>
  <c r="G749" i="1" s="1"/>
  <c r="H749" i="1" s="1"/>
  <c r="AK749" i="1"/>
  <c r="AG750" i="1"/>
  <c r="AH750" i="1"/>
  <c r="AI750" i="1"/>
  <c r="AJ750" i="1"/>
  <c r="G750" i="1" s="1"/>
  <c r="H750" i="1" s="1"/>
  <c r="AK750" i="1"/>
  <c r="AD747" i="1"/>
  <c r="AD748" i="1"/>
  <c r="AD749" i="1"/>
  <c r="AD750" i="1"/>
  <c r="U747" i="1"/>
  <c r="U748" i="1"/>
  <c r="U749" i="1"/>
  <c r="U750" i="1"/>
  <c r="O750" i="1"/>
  <c r="O749" i="1"/>
  <c r="O748" i="1"/>
  <c r="G747" i="1"/>
  <c r="H747" i="1" s="1"/>
  <c r="O747" i="1"/>
  <c r="AD744" i="1"/>
  <c r="AG744" i="1"/>
  <c r="AH744" i="1"/>
  <c r="AI744" i="1"/>
  <c r="AJ744" i="1"/>
  <c r="G744" i="1" s="1"/>
  <c r="H744" i="1" s="1"/>
  <c r="AK744" i="1"/>
  <c r="AD745" i="1"/>
  <c r="AG745" i="1"/>
  <c r="AH745" i="1"/>
  <c r="AI745" i="1"/>
  <c r="AJ745" i="1"/>
  <c r="G745" i="1" s="1"/>
  <c r="H745" i="1" s="1"/>
  <c r="AK745" i="1"/>
  <c r="AD746" i="1"/>
  <c r="AG746" i="1"/>
  <c r="AH746" i="1"/>
  <c r="AI746" i="1"/>
  <c r="AJ746" i="1"/>
  <c r="G746" i="1" s="1"/>
  <c r="H746" i="1" s="1"/>
  <c r="AK746" i="1"/>
  <c r="U744" i="1"/>
  <c r="U745" i="1"/>
  <c r="U746" i="1"/>
  <c r="O744" i="1"/>
  <c r="O745" i="1"/>
  <c r="O746" i="1"/>
  <c r="AG740" i="1"/>
  <c r="AH740" i="1"/>
  <c r="AI740" i="1"/>
  <c r="AJ740" i="1"/>
  <c r="G740" i="1" s="1"/>
  <c r="H740" i="1" s="1"/>
  <c r="AK740" i="1"/>
  <c r="AG741" i="1"/>
  <c r="AH741" i="1"/>
  <c r="AI741" i="1"/>
  <c r="AJ741" i="1"/>
  <c r="G741" i="1" s="1"/>
  <c r="H741" i="1" s="1"/>
  <c r="AK741" i="1"/>
  <c r="AG742" i="1"/>
  <c r="AH742" i="1"/>
  <c r="AI742" i="1"/>
  <c r="AJ742" i="1"/>
  <c r="G742" i="1" s="1"/>
  <c r="H742" i="1" s="1"/>
  <c r="AK742" i="1"/>
  <c r="AG743" i="1"/>
  <c r="AH743" i="1"/>
  <c r="AI743" i="1"/>
  <c r="AJ743" i="1"/>
  <c r="G743" i="1" s="1"/>
  <c r="H743" i="1" s="1"/>
  <c r="AK743" i="1"/>
  <c r="AD740" i="1"/>
  <c r="AD741" i="1"/>
  <c r="AD742" i="1"/>
  <c r="AD743" i="1"/>
  <c r="U740" i="1"/>
  <c r="U741" i="1"/>
  <c r="U742" i="1"/>
  <c r="U743" i="1"/>
  <c r="O740" i="1"/>
  <c r="O741" i="1"/>
  <c r="O742" i="1"/>
  <c r="O743" i="1"/>
  <c r="U739" i="1"/>
  <c r="U736" i="1"/>
  <c r="U737" i="1"/>
  <c r="U738" i="1"/>
  <c r="U735" i="1"/>
  <c r="O735" i="1"/>
  <c r="O736" i="1"/>
  <c r="O737" i="1"/>
  <c r="O738" i="1"/>
  <c r="O739" i="1"/>
  <c r="AG735" i="1"/>
  <c r="AH735" i="1"/>
  <c r="AI735" i="1"/>
  <c r="AJ735" i="1"/>
  <c r="G735" i="1" s="1"/>
  <c r="H735" i="1" s="1"/>
  <c r="AK735" i="1"/>
  <c r="AG736" i="1"/>
  <c r="AH736" i="1"/>
  <c r="AI736" i="1"/>
  <c r="AJ736" i="1"/>
  <c r="G736" i="1" s="1"/>
  <c r="H736" i="1" s="1"/>
  <c r="AK736" i="1"/>
  <c r="AG737" i="1"/>
  <c r="AH737" i="1"/>
  <c r="AI737" i="1"/>
  <c r="AJ737" i="1"/>
  <c r="G737" i="1" s="1"/>
  <c r="H737" i="1" s="1"/>
  <c r="AK737" i="1"/>
  <c r="AG738" i="1"/>
  <c r="AH738" i="1"/>
  <c r="AI738" i="1"/>
  <c r="AJ738" i="1"/>
  <c r="G738" i="1" s="1"/>
  <c r="H738" i="1" s="1"/>
  <c r="AK738" i="1"/>
  <c r="AG739" i="1"/>
  <c r="AH739" i="1"/>
  <c r="AI739" i="1"/>
  <c r="AJ739" i="1"/>
  <c r="G739" i="1" s="1"/>
  <c r="H739" i="1" s="1"/>
  <c r="AK739" i="1"/>
  <c r="AD735" i="1"/>
  <c r="AD736" i="1"/>
  <c r="AD737" i="1"/>
  <c r="AD738" i="1"/>
  <c r="AD739" i="1"/>
  <c r="O128" i="1"/>
  <c r="U128" i="1"/>
  <c r="AD128" i="1"/>
  <c r="AG128" i="1"/>
  <c r="AH128" i="1"/>
  <c r="AI128" i="1"/>
  <c r="AJ128" i="1"/>
  <c r="G128" i="1" s="1"/>
  <c r="H128" i="1" s="1"/>
  <c r="AK128" i="1"/>
  <c r="O117" i="1"/>
  <c r="U117" i="1"/>
  <c r="AD117" i="1"/>
  <c r="AG117" i="1"/>
  <c r="AH117" i="1"/>
  <c r="AI117" i="1"/>
  <c r="AJ117" i="1"/>
  <c r="G117" i="1" s="1"/>
  <c r="H117" i="1" s="1"/>
  <c r="AK117" i="1"/>
  <c r="O133" i="1"/>
  <c r="U133" i="1"/>
  <c r="AD133" i="1"/>
  <c r="AG133" i="1"/>
  <c r="AH133" i="1"/>
  <c r="AI133" i="1"/>
  <c r="AJ133" i="1"/>
  <c r="G133" i="1" s="1"/>
  <c r="H133" i="1" s="1"/>
  <c r="AK133" i="1"/>
  <c r="O125" i="1"/>
  <c r="O129" i="1"/>
  <c r="U129" i="1"/>
  <c r="AD129" i="1"/>
  <c r="AG129" i="1"/>
  <c r="AH129" i="1"/>
  <c r="AI129" i="1"/>
  <c r="AJ129" i="1"/>
  <c r="G129" i="1" s="1"/>
  <c r="H129" i="1" s="1"/>
  <c r="AK129" i="1"/>
  <c r="AG637" i="1"/>
  <c r="AH637" i="1"/>
  <c r="AI637" i="1"/>
  <c r="AJ637" i="1"/>
  <c r="G637" i="1" s="1"/>
  <c r="H637" i="1" s="1"/>
  <c r="AK637" i="1"/>
  <c r="AG638" i="1"/>
  <c r="AH638" i="1"/>
  <c r="AI638" i="1"/>
  <c r="AJ638" i="1"/>
  <c r="G638" i="1" s="1"/>
  <c r="H638" i="1" s="1"/>
  <c r="AK638" i="1"/>
  <c r="AG639" i="1"/>
  <c r="AH639" i="1"/>
  <c r="AI639" i="1"/>
  <c r="AJ639" i="1"/>
  <c r="G639" i="1" s="1"/>
  <c r="H639" i="1" s="1"/>
  <c r="AK639" i="1"/>
  <c r="AG640" i="1"/>
  <c r="AH640" i="1"/>
  <c r="AI640" i="1"/>
  <c r="AJ640" i="1"/>
  <c r="G640" i="1" s="1"/>
  <c r="H640" i="1" s="1"/>
  <c r="AK640" i="1"/>
  <c r="AG641" i="1"/>
  <c r="AH641" i="1"/>
  <c r="AI641" i="1"/>
  <c r="AJ641" i="1"/>
  <c r="G641" i="1" s="1"/>
  <c r="H641" i="1" s="1"/>
  <c r="AK641" i="1"/>
  <c r="AG642" i="1"/>
  <c r="AH642" i="1"/>
  <c r="AI642" i="1"/>
  <c r="AJ642" i="1"/>
  <c r="G642" i="1" s="1"/>
  <c r="H642" i="1" s="1"/>
  <c r="AK642" i="1"/>
  <c r="AG643" i="1"/>
  <c r="AH643" i="1"/>
  <c r="AI643" i="1"/>
  <c r="AJ643" i="1"/>
  <c r="G643" i="1" s="1"/>
  <c r="H643" i="1" s="1"/>
  <c r="AK643" i="1"/>
  <c r="AG644" i="1"/>
  <c r="AH644" i="1"/>
  <c r="AI644" i="1"/>
  <c r="AJ644" i="1"/>
  <c r="G644" i="1" s="1"/>
  <c r="H644" i="1" s="1"/>
  <c r="AK644" i="1"/>
  <c r="AG645" i="1"/>
  <c r="AH645" i="1"/>
  <c r="AI645" i="1"/>
  <c r="AJ645" i="1"/>
  <c r="G645" i="1" s="1"/>
  <c r="H645" i="1" s="1"/>
  <c r="AK645" i="1"/>
  <c r="AG646" i="1"/>
  <c r="AH646" i="1"/>
  <c r="AI646" i="1"/>
  <c r="AJ646" i="1"/>
  <c r="G646" i="1" s="1"/>
  <c r="H646" i="1" s="1"/>
  <c r="AK646" i="1"/>
  <c r="AG647" i="1"/>
  <c r="AH647" i="1"/>
  <c r="AI647" i="1"/>
  <c r="AJ647" i="1"/>
  <c r="G647" i="1" s="1"/>
  <c r="H647" i="1" s="1"/>
  <c r="AK647" i="1"/>
  <c r="AG648" i="1"/>
  <c r="AH648" i="1"/>
  <c r="AI648" i="1"/>
  <c r="AJ648" i="1"/>
  <c r="G648" i="1" s="1"/>
  <c r="H648" i="1" s="1"/>
  <c r="AK648" i="1"/>
  <c r="AG649" i="1"/>
  <c r="AH649" i="1"/>
  <c r="AI649" i="1"/>
  <c r="AJ649" i="1"/>
  <c r="G649" i="1" s="1"/>
  <c r="H649" i="1" s="1"/>
  <c r="AK649" i="1"/>
  <c r="AG650" i="1"/>
  <c r="AH650" i="1"/>
  <c r="AI650" i="1"/>
  <c r="AJ650" i="1"/>
  <c r="G650" i="1" s="1"/>
  <c r="H650" i="1" s="1"/>
  <c r="AK650" i="1"/>
  <c r="AG651" i="1"/>
  <c r="AH651" i="1"/>
  <c r="AI651" i="1"/>
  <c r="AJ651" i="1"/>
  <c r="G651" i="1" s="1"/>
  <c r="H651" i="1" s="1"/>
  <c r="AK651" i="1"/>
  <c r="AG652" i="1"/>
  <c r="AH652" i="1"/>
  <c r="AI652" i="1"/>
  <c r="AJ652" i="1"/>
  <c r="G652" i="1" s="1"/>
  <c r="H652" i="1" s="1"/>
  <c r="AK652" i="1"/>
  <c r="AG653" i="1"/>
  <c r="AH653" i="1"/>
  <c r="AI653" i="1"/>
  <c r="AJ653" i="1"/>
  <c r="G653" i="1" s="1"/>
  <c r="H653" i="1" s="1"/>
  <c r="AK653" i="1"/>
  <c r="AG654" i="1"/>
  <c r="AH654" i="1"/>
  <c r="AI654" i="1"/>
  <c r="AJ654" i="1"/>
  <c r="G654" i="1" s="1"/>
  <c r="H654" i="1" s="1"/>
  <c r="AK654" i="1"/>
  <c r="AG655" i="1"/>
  <c r="AH655" i="1"/>
  <c r="AI655" i="1"/>
  <c r="AJ655" i="1"/>
  <c r="G655" i="1" s="1"/>
  <c r="H655" i="1" s="1"/>
  <c r="AK655" i="1"/>
  <c r="AG656" i="1"/>
  <c r="AH656" i="1"/>
  <c r="AI656" i="1"/>
  <c r="AJ656" i="1"/>
  <c r="G656" i="1" s="1"/>
  <c r="H656" i="1" s="1"/>
  <c r="AK656" i="1"/>
  <c r="AG657" i="1"/>
  <c r="AH657" i="1"/>
  <c r="AI657" i="1"/>
  <c r="AJ657" i="1"/>
  <c r="G657" i="1" s="1"/>
  <c r="H657" i="1" s="1"/>
  <c r="AK657" i="1"/>
  <c r="AG658" i="1"/>
  <c r="AH658" i="1"/>
  <c r="AI658" i="1"/>
  <c r="AJ658" i="1"/>
  <c r="G658" i="1" s="1"/>
  <c r="H658" i="1" s="1"/>
  <c r="AK658" i="1"/>
  <c r="AG659" i="1"/>
  <c r="AH659" i="1"/>
  <c r="AI659" i="1"/>
  <c r="AJ659" i="1"/>
  <c r="G659" i="1" s="1"/>
  <c r="H659" i="1" s="1"/>
  <c r="AK659" i="1"/>
  <c r="AG660" i="1"/>
  <c r="AH660" i="1"/>
  <c r="AI660" i="1"/>
  <c r="AJ660" i="1"/>
  <c r="G660" i="1" s="1"/>
  <c r="H660" i="1" s="1"/>
  <c r="AK660" i="1"/>
  <c r="AG661" i="1"/>
  <c r="AH661" i="1"/>
  <c r="AI661" i="1"/>
  <c r="AJ661" i="1"/>
  <c r="G661" i="1" s="1"/>
  <c r="H661" i="1" s="1"/>
  <c r="AK661" i="1"/>
  <c r="AG662" i="1"/>
  <c r="AH662" i="1"/>
  <c r="AI662" i="1"/>
  <c r="AJ662" i="1"/>
  <c r="G662" i="1" s="1"/>
  <c r="H662" i="1" s="1"/>
  <c r="AK662" i="1"/>
  <c r="AG663" i="1"/>
  <c r="AH663" i="1"/>
  <c r="AI663" i="1"/>
  <c r="AJ663" i="1"/>
  <c r="G663" i="1" s="1"/>
  <c r="H663" i="1" s="1"/>
  <c r="AK663" i="1"/>
  <c r="AG664" i="1"/>
  <c r="AH664" i="1"/>
  <c r="AI664" i="1"/>
  <c r="AJ664" i="1"/>
  <c r="G664" i="1" s="1"/>
  <c r="H664" i="1" s="1"/>
  <c r="AK664" i="1"/>
  <c r="AG665" i="1"/>
  <c r="AH665" i="1"/>
  <c r="AI665" i="1"/>
  <c r="AJ665" i="1"/>
  <c r="G665" i="1" s="1"/>
  <c r="H665" i="1" s="1"/>
  <c r="AK665" i="1"/>
  <c r="AG666" i="1"/>
  <c r="AH666" i="1"/>
  <c r="AI666" i="1"/>
  <c r="AJ666" i="1"/>
  <c r="G666" i="1" s="1"/>
  <c r="H666" i="1" s="1"/>
  <c r="AK666" i="1"/>
  <c r="AG667" i="1"/>
  <c r="AH667" i="1"/>
  <c r="AI667" i="1"/>
  <c r="AJ667" i="1"/>
  <c r="G667" i="1" s="1"/>
  <c r="H667" i="1" s="1"/>
  <c r="AK667" i="1"/>
  <c r="AG668" i="1"/>
  <c r="AH668" i="1"/>
  <c r="AI668" i="1"/>
  <c r="AJ668" i="1"/>
  <c r="G668" i="1" s="1"/>
  <c r="H668" i="1" s="1"/>
  <c r="AK668" i="1"/>
  <c r="AG669" i="1"/>
  <c r="AH669" i="1"/>
  <c r="AI669" i="1"/>
  <c r="AJ669" i="1"/>
  <c r="G669" i="1" s="1"/>
  <c r="H669" i="1" s="1"/>
  <c r="AK669" i="1"/>
  <c r="AG670" i="1"/>
  <c r="AH670" i="1"/>
  <c r="AI670" i="1"/>
  <c r="AJ670" i="1"/>
  <c r="G670" i="1" s="1"/>
  <c r="H670" i="1" s="1"/>
  <c r="AK670" i="1"/>
  <c r="AG671" i="1"/>
  <c r="AH671" i="1"/>
  <c r="AI671" i="1"/>
  <c r="AJ671" i="1"/>
  <c r="G671" i="1" s="1"/>
  <c r="H671" i="1" s="1"/>
  <c r="AK671" i="1"/>
  <c r="AG672" i="1"/>
  <c r="AH672" i="1"/>
  <c r="AI672" i="1"/>
  <c r="AJ672" i="1"/>
  <c r="G672" i="1" s="1"/>
  <c r="H672" i="1" s="1"/>
  <c r="AK672" i="1"/>
  <c r="AG673" i="1"/>
  <c r="AH673" i="1"/>
  <c r="AI673" i="1"/>
  <c r="AJ673" i="1"/>
  <c r="G673" i="1" s="1"/>
  <c r="H673" i="1" s="1"/>
  <c r="AK673" i="1"/>
  <c r="AG674" i="1"/>
  <c r="AH674" i="1"/>
  <c r="AI674" i="1"/>
  <c r="AJ674" i="1"/>
  <c r="G674" i="1" s="1"/>
  <c r="H674" i="1" s="1"/>
  <c r="AK674" i="1"/>
  <c r="AG675" i="1"/>
  <c r="AH675" i="1"/>
  <c r="AI675" i="1"/>
  <c r="AJ675" i="1"/>
  <c r="G675" i="1" s="1"/>
  <c r="H675" i="1" s="1"/>
  <c r="AK675" i="1"/>
  <c r="AG676" i="1"/>
  <c r="AH676" i="1"/>
  <c r="AI676" i="1"/>
  <c r="AJ676" i="1"/>
  <c r="G676" i="1" s="1"/>
  <c r="H676" i="1" s="1"/>
  <c r="AK676" i="1"/>
  <c r="AG677" i="1"/>
  <c r="AH677" i="1"/>
  <c r="AI677" i="1"/>
  <c r="AJ677" i="1"/>
  <c r="G677" i="1" s="1"/>
  <c r="H677" i="1" s="1"/>
  <c r="AK677" i="1"/>
  <c r="AG678" i="1"/>
  <c r="AH678" i="1"/>
  <c r="AI678" i="1"/>
  <c r="AJ678" i="1"/>
  <c r="G678" i="1" s="1"/>
  <c r="H678" i="1" s="1"/>
  <c r="AK678" i="1"/>
  <c r="AG679" i="1"/>
  <c r="AH679" i="1"/>
  <c r="AI679" i="1"/>
  <c r="AJ679" i="1"/>
  <c r="G679" i="1" s="1"/>
  <c r="H679" i="1" s="1"/>
  <c r="AK679" i="1"/>
  <c r="AG680" i="1"/>
  <c r="AH680" i="1"/>
  <c r="AI680" i="1"/>
  <c r="AJ680" i="1"/>
  <c r="G680" i="1" s="1"/>
  <c r="H680" i="1" s="1"/>
  <c r="AK680" i="1"/>
  <c r="AG681" i="1"/>
  <c r="AH681" i="1"/>
  <c r="AI681" i="1"/>
  <c r="AJ681" i="1"/>
  <c r="G681" i="1" s="1"/>
  <c r="H681" i="1" s="1"/>
  <c r="AK681" i="1"/>
  <c r="AG682" i="1"/>
  <c r="AH682" i="1"/>
  <c r="AI682" i="1"/>
  <c r="AJ682" i="1"/>
  <c r="G682" i="1" s="1"/>
  <c r="H682" i="1" s="1"/>
  <c r="AK682" i="1"/>
  <c r="AG683" i="1"/>
  <c r="AH683" i="1"/>
  <c r="AI683" i="1"/>
  <c r="AJ683" i="1"/>
  <c r="G683" i="1" s="1"/>
  <c r="H683" i="1" s="1"/>
  <c r="AK683" i="1"/>
  <c r="AG684" i="1"/>
  <c r="AH684" i="1"/>
  <c r="AI684" i="1"/>
  <c r="AJ684" i="1"/>
  <c r="G684" i="1" s="1"/>
  <c r="H684" i="1" s="1"/>
  <c r="AK684" i="1"/>
  <c r="AG685" i="1"/>
  <c r="AH685" i="1"/>
  <c r="AI685" i="1"/>
  <c r="AJ685" i="1"/>
  <c r="G685" i="1" s="1"/>
  <c r="H685" i="1" s="1"/>
  <c r="AK685" i="1"/>
  <c r="AG686" i="1"/>
  <c r="AH686" i="1"/>
  <c r="AI686" i="1"/>
  <c r="AJ686" i="1"/>
  <c r="G686" i="1" s="1"/>
  <c r="H686" i="1" s="1"/>
  <c r="AK686" i="1"/>
  <c r="AG687" i="1"/>
  <c r="AH687" i="1"/>
  <c r="AI687" i="1"/>
  <c r="AJ687" i="1"/>
  <c r="G687" i="1" s="1"/>
  <c r="H687" i="1" s="1"/>
  <c r="AK687" i="1"/>
  <c r="AG688" i="1"/>
  <c r="AH688" i="1"/>
  <c r="AI688" i="1"/>
  <c r="AJ688" i="1"/>
  <c r="G688" i="1" s="1"/>
  <c r="H688" i="1" s="1"/>
  <c r="AK688" i="1"/>
  <c r="AG689" i="1"/>
  <c r="AH689" i="1"/>
  <c r="AI689" i="1"/>
  <c r="AJ689" i="1"/>
  <c r="G689" i="1" s="1"/>
  <c r="H689" i="1" s="1"/>
  <c r="AK689" i="1"/>
  <c r="AG690" i="1"/>
  <c r="AH690" i="1"/>
  <c r="AI690" i="1"/>
  <c r="AJ690" i="1"/>
  <c r="G690" i="1" s="1"/>
  <c r="H690" i="1" s="1"/>
  <c r="AK690" i="1"/>
  <c r="AG691" i="1"/>
  <c r="AH691" i="1"/>
  <c r="AI691" i="1"/>
  <c r="AJ691" i="1"/>
  <c r="G691" i="1" s="1"/>
  <c r="H691" i="1" s="1"/>
  <c r="AK691" i="1"/>
  <c r="AG692" i="1"/>
  <c r="AH692" i="1"/>
  <c r="AI692" i="1"/>
  <c r="AJ692" i="1"/>
  <c r="G692" i="1" s="1"/>
  <c r="H692" i="1" s="1"/>
  <c r="AK692" i="1"/>
  <c r="AG693" i="1"/>
  <c r="AH693" i="1"/>
  <c r="AI693" i="1"/>
  <c r="AJ693" i="1"/>
  <c r="G693" i="1" s="1"/>
  <c r="H693" i="1" s="1"/>
  <c r="AK693" i="1"/>
  <c r="AG694" i="1"/>
  <c r="AH694" i="1"/>
  <c r="AI694" i="1"/>
  <c r="AJ694" i="1"/>
  <c r="G694" i="1" s="1"/>
  <c r="H694" i="1" s="1"/>
  <c r="AK694" i="1"/>
  <c r="AG695" i="1"/>
  <c r="AH695" i="1"/>
  <c r="AI695" i="1"/>
  <c r="AJ695" i="1"/>
  <c r="G695" i="1" s="1"/>
  <c r="H695" i="1" s="1"/>
  <c r="AK695" i="1"/>
  <c r="AG696" i="1"/>
  <c r="AH696" i="1"/>
  <c r="AI696" i="1"/>
  <c r="AJ696" i="1"/>
  <c r="G696" i="1" s="1"/>
  <c r="H696" i="1" s="1"/>
  <c r="AK696" i="1"/>
  <c r="AG697" i="1"/>
  <c r="AH697" i="1"/>
  <c r="AI697" i="1"/>
  <c r="AJ697" i="1"/>
  <c r="G697" i="1" s="1"/>
  <c r="H697" i="1" s="1"/>
  <c r="AK697" i="1"/>
  <c r="AG698" i="1"/>
  <c r="AH698" i="1"/>
  <c r="AI698" i="1"/>
  <c r="AJ698" i="1"/>
  <c r="G698" i="1" s="1"/>
  <c r="H698" i="1" s="1"/>
  <c r="AK698" i="1"/>
  <c r="AG699" i="1"/>
  <c r="AH699" i="1"/>
  <c r="AI699" i="1"/>
  <c r="AJ699" i="1"/>
  <c r="G699" i="1" s="1"/>
  <c r="H699" i="1" s="1"/>
  <c r="AK699" i="1"/>
  <c r="AG700" i="1"/>
  <c r="AH700" i="1"/>
  <c r="AI700" i="1"/>
  <c r="AJ700" i="1"/>
  <c r="G700" i="1" s="1"/>
  <c r="H700" i="1" s="1"/>
  <c r="AK700" i="1"/>
  <c r="AG701" i="1"/>
  <c r="AH701" i="1"/>
  <c r="AI701" i="1"/>
  <c r="AJ701" i="1"/>
  <c r="G701" i="1" s="1"/>
  <c r="H701" i="1" s="1"/>
  <c r="AK701" i="1"/>
  <c r="AG702" i="1"/>
  <c r="AH702" i="1"/>
  <c r="AI702" i="1"/>
  <c r="AJ702" i="1"/>
  <c r="G702" i="1" s="1"/>
  <c r="H702" i="1" s="1"/>
  <c r="AK702" i="1"/>
  <c r="AG703" i="1"/>
  <c r="AH703" i="1"/>
  <c r="AI703" i="1"/>
  <c r="AJ703" i="1"/>
  <c r="G703" i="1" s="1"/>
  <c r="H703" i="1" s="1"/>
  <c r="AK703" i="1"/>
  <c r="AG704" i="1"/>
  <c r="AH704" i="1"/>
  <c r="AI704" i="1"/>
  <c r="AJ704" i="1"/>
  <c r="G704" i="1" s="1"/>
  <c r="H704" i="1" s="1"/>
  <c r="AK704" i="1"/>
  <c r="AG705" i="1"/>
  <c r="AH705" i="1"/>
  <c r="AI705" i="1"/>
  <c r="AJ705" i="1"/>
  <c r="G705" i="1" s="1"/>
  <c r="H705" i="1" s="1"/>
  <c r="AK705" i="1"/>
  <c r="AG706" i="1"/>
  <c r="AH706" i="1"/>
  <c r="AI706" i="1"/>
  <c r="AJ706" i="1"/>
  <c r="G706" i="1" s="1"/>
  <c r="H706" i="1" s="1"/>
  <c r="AK706" i="1"/>
  <c r="AG707" i="1"/>
  <c r="AH707" i="1"/>
  <c r="AI707" i="1"/>
  <c r="AJ707" i="1"/>
  <c r="G707" i="1" s="1"/>
  <c r="H707" i="1" s="1"/>
  <c r="AK707" i="1"/>
  <c r="AG708" i="1"/>
  <c r="AH708" i="1"/>
  <c r="AI708" i="1"/>
  <c r="AJ708" i="1"/>
  <c r="G708" i="1" s="1"/>
  <c r="H708" i="1" s="1"/>
  <c r="AK708" i="1"/>
  <c r="AG709" i="1"/>
  <c r="AH709" i="1"/>
  <c r="AI709" i="1"/>
  <c r="AJ709" i="1"/>
  <c r="G709" i="1" s="1"/>
  <c r="H709" i="1" s="1"/>
  <c r="AK709" i="1"/>
  <c r="AG710" i="1"/>
  <c r="AH710" i="1"/>
  <c r="AI710" i="1"/>
  <c r="AJ710" i="1"/>
  <c r="G710" i="1" s="1"/>
  <c r="H710" i="1" s="1"/>
  <c r="AK710" i="1"/>
  <c r="AG711" i="1"/>
  <c r="AH711" i="1"/>
  <c r="AI711" i="1"/>
  <c r="AJ711" i="1"/>
  <c r="G711" i="1" s="1"/>
  <c r="H711" i="1" s="1"/>
  <c r="AK711" i="1"/>
  <c r="AG712" i="1"/>
  <c r="AH712" i="1"/>
  <c r="AI712" i="1"/>
  <c r="AJ712" i="1"/>
  <c r="G712" i="1" s="1"/>
  <c r="H712" i="1" s="1"/>
  <c r="AK712" i="1"/>
  <c r="AG713" i="1"/>
  <c r="AH713" i="1"/>
  <c r="AI713" i="1"/>
  <c r="AJ713" i="1"/>
  <c r="G713" i="1" s="1"/>
  <c r="H713" i="1" s="1"/>
  <c r="AK713" i="1"/>
  <c r="AG714" i="1"/>
  <c r="AH714" i="1"/>
  <c r="AI714" i="1"/>
  <c r="AJ714" i="1"/>
  <c r="G714" i="1" s="1"/>
  <c r="H714" i="1" s="1"/>
  <c r="AK714" i="1"/>
  <c r="AG715" i="1"/>
  <c r="AH715" i="1"/>
  <c r="AI715" i="1"/>
  <c r="AJ715" i="1"/>
  <c r="G715" i="1" s="1"/>
  <c r="H715" i="1" s="1"/>
  <c r="AK715" i="1"/>
  <c r="AG716" i="1"/>
  <c r="AH716" i="1"/>
  <c r="AI716" i="1"/>
  <c r="AJ716" i="1"/>
  <c r="G716" i="1" s="1"/>
  <c r="H716" i="1" s="1"/>
  <c r="AK716" i="1"/>
  <c r="AG717" i="1"/>
  <c r="AH717" i="1"/>
  <c r="AI717" i="1"/>
  <c r="AJ717" i="1"/>
  <c r="G717" i="1" s="1"/>
  <c r="H717" i="1" s="1"/>
  <c r="AK717" i="1"/>
  <c r="AG718" i="1"/>
  <c r="AH718" i="1"/>
  <c r="AI718" i="1"/>
  <c r="AJ718" i="1"/>
  <c r="G718" i="1" s="1"/>
  <c r="H718" i="1" s="1"/>
  <c r="AK718" i="1"/>
  <c r="AG719" i="1"/>
  <c r="AH719" i="1"/>
  <c r="AI719" i="1"/>
  <c r="AJ719" i="1"/>
  <c r="G719" i="1" s="1"/>
  <c r="H719" i="1" s="1"/>
  <c r="AK719" i="1"/>
  <c r="AG720" i="1"/>
  <c r="AH720" i="1"/>
  <c r="AI720" i="1"/>
  <c r="AJ720" i="1"/>
  <c r="G720" i="1" s="1"/>
  <c r="H720" i="1" s="1"/>
  <c r="AK720" i="1"/>
  <c r="AG721" i="1"/>
  <c r="AH721" i="1"/>
  <c r="AI721" i="1"/>
  <c r="AJ721" i="1"/>
  <c r="G721" i="1" s="1"/>
  <c r="H721" i="1" s="1"/>
  <c r="AK721" i="1"/>
  <c r="AG722" i="1"/>
  <c r="AH722" i="1"/>
  <c r="AI722" i="1"/>
  <c r="AJ722" i="1"/>
  <c r="G722" i="1" s="1"/>
  <c r="H722" i="1" s="1"/>
  <c r="AK722" i="1"/>
  <c r="AG723" i="1"/>
  <c r="AH723" i="1"/>
  <c r="AI723" i="1"/>
  <c r="AJ723" i="1"/>
  <c r="G723" i="1" s="1"/>
  <c r="H723" i="1" s="1"/>
  <c r="AK723" i="1"/>
  <c r="AG724" i="1"/>
  <c r="AH724" i="1"/>
  <c r="AI724" i="1"/>
  <c r="AJ724" i="1"/>
  <c r="G724" i="1" s="1"/>
  <c r="H724" i="1" s="1"/>
  <c r="AK724" i="1"/>
  <c r="AG725" i="1"/>
  <c r="AH725" i="1"/>
  <c r="AI725" i="1"/>
  <c r="AJ725" i="1"/>
  <c r="G725" i="1" s="1"/>
  <c r="H725" i="1" s="1"/>
  <c r="AK725" i="1"/>
  <c r="AG726" i="1"/>
  <c r="AH726" i="1"/>
  <c r="AI726" i="1"/>
  <c r="AJ726" i="1"/>
  <c r="G726" i="1" s="1"/>
  <c r="H726" i="1" s="1"/>
  <c r="AK726" i="1"/>
  <c r="AG727" i="1"/>
  <c r="AH727" i="1"/>
  <c r="AI727" i="1"/>
  <c r="AJ727" i="1"/>
  <c r="G727" i="1" s="1"/>
  <c r="H727" i="1" s="1"/>
  <c r="AK727" i="1"/>
  <c r="AG728" i="1"/>
  <c r="AH728" i="1"/>
  <c r="AI728" i="1"/>
  <c r="AJ728" i="1"/>
  <c r="G728" i="1" s="1"/>
  <c r="H728" i="1" s="1"/>
  <c r="AK728" i="1"/>
  <c r="AG729" i="1"/>
  <c r="AH729" i="1"/>
  <c r="AI729" i="1"/>
  <c r="AJ729" i="1"/>
  <c r="G729" i="1" s="1"/>
  <c r="H729" i="1" s="1"/>
  <c r="AK729" i="1"/>
  <c r="AG730" i="1"/>
  <c r="AH730" i="1"/>
  <c r="AI730" i="1"/>
  <c r="AJ730" i="1"/>
  <c r="G730" i="1" s="1"/>
  <c r="H730" i="1" s="1"/>
  <c r="AK730" i="1"/>
  <c r="AG731" i="1"/>
  <c r="AH731" i="1"/>
  <c r="AI731" i="1"/>
  <c r="AJ731" i="1"/>
  <c r="G731" i="1" s="1"/>
  <c r="H731" i="1" s="1"/>
  <c r="AK731" i="1"/>
  <c r="AG733" i="1"/>
  <c r="AH733" i="1"/>
  <c r="AI733" i="1"/>
  <c r="AJ733" i="1"/>
  <c r="G733" i="1" s="1"/>
  <c r="H733" i="1" s="1"/>
  <c r="AK733" i="1"/>
  <c r="AG734" i="1"/>
  <c r="AH734" i="1"/>
  <c r="AI734" i="1"/>
  <c r="AJ734" i="1"/>
  <c r="G734" i="1" s="1"/>
  <c r="H734" i="1" s="1"/>
  <c r="AK734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3" i="1"/>
  <c r="AD734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3" i="1"/>
  <c r="U734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3" i="1"/>
  <c r="O734" i="1"/>
  <c r="A2" i="19" a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AG597" i="1"/>
  <c r="AH597" i="1"/>
  <c r="AI597" i="1"/>
  <c r="AJ597" i="1"/>
  <c r="G597" i="1" s="1"/>
  <c r="H597" i="1" s="1"/>
  <c r="AK597" i="1"/>
  <c r="AG598" i="1"/>
  <c r="AH598" i="1"/>
  <c r="AI598" i="1"/>
  <c r="AJ598" i="1"/>
  <c r="G598" i="1" s="1"/>
  <c r="H598" i="1" s="1"/>
  <c r="AK598" i="1"/>
  <c r="AG599" i="1"/>
  <c r="AH599" i="1"/>
  <c r="AI599" i="1"/>
  <c r="AJ599" i="1"/>
  <c r="G599" i="1" s="1"/>
  <c r="H599" i="1" s="1"/>
  <c r="AK599" i="1"/>
  <c r="AG600" i="1"/>
  <c r="AH600" i="1"/>
  <c r="AI600" i="1"/>
  <c r="AJ600" i="1"/>
  <c r="G600" i="1" s="1"/>
  <c r="H600" i="1" s="1"/>
  <c r="AK600" i="1"/>
  <c r="AG601" i="1"/>
  <c r="AH601" i="1"/>
  <c r="AI601" i="1"/>
  <c r="AJ601" i="1"/>
  <c r="G601" i="1" s="1"/>
  <c r="H601" i="1" s="1"/>
  <c r="AK601" i="1"/>
  <c r="AG602" i="1"/>
  <c r="AH602" i="1"/>
  <c r="AI602" i="1"/>
  <c r="AJ602" i="1"/>
  <c r="G602" i="1" s="1"/>
  <c r="H602" i="1" s="1"/>
  <c r="AK602" i="1"/>
  <c r="AG603" i="1"/>
  <c r="AH603" i="1"/>
  <c r="AI603" i="1"/>
  <c r="AJ603" i="1"/>
  <c r="G603" i="1" s="1"/>
  <c r="H603" i="1" s="1"/>
  <c r="AK603" i="1"/>
  <c r="AG604" i="1"/>
  <c r="AH604" i="1"/>
  <c r="AI604" i="1"/>
  <c r="AJ604" i="1"/>
  <c r="G604" i="1" s="1"/>
  <c r="H604" i="1" s="1"/>
  <c r="AK604" i="1"/>
  <c r="AG605" i="1"/>
  <c r="AH605" i="1"/>
  <c r="AI605" i="1"/>
  <c r="AJ605" i="1"/>
  <c r="G605" i="1" s="1"/>
  <c r="H605" i="1" s="1"/>
  <c r="AK605" i="1"/>
  <c r="AG606" i="1"/>
  <c r="AH606" i="1"/>
  <c r="AI606" i="1"/>
  <c r="AJ606" i="1"/>
  <c r="G606" i="1" s="1"/>
  <c r="H606" i="1" s="1"/>
  <c r="AK606" i="1"/>
  <c r="AG607" i="1"/>
  <c r="AH607" i="1"/>
  <c r="AI607" i="1"/>
  <c r="AJ607" i="1"/>
  <c r="G607" i="1" s="1"/>
  <c r="H607" i="1" s="1"/>
  <c r="AK607" i="1"/>
  <c r="AG608" i="1"/>
  <c r="AH608" i="1"/>
  <c r="AI608" i="1"/>
  <c r="AJ608" i="1"/>
  <c r="G608" i="1" s="1"/>
  <c r="H608" i="1" s="1"/>
  <c r="AK608" i="1"/>
  <c r="AG609" i="1"/>
  <c r="AH609" i="1"/>
  <c r="AI609" i="1"/>
  <c r="AJ609" i="1"/>
  <c r="G609" i="1" s="1"/>
  <c r="H609" i="1" s="1"/>
  <c r="AK609" i="1"/>
  <c r="AG610" i="1"/>
  <c r="AH610" i="1"/>
  <c r="AI610" i="1"/>
  <c r="AJ610" i="1"/>
  <c r="G610" i="1" s="1"/>
  <c r="H610" i="1" s="1"/>
  <c r="AK610" i="1"/>
  <c r="AG611" i="1"/>
  <c r="AH611" i="1"/>
  <c r="AI611" i="1"/>
  <c r="AJ611" i="1"/>
  <c r="G611" i="1" s="1"/>
  <c r="H611" i="1" s="1"/>
  <c r="AK611" i="1"/>
  <c r="AG612" i="1"/>
  <c r="AH612" i="1"/>
  <c r="AI612" i="1"/>
  <c r="AJ612" i="1"/>
  <c r="G612" i="1" s="1"/>
  <c r="H612" i="1" s="1"/>
  <c r="AK612" i="1"/>
  <c r="AG613" i="1"/>
  <c r="AH613" i="1"/>
  <c r="AI613" i="1"/>
  <c r="AJ613" i="1"/>
  <c r="G613" i="1" s="1"/>
  <c r="H613" i="1" s="1"/>
  <c r="AK613" i="1"/>
  <c r="AG614" i="1"/>
  <c r="AH614" i="1"/>
  <c r="AI614" i="1"/>
  <c r="AJ614" i="1"/>
  <c r="G614" i="1" s="1"/>
  <c r="H614" i="1" s="1"/>
  <c r="AK614" i="1"/>
  <c r="AG615" i="1"/>
  <c r="AH615" i="1"/>
  <c r="AI615" i="1"/>
  <c r="AJ615" i="1"/>
  <c r="G615" i="1" s="1"/>
  <c r="H615" i="1" s="1"/>
  <c r="AK615" i="1"/>
  <c r="AG616" i="1"/>
  <c r="AH616" i="1"/>
  <c r="AI616" i="1"/>
  <c r="AJ616" i="1"/>
  <c r="G616" i="1" s="1"/>
  <c r="H616" i="1" s="1"/>
  <c r="AK616" i="1"/>
  <c r="AG617" i="1"/>
  <c r="AH617" i="1"/>
  <c r="AI617" i="1"/>
  <c r="AJ617" i="1"/>
  <c r="G617" i="1" s="1"/>
  <c r="H617" i="1" s="1"/>
  <c r="AK617" i="1"/>
  <c r="AG618" i="1"/>
  <c r="AH618" i="1"/>
  <c r="AI618" i="1"/>
  <c r="AJ618" i="1"/>
  <c r="G618" i="1" s="1"/>
  <c r="H618" i="1" s="1"/>
  <c r="AK618" i="1"/>
  <c r="AG619" i="1"/>
  <c r="AH619" i="1"/>
  <c r="AI619" i="1"/>
  <c r="AJ619" i="1"/>
  <c r="G619" i="1" s="1"/>
  <c r="H619" i="1" s="1"/>
  <c r="AK619" i="1"/>
  <c r="AG620" i="1"/>
  <c r="AH620" i="1"/>
  <c r="AI620" i="1"/>
  <c r="AJ620" i="1"/>
  <c r="G620" i="1" s="1"/>
  <c r="H620" i="1" s="1"/>
  <c r="AK620" i="1"/>
  <c r="AG621" i="1"/>
  <c r="AH621" i="1"/>
  <c r="AI621" i="1"/>
  <c r="AJ621" i="1"/>
  <c r="G621" i="1" s="1"/>
  <c r="H621" i="1" s="1"/>
  <c r="AK621" i="1"/>
  <c r="AG622" i="1"/>
  <c r="AH622" i="1"/>
  <c r="AI622" i="1"/>
  <c r="AJ622" i="1"/>
  <c r="G622" i="1" s="1"/>
  <c r="H622" i="1" s="1"/>
  <c r="AK622" i="1"/>
  <c r="AG623" i="1"/>
  <c r="AH623" i="1"/>
  <c r="AI623" i="1"/>
  <c r="AJ623" i="1"/>
  <c r="G623" i="1" s="1"/>
  <c r="H623" i="1" s="1"/>
  <c r="AK623" i="1"/>
  <c r="AG624" i="1"/>
  <c r="AH624" i="1"/>
  <c r="AI624" i="1"/>
  <c r="AJ624" i="1"/>
  <c r="G624" i="1" s="1"/>
  <c r="H624" i="1" s="1"/>
  <c r="AK624" i="1"/>
  <c r="AG625" i="1"/>
  <c r="AH625" i="1"/>
  <c r="AI625" i="1"/>
  <c r="AJ625" i="1"/>
  <c r="G625" i="1" s="1"/>
  <c r="H625" i="1" s="1"/>
  <c r="AK625" i="1"/>
  <c r="AG626" i="1"/>
  <c r="AH626" i="1"/>
  <c r="AI626" i="1"/>
  <c r="AJ626" i="1"/>
  <c r="G626" i="1" s="1"/>
  <c r="H626" i="1" s="1"/>
  <c r="AK626" i="1"/>
  <c r="AG627" i="1"/>
  <c r="AH627" i="1"/>
  <c r="AI627" i="1"/>
  <c r="AJ627" i="1"/>
  <c r="G627" i="1" s="1"/>
  <c r="H627" i="1" s="1"/>
  <c r="AK627" i="1"/>
  <c r="AG628" i="1"/>
  <c r="AH628" i="1"/>
  <c r="AI628" i="1"/>
  <c r="AJ628" i="1"/>
  <c r="G628" i="1" s="1"/>
  <c r="H628" i="1" s="1"/>
  <c r="AK628" i="1"/>
  <c r="AG629" i="1"/>
  <c r="AH629" i="1"/>
  <c r="AI629" i="1"/>
  <c r="AJ629" i="1"/>
  <c r="G629" i="1" s="1"/>
  <c r="H629" i="1" s="1"/>
  <c r="AK629" i="1"/>
  <c r="AG630" i="1"/>
  <c r="AH630" i="1"/>
  <c r="AI630" i="1"/>
  <c r="AJ630" i="1"/>
  <c r="G630" i="1" s="1"/>
  <c r="H630" i="1" s="1"/>
  <c r="AK630" i="1"/>
  <c r="AG631" i="1"/>
  <c r="AH631" i="1"/>
  <c r="AI631" i="1"/>
  <c r="AJ631" i="1"/>
  <c r="G631" i="1" s="1"/>
  <c r="H631" i="1" s="1"/>
  <c r="AK631" i="1"/>
  <c r="AG632" i="1"/>
  <c r="AH632" i="1"/>
  <c r="AI632" i="1"/>
  <c r="AJ632" i="1"/>
  <c r="G632" i="1" s="1"/>
  <c r="H632" i="1" s="1"/>
  <c r="AK632" i="1"/>
  <c r="AG633" i="1"/>
  <c r="AH633" i="1"/>
  <c r="AI633" i="1"/>
  <c r="AJ633" i="1"/>
  <c r="G633" i="1" s="1"/>
  <c r="H633" i="1" s="1"/>
  <c r="AK633" i="1"/>
  <c r="AG634" i="1"/>
  <c r="AH634" i="1"/>
  <c r="AI634" i="1"/>
  <c r="AJ634" i="1"/>
  <c r="G634" i="1" s="1"/>
  <c r="H634" i="1" s="1"/>
  <c r="AK634" i="1"/>
  <c r="AG635" i="1"/>
  <c r="AH635" i="1"/>
  <c r="AI635" i="1"/>
  <c r="AJ635" i="1"/>
  <c r="G635" i="1" s="1"/>
  <c r="H635" i="1" s="1"/>
  <c r="AK635" i="1"/>
  <c r="AG636" i="1"/>
  <c r="AH636" i="1"/>
  <c r="AI636" i="1"/>
  <c r="AJ636" i="1"/>
  <c r="G636" i="1" s="1"/>
  <c r="H636" i="1" s="1"/>
  <c r="AK63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G595" i="1"/>
  <c r="AH595" i="1"/>
  <c r="AI595" i="1"/>
  <c r="AJ595" i="1"/>
  <c r="G595" i="1" s="1"/>
  <c r="H595" i="1" s="1"/>
  <c r="AK595" i="1"/>
  <c r="AG596" i="1"/>
  <c r="AH596" i="1"/>
  <c r="AI596" i="1"/>
  <c r="AJ596" i="1"/>
  <c r="G596" i="1" s="1"/>
  <c r="H596" i="1" s="1"/>
  <c r="AK596" i="1"/>
  <c r="O595" i="1"/>
  <c r="O596" i="1"/>
  <c r="O592" i="1"/>
  <c r="A2" i="19" l="1"/>
  <c r="O594" i="1"/>
  <c r="AG593" i="1"/>
  <c r="AH593" i="1"/>
  <c r="AI593" i="1"/>
  <c r="AJ593" i="1"/>
  <c r="G593" i="1" s="1"/>
  <c r="H593" i="1" s="1"/>
  <c r="AK593" i="1"/>
  <c r="AG594" i="1"/>
  <c r="AH594" i="1"/>
  <c r="AI594" i="1"/>
  <c r="AJ594" i="1"/>
  <c r="G594" i="1" s="1"/>
  <c r="H594" i="1" s="1"/>
  <c r="AK594" i="1"/>
  <c r="O593" i="1"/>
  <c r="AG592" i="1"/>
  <c r="AH592" i="1"/>
  <c r="AI592" i="1"/>
  <c r="AJ592" i="1"/>
  <c r="G592" i="1" s="1"/>
  <c r="H592" i="1" s="1"/>
  <c r="AK592" i="1"/>
  <c r="O591" i="1"/>
  <c r="AG591" i="1"/>
  <c r="AH591" i="1"/>
  <c r="AI591" i="1"/>
  <c r="AJ591" i="1"/>
  <c r="G591" i="1" s="1"/>
  <c r="H591" i="1" s="1"/>
  <c r="AK591" i="1"/>
  <c r="AG589" i="1"/>
  <c r="AH589" i="1"/>
  <c r="AI589" i="1"/>
  <c r="AJ589" i="1"/>
  <c r="G589" i="1" s="1"/>
  <c r="H589" i="1" s="1"/>
  <c r="AK589" i="1"/>
  <c r="AG590" i="1"/>
  <c r="AH590" i="1"/>
  <c r="AI590" i="1"/>
  <c r="AJ590" i="1"/>
  <c r="G590" i="1" s="1"/>
  <c r="H590" i="1" s="1"/>
  <c r="AK590" i="1"/>
  <c r="O590" i="1"/>
  <c r="O589" i="1"/>
  <c r="U525" i="1" l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AG499" i="1"/>
  <c r="AH499" i="1"/>
  <c r="AI499" i="1"/>
  <c r="AJ499" i="1"/>
  <c r="G499" i="1" s="1"/>
  <c r="H499" i="1" s="1"/>
  <c r="AK499" i="1"/>
  <c r="AG500" i="1"/>
  <c r="AH500" i="1"/>
  <c r="AI500" i="1"/>
  <c r="AJ500" i="1"/>
  <c r="G500" i="1" s="1"/>
  <c r="H500" i="1" s="1"/>
  <c r="AK500" i="1"/>
  <c r="AG501" i="1"/>
  <c r="AH501" i="1"/>
  <c r="AI501" i="1"/>
  <c r="AJ501" i="1"/>
  <c r="G501" i="1" s="1"/>
  <c r="H501" i="1" s="1"/>
  <c r="AK501" i="1"/>
  <c r="AG502" i="1"/>
  <c r="AH502" i="1"/>
  <c r="AI502" i="1"/>
  <c r="AJ502" i="1"/>
  <c r="G502" i="1" s="1"/>
  <c r="H502" i="1" s="1"/>
  <c r="AK502" i="1"/>
  <c r="AG503" i="1"/>
  <c r="AH503" i="1"/>
  <c r="AI503" i="1"/>
  <c r="AJ503" i="1"/>
  <c r="G503" i="1" s="1"/>
  <c r="H503" i="1" s="1"/>
  <c r="AK503" i="1"/>
  <c r="AG504" i="1"/>
  <c r="AH504" i="1"/>
  <c r="AI504" i="1"/>
  <c r="AJ504" i="1"/>
  <c r="G504" i="1" s="1"/>
  <c r="H504" i="1" s="1"/>
  <c r="AK504" i="1"/>
  <c r="AG505" i="1"/>
  <c r="AH505" i="1"/>
  <c r="AI505" i="1"/>
  <c r="AJ505" i="1"/>
  <c r="G505" i="1" s="1"/>
  <c r="H505" i="1" s="1"/>
  <c r="AK505" i="1"/>
  <c r="AG506" i="1"/>
  <c r="AH506" i="1"/>
  <c r="AI506" i="1"/>
  <c r="AJ506" i="1"/>
  <c r="G506" i="1" s="1"/>
  <c r="H506" i="1" s="1"/>
  <c r="AK506" i="1"/>
  <c r="AG507" i="1"/>
  <c r="AH507" i="1"/>
  <c r="AI507" i="1"/>
  <c r="AJ507" i="1"/>
  <c r="G507" i="1" s="1"/>
  <c r="H507" i="1" s="1"/>
  <c r="AK507" i="1"/>
  <c r="AG508" i="1"/>
  <c r="AH508" i="1"/>
  <c r="AI508" i="1"/>
  <c r="AJ508" i="1"/>
  <c r="G508" i="1" s="1"/>
  <c r="H508" i="1" s="1"/>
  <c r="AK508" i="1"/>
  <c r="AG509" i="1"/>
  <c r="AH509" i="1"/>
  <c r="AI509" i="1"/>
  <c r="AJ509" i="1"/>
  <c r="G509" i="1" s="1"/>
  <c r="H509" i="1" s="1"/>
  <c r="AK509" i="1"/>
  <c r="AG510" i="1"/>
  <c r="AH510" i="1"/>
  <c r="AI510" i="1"/>
  <c r="AJ510" i="1"/>
  <c r="G510" i="1" s="1"/>
  <c r="H510" i="1" s="1"/>
  <c r="AK510" i="1"/>
  <c r="AG511" i="1"/>
  <c r="AH511" i="1"/>
  <c r="AI511" i="1"/>
  <c r="AJ511" i="1"/>
  <c r="G511" i="1" s="1"/>
  <c r="H511" i="1" s="1"/>
  <c r="AK511" i="1"/>
  <c r="AG512" i="1"/>
  <c r="AH512" i="1"/>
  <c r="AI512" i="1"/>
  <c r="AJ512" i="1"/>
  <c r="G512" i="1" s="1"/>
  <c r="H512" i="1" s="1"/>
  <c r="AK512" i="1"/>
  <c r="AG513" i="1"/>
  <c r="AH513" i="1"/>
  <c r="AI513" i="1"/>
  <c r="AJ513" i="1"/>
  <c r="G513" i="1" s="1"/>
  <c r="H513" i="1" s="1"/>
  <c r="AK513" i="1"/>
  <c r="AG514" i="1"/>
  <c r="AH514" i="1"/>
  <c r="AI514" i="1"/>
  <c r="AJ514" i="1"/>
  <c r="G514" i="1" s="1"/>
  <c r="H514" i="1" s="1"/>
  <c r="AK514" i="1"/>
  <c r="AG515" i="1"/>
  <c r="AH515" i="1"/>
  <c r="AI515" i="1"/>
  <c r="AJ515" i="1"/>
  <c r="G515" i="1" s="1"/>
  <c r="H515" i="1" s="1"/>
  <c r="AK515" i="1"/>
  <c r="AG516" i="1"/>
  <c r="AH516" i="1"/>
  <c r="AI516" i="1"/>
  <c r="AJ516" i="1"/>
  <c r="G516" i="1" s="1"/>
  <c r="H516" i="1" s="1"/>
  <c r="AK516" i="1"/>
  <c r="AG517" i="1"/>
  <c r="AH517" i="1"/>
  <c r="AI517" i="1"/>
  <c r="AJ517" i="1"/>
  <c r="G517" i="1" s="1"/>
  <c r="H517" i="1" s="1"/>
  <c r="AK517" i="1"/>
  <c r="AG518" i="1"/>
  <c r="AH518" i="1"/>
  <c r="AI518" i="1"/>
  <c r="AJ518" i="1"/>
  <c r="G518" i="1" s="1"/>
  <c r="H518" i="1" s="1"/>
  <c r="AK518" i="1"/>
  <c r="AG519" i="1"/>
  <c r="AH519" i="1"/>
  <c r="AI519" i="1"/>
  <c r="AJ519" i="1"/>
  <c r="G519" i="1" s="1"/>
  <c r="H519" i="1" s="1"/>
  <c r="AK519" i="1"/>
  <c r="AG520" i="1"/>
  <c r="AH520" i="1"/>
  <c r="AI520" i="1"/>
  <c r="AJ520" i="1"/>
  <c r="G520" i="1" s="1"/>
  <c r="H520" i="1" s="1"/>
  <c r="AK520" i="1"/>
  <c r="AG521" i="1"/>
  <c r="AH521" i="1"/>
  <c r="AI521" i="1"/>
  <c r="AJ521" i="1"/>
  <c r="G521" i="1" s="1"/>
  <c r="H521" i="1" s="1"/>
  <c r="AK521" i="1"/>
  <c r="AG522" i="1"/>
  <c r="AH522" i="1"/>
  <c r="AI522" i="1"/>
  <c r="AJ522" i="1"/>
  <c r="G522" i="1" s="1"/>
  <c r="H522" i="1" s="1"/>
  <c r="AK522" i="1"/>
  <c r="AG523" i="1"/>
  <c r="AH523" i="1"/>
  <c r="AI523" i="1"/>
  <c r="AJ523" i="1"/>
  <c r="G523" i="1" s="1"/>
  <c r="H523" i="1" s="1"/>
  <c r="AK523" i="1"/>
  <c r="AG524" i="1"/>
  <c r="AH524" i="1"/>
  <c r="AI524" i="1"/>
  <c r="AJ524" i="1"/>
  <c r="G524" i="1" s="1"/>
  <c r="H524" i="1" s="1"/>
  <c r="AK524" i="1"/>
  <c r="AG525" i="1"/>
  <c r="AH525" i="1"/>
  <c r="AI525" i="1"/>
  <c r="AJ525" i="1"/>
  <c r="G525" i="1" s="1"/>
  <c r="H525" i="1" s="1"/>
  <c r="AK525" i="1"/>
  <c r="AG526" i="1"/>
  <c r="AH526" i="1"/>
  <c r="AI526" i="1"/>
  <c r="AJ526" i="1"/>
  <c r="G526" i="1" s="1"/>
  <c r="H526" i="1" s="1"/>
  <c r="AK526" i="1"/>
  <c r="AG527" i="1"/>
  <c r="AH527" i="1"/>
  <c r="AI527" i="1"/>
  <c r="AJ527" i="1"/>
  <c r="G527" i="1" s="1"/>
  <c r="H527" i="1" s="1"/>
  <c r="AK527" i="1"/>
  <c r="AG528" i="1"/>
  <c r="AH528" i="1"/>
  <c r="AI528" i="1"/>
  <c r="AJ528" i="1"/>
  <c r="G528" i="1" s="1"/>
  <c r="H528" i="1" s="1"/>
  <c r="AK528" i="1"/>
  <c r="AG529" i="1"/>
  <c r="AH529" i="1"/>
  <c r="AI529" i="1"/>
  <c r="AJ529" i="1"/>
  <c r="G529" i="1" s="1"/>
  <c r="H529" i="1" s="1"/>
  <c r="AK529" i="1"/>
  <c r="AG530" i="1"/>
  <c r="AH530" i="1"/>
  <c r="AI530" i="1"/>
  <c r="AJ530" i="1"/>
  <c r="G530" i="1" s="1"/>
  <c r="H530" i="1" s="1"/>
  <c r="AK530" i="1"/>
  <c r="AG531" i="1"/>
  <c r="AH531" i="1"/>
  <c r="AI531" i="1"/>
  <c r="AJ531" i="1"/>
  <c r="G531" i="1" s="1"/>
  <c r="H531" i="1" s="1"/>
  <c r="AK531" i="1"/>
  <c r="AG532" i="1"/>
  <c r="AH532" i="1"/>
  <c r="AI532" i="1"/>
  <c r="AJ532" i="1"/>
  <c r="G532" i="1" s="1"/>
  <c r="H532" i="1" s="1"/>
  <c r="AK532" i="1"/>
  <c r="AG533" i="1"/>
  <c r="AH533" i="1"/>
  <c r="AI533" i="1"/>
  <c r="AJ533" i="1"/>
  <c r="G533" i="1" s="1"/>
  <c r="H533" i="1" s="1"/>
  <c r="AK533" i="1"/>
  <c r="AG534" i="1"/>
  <c r="AH534" i="1"/>
  <c r="AI534" i="1"/>
  <c r="AJ534" i="1"/>
  <c r="G534" i="1" s="1"/>
  <c r="H534" i="1" s="1"/>
  <c r="AK534" i="1"/>
  <c r="AG535" i="1"/>
  <c r="AH535" i="1"/>
  <c r="AI535" i="1"/>
  <c r="AJ535" i="1"/>
  <c r="G535" i="1" s="1"/>
  <c r="H535" i="1" s="1"/>
  <c r="AK535" i="1"/>
  <c r="AG536" i="1"/>
  <c r="AH536" i="1"/>
  <c r="AI536" i="1"/>
  <c r="AJ536" i="1"/>
  <c r="G536" i="1" s="1"/>
  <c r="H536" i="1" s="1"/>
  <c r="AK536" i="1"/>
  <c r="AG537" i="1"/>
  <c r="AH537" i="1"/>
  <c r="AI537" i="1"/>
  <c r="AJ537" i="1"/>
  <c r="G537" i="1" s="1"/>
  <c r="H537" i="1" s="1"/>
  <c r="AK537" i="1"/>
  <c r="AG538" i="1"/>
  <c r="AH538" i="1"/>
  <c r="AI538" i="1"/>
  <c r="AJ538" i="1"/>
  <c r="G538" i="1" s="1"/>
  <c r="H538" i="1" s="1"/>
  <c r="AK538" i="1"/>
  <c r="AG539" i="1"/>
  <c r="AH539" i="1"/>
  <c r="AI539" i="1"/>
  <c r="AJ539" i="1"/>
  <c r="G539" i="1" s="1"/>
  <c r="H539" i="1" s="1"/>
  <c r="AK539" i="1"/>
  <c r="AH540" i="1"/>
  <c r="AI540" i="1"/>
  <c r="AJ540" i="1"/>
  <c r="G540" i="1" s="1"/>
  <c r="H540" i="1" s="1"/>
  <c r="AK540" i="1"/>
  <c r="AG541" i="1"/>
  <c r="AH541" i="1"/>
  <c r="AI541" i="1"/>
  <c r="AJ541" i="1"/>
  <c r="G541" i="1" s="1"/>
  <c r="H541" i="1" s="1"/>
  <c r="AK541" i="1"/>
  <c r="AG542" i="1"/>
  <c r="AH542" i="1"/>
  <c r="AI542" i="1"/>
  <c r="AJ542" i="1"/>
  <c r="G542" i="1" s="1"/>
  <c r="H542" i="1" s="1"/>
  <c r="AK542" i="1"/>
  <c r="AG543" i="1"/>
  <c r="AH543" i="1"/>
  <c r="AI543" i="1"/>
  <c r="AJ543" i="1"/>
  <c r="G543" i="1" s="1"/>
  <c r="H543" i="1" s="1"/>
  <c r="AK543" i="1"/>
  <c r="AG544" i="1"/>
  <c r="AH544" i="1"/>
  <c r="AI544" i="1"/>
  <c r="AJ544" i="1"/>
  <c r="G544" i="1" s="1"/>
  <c r="H544" i="1" s="1"/>
  <c r="AK544" i="1"/>
  <c r="AG545" i="1"/>
  <c r="AH545" i="1"/>
  <c r="AI545" i="1"/>
  <c r="AJ545" i="1"/>
  <c r="G545" i="1" s="1"/>
  <c r="H545" i="1" s="1"/>
  <c r="AK545" i="1"/>
  <c r="AG546" i="1"/>
  <c r="AH546" i="1"/>
  <c r="AI546" i="1"/>
  <c r="AJ546" i="1"/>
  <c r="G546" i="1" s="1"/>
  <c r="H546" i="1" s="1"/>
  <c r="AK546" i="1"/>
  <c r="AG547" i="1"/>
  <c r="AH547" i="1"/>
  <c r="AI547" i="1"/>
  <c r="AJ547" i="1"/>
  <c r="G547" i="1" s="1"/>
  <c r="H547" i="1" s="1"/>
  <c r="AK547" i="1"/>
  <c r="AG548" i="1"/>
  <c r="AH548" i="1"/>
  <c r="AI548" i="1"/>
  <c r="AJ548" i="1"/>
  <c r="G548" i="1" s="1"/>
  <c r="H548" i="1" s="1"/>
  <c r="AK548" i="1"/>
  <c r="AG549" i="1"/>
  <c r="AH549" i="1"/>
  <c r="AI549" i="1"/>
  <c r="AJ549" i="1"/>
  <c r="G549" i="1" s="1"/>
  <c r="H549" i="1" s="1"/>
  <c r="AK549" i="1"/>
  <c r="AG550" i="1"/>
  <c r="AH550" i="1"/>
  <c r="AI550" i="1"/>
  <c r="AJ550" i="1"/>
  <c r="G550" i="1" s="1"/>
  <c r="H550" i="1" s="1"/>
  <c r="AK550" i="1"/>
  <c r="AG551" i="1"/>
  <c r="AH551" i="1"/>
  <c r="AI551" i="1"/>
  <c r="AJ551" i="1"/>
  <c r="G551" i="1" s="1"/>
  <c r="H551" i="1" s="1"/>
  <c r="AK551" i="1"/>
  <c r="AG552" i="1"/>
  <c r="AH552" i="1"/>
  <c r="AI552" i="1"/>
  <c r="AJ552" i="1"/>
  <c r="G552" i="1" s="1"/>
  <c r="H552" i="1" s="1"/>
  <c r="AK552" i="1"/>
  <c r="AG553" i="1"/>
  <c r="AH553" i="1"/>
  <c r="AI553" i="1"/>
  <c r="AJ553" i="1"/>
  <c r="G553" i="1" s="1"/>
  <c r="H553" i="1" s="1"/>
  <c r="AK553" i="1"/>
  <c r="AG554" i="1"/>
  <c r="AH554" i="1"/>
  <c r="AI554" i="1"/>
  <c r="AJ554" i="1"/>
  <c r="G554" i="1" s="1"/>
  <c r="H554" i="1" s="1"/>
  <c r="AK554" i="1"/>
  <c r="AG555" i="1"/>
  <c r="AH555" i="1"/>
  <c r="AI555" i="1"/>
  <c r="AJ555" i="1"/>
  <c r="G555" i="1" s="1"/>
  <c r="H555" i="1" s="1"/>
  <c r="AK555" i="1"/>
  <c r="AG556" i="1"/>
  <c r="AH556" i="1"/>
  <c r="AI556" i="1"/>
  <c r="AJ556" i="1"/>
  <c r="G556" i="1" s="1"/>
  <c r="H556" i="1" s="1"/>
  <c r="AK556" i="1"/>
  <c r="AG557" i="1"/>
  <c r="AH557" i="1"/>
  <c r="AI557" i="1"/>
  <c r="AJ557" i="1"/>
  <c r="G557" i="1" s="1"/>
  <c r="H557" i="1" s="1"/>
  <c r="AK557" i="1"/>
  <c r="AG558" i="1"/>
  <c r="AH558" i="1"/>
  <c r="AI558" i="1"/>
  <c r="AJ558" i="1"/>
  <c r="G558" i="1" s="1"/>
  <c r="H558" i="1" s="1"/>
  <c r="AK558" i="1"/>
  <c r="AG559" i="1"/>
  <c r="AH559" i="1"/>
  <c r="AI559" i="1"/>
  <c r="AJ559" i="1"/>
  <c r="G559" i="1" s="1"/>
  <c r="H559" i="1" s="1"/>
  <c r="AK559" i="1"/>
  <c r="AG560" i="1"/>
  <c r="AH560" i="1"/>
  <c r="AI560" i="1"/>
  <c r="AJ560" i="1"/>
  <c r="G560" i="1" s="1"/>
  <c r="H560" i="1" s="1"/>
  <c r="AK560" i="1"/>
  <c r="AG561" i="1"/>
  <c r="AH561" i="1"/>
  <c r="AI561" i="1"/>
  <c r="AJ561" i="1"/>
  <c r="G561" i="1" s="1"/>
  <c r="H561" i="1" s="1"/>
  <c r="AK561" i="1"/>
  <c r="AG562" i="1"/>
  <c r="AH562" i="1"/>
  <c r="AI562" i="1"/>
  <c r="AJ562" i="1"/>
  <c r="G562" i="1" s="1"/>
  <c r="H562" i="1" s="1"/>
  <c r="AK562" i="1"/>
  <c r="AG563" i="1"/>
  <c r="AH563" i="1"/>
  <c r="AI563" i="1"/>
  <c r="AJ563" i="1"/>
  <c r="G563" i="1" s="1"/>
  <c r="H563" i="1" s="1"/>
  <c r="AK563" i="1"/>
  <c r="AG564" i="1"/>
  <c r="AH564" i="1"/>
  <c r="AI564" i="1"/>
  <c r="AJ564" i="1"/>
  <c r="G564" i="1" s="1"/>
  <c r="H564" i="1" s="1"/>
  <c r="AK564" i="1"/>
  <c r="AG565" i="1"/>
  <c r="AH565" i="1"/>
  <c r="AI565" i="1"/>
  <c r="AJ565" i="1"/>
  <c r="G565" i="1" s="1"/>
  <c r="H565" i="1" s="1"/>
  <c r="AK565" i="1"/>
  <c r="AG566" i="1"/>
  <c r="AH566" i="1"/>
  <c r="AI566" i="1"/>
  <c r="AJ566" i="1"/>
  <c r="G566" i="1" s="1"/>
  <c r="H566" i="1" s="1"/>
  <c r="AK566" i="1"/>
  <c r="AG567" i="1"/>
  <c r="AH567" i="1"/>
  <c r="AI567" i="1"/>
  <c r="AJ567" i="1"/>
  <c r="G567" i="1" s="1"/>
  <c r="H567" i="1" s="1"/>
  <c r="AK567" i="1"/>
  <c r="AG568" i="1"/>
  <c r="AH568" i="1"/>
  <c r="AI568" i="1"/>
  <c r="AJ568" i="1"/>
  <c r="G568" i="1" s="1"/>
  <c r="H568" i="1" s="1"/>
  <c r="AK568" i="1"/>
  <c r="AG569" i="1"/>
  <c r="AH569" i="1"/>
  <c r="AI569" i="1"/>
  <c r="AJ569" i="1"/>
  <c r="G569" i="1" s="1"/>
  <c r="H569" i="1" s="1"/>
  <c r="AK569" i="1"/>
  <c r="AG570" i="1"/>
  <c r="AH570" i="1"/>
  <c r="AI570" i="1"/>
  <c r="AJ570" i="1"/>
  <c r="G570" i="1" s="1"/>
  <c r="H570" i="1" s="1"/>
  <c r="AK570" i="1"/>
  <c r="AG571" i="1"/>
  <c r="AH571" i="1"/>
  <c r="AI571" i="1"/>
  <c r="AJ571" i="1"/>
  <c r="G571" i="1" s="1"/>
  <c r="H571" i="1" s="1"/>
  <c r="AK571" i="1"/>
  <c r="AG572" i="1"/>
  <c r="AH572" i="1"/>
  <c r="AI572" i="1"/>
  <c r="AJ572" i="1"/>
  <c r="G572" i="1" s="1"/>
  <c r="H572" i="1" s="1"/>
  <c r="AK572" i="1"/>
  <c r="AG573" i="1"/>
  <c r="AH573" i="1"/>
  <c r="AI573" i="1"/>
  <c r="AJ573" i="1"/>
  <c r="G573" i="1" s="1"/>
  <c r="H573" i="1" s="1"/>
  <c r="AK573" i="1"/>
  <c r="AG574" i="1"/>
  <c r="AH574" i="1"/>
  <c r="AI574" i="1"/>
  <c r="AJ574" i="1"/>
  <c r="G574" i="1" s="1"/>
  <c r="H574" i="1" s="1"/>
  <c r="AK574" i="1"/>
  <c r="AG575" i="1"/>
  <c r="AH575" i="1"/>
  <c r="AI575" i="1"/>
  <c r="AJ575" i="1"/>
  <c r="G575" i="1" s="1"/>
  <c r="H575" i="1" s="1"/>
  <c r="AK575" i="1"/>
  <c r="AG576" i="1"/>
  <c r="AH576" i="1"/>
  <c r="AI576" i="1"/>
  <c r="AJ576" i="1"/>
  <c r="G576" i="1" s="1"/>
  <c r="H576" i="1" s="1"/>
  <c r="AK576" i="1"/>
  <c r="AG577" i="1"/>
  <c r="AH577" i="1"/>
  <c r="AI577" i="1"/>
  <c r="AJ577" i="1"/>
  <c r="G577" i="1" s="1"/>
  <c r="H577" i="1" s="1"/>
  <c r="AK577" i="1"/>
  <c r="AG578" i="1"/>
  <c r="AH578" i="1"/>
  <c r="AI578" i="1"/>
  <c r="AJ578" i="1"/>
  <c r="G578" i="1" s="1"/>
  <c r="H578" i="1" s="1"/>
  <c r="AK578" i="1"/>
  <c r="AG579" i="1"/>
  <c r="AH579" i="1"/>
  <c r="AI579" i="1"/>
  <c r="AJ579" i="1"/>
  <c r="G579" i="1" s="1"/>
  <c r="H579" i="1" s="1"/>
  <c r="AK579" i="1"/>
  <c r="AG580" i="1"/>
  <c r="AH580" i="1"/>
  <c r="AI580" i="1"/>
  <c r="AJ580" i="1"/>
  <c r="G580" i="1" s="1"/>
  <c r="H580" i="1" s="1"/>
  <c r="AK580" i="1"/>
  <c r="AG581" i="1"/>
  <c r="AH581" i="1"/>
  <c r="AI581" i="1"/>
  <c r="AJ581" i="1"/>
  <c r="G581" i="1" s="1"/>
  <c r="H581" i="1" s="1"/>
  <c r="AK581" i="1"/>
  <c r="AG582" i="1"/>
  <c r="AH582" i="1"/>
  <c r="AI582" i="1"/>
  <c r="AJ582" i="1"/>
  <c r="G582" i="1" s="1"/>
  <c r="H582" i="1" s="1"/>
  <c r="AK582" i="1"/>
  <c r="AG583" i="1"/>
  <c r="AH583" i="1"/>
  <c r="AI583" i="1"/>
  <c r="AJ583" i="1"/>
  <c r="G583" i="1" s="1"/>
  <c r="H583" i="1" s="1"/>
  <c r="AK583" i="1"/>
  <c r="AG584" i="1"/>
  <c r="AH584" i="1"/>
  <c r="AI584" i="1"/>
  <c r="AJ584" i="1"/>
  <c r="G584" i="1" s="1"/>
  <c r="H584" i="1" s="1"/>
  <c r="AK584" i="1"/>
  <c r="AG585" i="1"/>
  <c r="AH585" i="1"/>
  <c r="AI585" i="1"/>
  <c r="AJ585" i="1"/>
  <c r="G585" i="1" s="1"/>
  <c r="H585" i="1" s="1"/>
  <c r="AK585" i="1"/>
  <c r="AG586" i="1"/>
  <c r="AH586" i="1"/>
  <c r="AI586" i="1"/>
  <c r="AJ586" i="1"/>
  <c r="G586" i="1" s="1"/>
  <c r="H586" i="1" s="1"/>
  <c r="AK586" i="1"/>
  <c r="AG587" i="1"/>
  <c r="AH587" i="1"/>
  <c r="AI587" i="1"/>
  <c r="AJ587" i="1"/>
  <c r="G587" i="1" s="1"/>
  <c r="H587" i="1" s="1"/>
  <c r="AK587" i="1"/>
  <c r="AG588" i="1"/>
  <c r="AH588" i="1"/>
  <c r="AI588" i="1"/>
  <c r="AJ588" i="1"/>
  <c r="G588" i="1" s="1"/>
  <c r="H588" i="1" s="1"/>
  <c r="AK58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AG496" i="1"/>
  <c r="AH496" i="1"/>
  <c r="AI496" i="1"/>
  <c r="AJ496" i="1"/>
  <c r="G496" i="1" s="1"/>
  <c r="H496" i="1" s="1"/>
  <c r="AK496" i="1"/>
  <c r="AG497" i="1"/>
  <c r="AH497" i="1"/>
  <c r="AI497" i="1"/>
  <c r="AJ497" i="1"/>
  <c r="G497" i="1" s="1"/>
  <c r="H497" i="1" s="1"/>
  <c r="AK497" i="1"/>
  <c r="AG498" i="1"/>
  <c r="AH498" i="1"/>
  <c r="AI498" i="1"/>
  <c r="AJ498" i="1"/>
  <c r="G498" i="1" s="1"/>
  <c r="H498" i="1" s="1"/>
  <c r="AK498" i="1"/>
  <c r="AD496" i="1"/>
  <c r="AD497" i="1"/>
  <c r="AD498" i="1"/>
  <c r="U496" i="1"/>
  <c r="U497" i="1"/>
  <c r="U498" i="1"/>
  <c r="O496" i="1"/>
  <c r="O497" i="1"/>
  <c r="O498" i="1"/>
  <c r="U494" i="1"/>
  <c r="U495" i="1"/>
  <c r="O495" i="1"/>
  <c r="O494" i="1"/>
  <c r="AG491" i="1"/>
  <c r="AH491" i="1"/>
  <c r="AI491" i="1"/>
  <c r="AJ491" i="1"/>
  <c r="G491" i="1" s="1"/>
  <c r="H491" i="1" s="1"/>
  <c r="AK491" i="1"/>
  <c r="AG492" i="1"/>
  <c r="AH492" i="1"/>
  <c r="AI492" i="1"/>
  <c r="AJ492" i="1"/>
  <c r="G492" i="1" s="1"/>
  <c r="H492" i="1" s="1"/>
  <c r="AK492" i="1"/>
  <c r="AG493" i="1"/>
  <c r="AH493" i="1"/>
  <c r="AI493" i="1"/>
  <c r="AJ493" i="1"/>
  <c r="G493" i="1" s="1"/>
  <c r="H493" i="1" s="1"/>
  <c r="AK493" i="1"/>
  <c r="AG494" i="1"/>
  <c r="AH494" i="1"/>
  <c r="AI494" i="1"/>
  <c r="AJ494" i="1"/>
  <c r="G494" i="1" s="1"/>
  <c r="H494" i="1" s="1"/>
  <c r="AK494" i="1"/>
  <c r="AG495" i="1"/>
  <c r="AH495" i="1"/>
  <c r="AI495" i="1"/>
  <c r="AJ495" i="1"/>
  <c r="G495" i="1" s="1"/>
  <c r="H495" i="1" s="1"/>
  <c r="AK495" i="1"/>
  <c r="AD491" i="1"/>
  <c r="AD492" i="1"/>
  <c r="AD493" i="1"/>
  <c r="AD494" i="1"/>
  <c r="AD495" i="1"/>
  <c r="U491" i="1"/>
  <c r="U492" i="1"/>
  <c r="U493" i="1"/>
  <c r="O491" i="1"/>
  <c r="O492" i="1"/>
  <c r="O493" i="1"/>
  <c r="O92" i="1" l="1"/>
  <c r="U92" i="1"/>
  <c r="AD92" i="1"/>
  <c r="AH92" i="1"/>
  <c r="AI92" i="1"/>
  <c r="AJ92" i="1"/>
  <c r="G92" i="1" s="1"/>
  <c r="H92" i="1" s="1"/>
  <c r="AK92" i="1"/>
  <c r="O62" i="1"/>
  <c r="U62" i="1"/>
  <c r="AD62" i="1"/>
  <c r="AG62" i="1"/>
  <c r="AH62" i="1"/>
  <c r="AI62" i="1"/>
  <c r="AJ62" i="1"/>
  <c r="G62" i="1" s="1"/>
  <c r="H62" i="1" s="1"/>
  <c r="AK62" i="1"/>
  <c r="AG483" i="1"/>
  <c r="AH483" i="1"/>
  <c r="AI483" i="1"/>
  <c r="AJ483" i="1"/>
  <c r="G483" i="1" s="1"/>
  <c r="H483" i="1" s="1"/>
  <c r="AK483" i="1"/>
  <c r="AG484" i="1"/>
  <c r="AH484" i="1"/>
  <c r="AI484" i="1"/>
  <c r="AJ484" i="1"/>
  <c r="G484" i="1" s="1"/>
  <c r="H484" i="1" s="1"/>
  <c r="AK484" i="1"/>
  <c r="AG485" i="1"/>
  <c r="AH485" i="1"/>
  <c r="AI485" i="1"/>
  <c r="AJ485" i="1"/>
  <c r="G485" i="1" s="1"/>
  <c r="H485" i="1" s="1"/>
  <c r="AK485" i="1"/>
  <c r="AG486" i="1"/>
  <c r="AH486" i="1"/>
  <c r="AI486" i="1"/>
  <c r="AJ486" i="1"/>
  <c r="G486" i="1" s="1"/>
  <c r="H486" i="1" s="1"/>
  <c r="AK486" i="1"/>
  <c r="AG487" i="1"/>
  <c r="AH487" i="1"/>
  <c r="AI487" i="1"/>
  <c r="AJ487" i="1"/>
  <c r="G487" i="1" s="1"/>
  <c r="H487" i="1" s="1"/>
  <c r="AK487" i="1"/>
  <c r="AG488" i="1"/>
  <c r="AH488" i="1"/>
  <c r="AI488" i="1"/>
  <c r="AJ488" i="1"/>
  <c r="G488" i="1" s="1"/>
  <c r="H488" i="1" s="1"/>
  <c r="AK488" i="1"/>
  <c r="AG489" i="1"/>
  <c r="AH489" i="1"/>
  <c r="AI489" i="1"/>
  <c r="AJ489" i="1"/>
  <c r="G489" i="1" s="1"/>
  <c r="H489" i="1" s="1"/>
  <c r="AK489" i="1"/>
  <c r="AG490" i="1"/>
  <c r="AH490" i="1"/>
  <c r="AI490" i="1"/>
  <c r="AJ490" i="1"/>
  <c r="G490" i="1" s="1"/>
  <c r="H490" i="1" s="1"/>
  <c r="AK490" i="1"/>
  <c r="AD483" i="1"/>
  <c r="AD484" i="1"/>
  <c r="AD485" i="1"/>
  <c r="AD486" i="1"/>
  <c r="AD487" i="1"/>
  <c r="AD488" i="1"/>
  <c r="AD489" i="1"/>
  <c r="AD490" i="1"/>
  <c r="U483" i="1"/>
  <c r="U484" i="1"/>
  <c r="U485" i="1"/>
  <c r="U486" i="1"/>
  <c r="U487" i="1"/>
  <c r="U488" i="1"/>
  <c r="U489" i="1"/>
  <c r="U490" i="1"/>
  <c r="O483" i="1"/>
  <c r="O484" i="1"/>
  <c r="O485" i="1"/>
  <c r="O486" i="1"/>
  <c r="O487" i="1"/>
  <c r="O488" i="1"/>
  <c r="O489" i="1"/>
  <c r="O490" i="1"/>
  <c r="AG475" i="1"/>
  <c r="AH475" i="1"/>
  <c r="AI475" i="1"/>
  <c r="AJ475" i="1"/>
  <c r="G475" i="1" s="1"/>
  <c r="H475" i="1" s="1"/>
  <c r="AK475" i="1"/>
  <c r="AG476" i="1"/>
  <c r="AH476" i="1"/>
  <c r="AI476" i="1"/>
  <c r="AJ476" i="1"/>
  <c r="AK476" i="1"/>
  <c r="AG477" i="1"/>
  <c r="AH477" i="1"/>
  <c r="AI477" i="1"/>
  <c r="AJ477" i="1"/>
  <c r="G477" i="1" s="1"/>
  <c r="H477" i="1" s="1"/>
  <c r="AK477" i="1"/>
  <c r="AG478" i="1"/>
  <c r="AH478" i="1"/>
  <c r="AI478" i="1"/>
  <c r="AJ478" i="1"/>
  <c r="G478" i="1" s="1"/>
  <c r="H478" i="1" s="1"/>
  <c r="AK478" i="1"/>
  <c r="AG479" i="1"/>
  <c r="AH479" i="1"/>
  <c r="AI479" i="1"/>
  <c r="AJ479" i="1"/>
  <c r="G479" i="1" s="1"/>
  <c r="H479" i="1" s="1"/>
  <c r="AK479" i="1"/>
  <c r="AG480" i="1"/>
  <c r="AH480" i="1"/>
  <c r="AI480" i="1"/>
  <c r="AJ480" i="1"/>
  <c r="G480" i="1" s="1"/>
  <c r="H480" i="1" s="1"/>
  <c r="AK480" i="1"/>
  <c r="AG481" i="1"/>
  <c r="AH481" i="1"/>
  <c r="AI481" i="1"/>
  <c r="AJ481" i="1"/>
  <c r="G481" i="1" s="1"/>
  <c r="H481" i="1" s="1"/>
  <c r="AK481" i="1"/>
  <c r="AG482" i="1"/>
  <c r="AH482" i="1"/>
  <c r="AI482" i="1"/>
  <c r="AJ482" i="1"/>
  <c r="G482" i="1" s="1"/>
  <c r="H482" i="1" s="1"/>
  <c r="AK482" i="1"/>
  <c r="AD475" i="1"/>
  <c r="AD476" i="1"/>
  <c r="AD477" i="1"/>
  <c r="AD478" i="1"/>
  <c r="AD479" i="1"/>
  <c r="AD480" i="1"/>
  <c r="AD481" i="1"/>
  <c r="AD482" i="1"/>
  <c r="U475" i="1"/>
  <c r="U476" i="1"/>
  <c r="U477" i="1"/>
  <c r="U478" i="1"/>
  <c r="U479" i="1"/>
  <c r="U480" i="1"/>
  <c r="U481" i="1"/>
  <c r="U482" i="1"/>
  <c r="G476" i="1"/>
  <c r="H476" i="1" s="1"/>
  <c r="O482" i="1"/>
  <c r="O479" i="1"/>
  <c r="O480" i="1"/>
  <c r="O481" i="1"/>
  <c r="O477" i="1"/>
  <c r="O478" i="1"/>
  <c r="O476" i="1"/>
  <c r="O475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3" i="1"/>
  <c r="AG64" i="1"/>
  <c r="AG65" i="1"/>
  <c r="AG71" i="1"/>
  <c r="AG72" i="1"/>
  <c r="AG73" i="1"/>
  <c r="AG74" i="1"/>
  <c r="AG75" i="1"/>
  <c r="AG76" i="1"/>
  <c r="AG77" i="1"/>
  <c r="AG78" i="1"/>
  <c r="AG79" i="1"/>
  <c r="AG80" i="1"/>
  <c r="AG81" i="1"/>
  <c r="AG83" i="1"/>
  <c r="AG84" i="1"/>
  <c r="AG85" i="1"/>
  <c r="AG86" i="1"/>
  <c r="AG87" i="1"/>
  <c r="AG88" i="1"/>
  <c r="AG89" i="1"/>
  <c r="AG90" i="1"/>
  <c r="AG91" i="1"/>
  <c r="AG93" i="1"/>
  <c r="AG94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10" i="1"/>
  <c r="AG111" i="1"/>
  <c r="AG114" i="1"/>
  <c r="AG115" i="1"/>
  <c r="AG116" i="1"/>
  <c r="AG118" i="1"/>
  <c r="AG119" i="1"/>
  <c r="AG122" i="1"/>
  <c r="AG125" i="1"/>
  <c r="AG130" i="1"/>
  <c r="AG134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5" i="1"/>
  <c r="AG176" i="1"/>
  <c r="AG177" i="1"/>
  <c r="AG178" i="1"/>
  <c r="AG179" i="1"/>
  <c r="AG180" i="1"/>
  <c r="AG181" i="1"/>
  <c r="AG183" i="1"/>
  <c r="AG185" i="1"/>
  <c r="AG187" i="1"/>
  <c r="AG189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2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O7" i="1"/>
  <c r="U7" i="1"/>
  <c r="AD7" i="1"/>
  <c r="AH7" i="1"/>
  <c r="AI7" i="1"/>
  <c r="AJ7" i="1"/>
  <c r="G7" i="1" s="1"/>
  <c r="H7" i="1" s="1"/>
  <c r="AK7" i="1"/>
  <c r="U473" i="1" l="1"/>
  <c r="U474" i="1"/>
  <c r="O136" i="1"/>
  <c r="U136" i="1"/>
  <c r="AD136" i="1"/>
  <c r="AH136" i="1"/>
  <c r="AI136" i="1"/>
  <c r="AJ136" i="1"/>
  <c r="G136" i="1" s="1"/>
  <c r="H136" i="1" s="1"/>
  <c r="AK136" i="1"/>
  <c r="AJ2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3" i="1"/>
  <c r="AJ64" i="1"/>
  <c r="AJ65" i="1"/>
  <c r="AJ71" i="1"/>
  <c r="AJ72" i="1"/>
  <c r="AJ73" i="1"/>
  <c r="AJ74" i="1"/>
  <c r="AJ75" i="1"/>
  <c r="AJ76" i="1"/>
  <c r="AJ77" i="1"/>
  <c r="AJ78" i="1"/>
  <c r="AJ79" i="1"/>
  <c r="AJ80" i="1"/>
  <c r="AJ81" i="1"/>
  <c r="AJ83" i="1"/>
  <c r="AJ84" i="1"/>
  <c r="AJ85" i="1"/>
  <c r="AJ86" i="1"/>
  <c r="AJ87" i="1"/>
  <c r="AJ88" i="1"/>
  <c r="AJ89" i="1"/>
  <c r="AJ90" i="1"/>
  <c r="AJ91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10" i="1"/>
  <c r="AJ111" i="1"/>
  <c r="AJ114" i="1"/>
  <c r="AJ115" i="1"/>
  <c r="AJ116" i="1"/>
  <c r="AJ118" i="1"/>
  <c r="AJ119" i="1"/>
  <c r="AJ122" i="1"/>
  <c r="AJ125" i="1"/>
  <c r="AJ130" i="1"/>
  <c r="AJ134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3" i="1"/>
  <c r="AJ185" i="1"/>
  <c r="AJ187" i="1"/>
  <c r="AJ189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G396" i="1" s="1"/>
  <c r="H396" i="1" s="1"/>
  <c r="AJ397" i="1"/>
  <c r="G397" i="1" s="1"/>
  <c r="H397" i="1" s="1"/>
  <c r="AJ398" i="1"/>
  <c r="G398" i="1" s="1"/>
  <c r="H398" i="1" s="1"/>
  <c r="AJ399" i="1"/>
  <c r="G399" i="1" s="1"/>
  <c r="H399" i="1" s="1"/>
  <c r="AJ400" i="1"/>
  <c r="G400" i="1" s="1"/>
  <c r="H400" i="1" s="1"/>
  <c r="AJ401" i="1"/>
  <c r="G401" i="1" s="1"/>
  <c r="H401" i="1" s="1"/>
  <c r="AJ402" i="1"/>
  <c r="G402" i="1" s="1"/>
  <c r="H402" i="1" s="1"/>
  <c r="AJ403" i="1"/>
  <c r="G403" i="1" s="1"/>
  <c r="H403" i="1" s="1"/>
  <c r="AJ404" i="1"/>
  <c r="G404" i="1" s="1"/>
  <c r="H404" i="1" s="1"/>
  <c r="AJ405" i="1"/>
  <c r="G405" i="1" s="1"/>
  <c r="H405" i="1" s="1"/>
  <c r="AJ406" i="1"/>
  <c r="G406" i="1" s="1"/>
  <c r="H406" i="1" s="1"/>
  <c r="AJ407" i="1"/>
  <c r="G407" i="1" s="1"/>
  <c r="H407" i="1" s="1"/>
  <c r="AJ408" i="1"/>
  <c r="G408" i="1" s="1"/>
  <c r="H408" i="1" s="1"/>
  <c r="AJ409" i="1"/>
  <c r="G409" i="1" s="1"/>
  <c r="H409" i="1" s="1"/>
  <c r="AJ410" i="1"/>
  <c r="G410" i="1" s="1"/>
  <c r="H410" i="1" s="1"/>
  <c r="AJ411" i="1"/>
  <c r="G411" i="1" s="1"/>
  <c r="H411" i="1" s="1"/>
  <c r="AJ412" i="1"/>
  <c r="G412" i="1" s="1"/>
  <c r="H412" i="1" s="1"/>
  <c r="AJ413" i="1"/>
  <c r="G413" i="1" s="1"/>
  <c r="H413" i="1" s="1"/>
  <c r="AJ414" i="1"/>
  <c r="G414" i="1" s="1"/>
  <c r="H414" i="1" s="1"/>
  <c r="AJ415" i="1"/>
  <c r="G415" i="1" s="1"/>
  <c r="H415" i="1" s="1"/>
  <c r="AJ416" i="1"/>
  <c r="G416" i="1" s="1"/>
  <c r="H416" i="1" s="1"/>
  <c r="AJ417" i="1"/>
  <c r="G417" i="1" s="1"/>
  <c r="H417" i="1" s="1"/>
  <c r="AJ418" i="1"/>
  <c r="G418" i="1" s="1"/>
  <c r="H418" i="1" s="1"/>
  <c r="AJ419" i="1"/>
  <c r="G419" i="1" s="1"/>
  <c r="H419" i="1" s="1"/>
  <c r="AJ420" i="1"/>
  <c r="G420" i="1" s="1"/>
  <c r="H420" i="1" s="1"/>
  <c r="AJ421" i="1"/>
  <c r="G421" i="1" s="1"/>
  <c r="H421" i="1" s="1"/>
  <c r="AJ422" i="1"/>
  <c r="G422" i="1" s="1"/>
  <c r="H422" i="1" s="1"/>
  <c r="AJ423" i="1"/>
  <c r="G423" i="1" s="1"/>
  <c r="H423" i="1" s="1"/>
  <c r="AJ424" i="1"/>
  <c r="G424" i="1" s="1"/>
  <c r="H424" i="1" s="1"/>
  <c r="AJ425" i="1"/>
  <c r="G425" i="1" s="1"/>
  <c r="H425" i="1" s="1"/>
  <c r="AJ426" i="1"/>
  <c r="G426" i="1" s="1"/>
  <c r="H426" i="1" s="1"/>
  <c r="AJ427" i="1"/>
  <c r="G427" i="1" s="1"/>
  <c r="H427" i="1" s="1"/>
  <c r="AJ428" i="1"/>
  <c r="G428" i="1" s="1"/>
  <c r="H428" i="1" s="1"/>
  <c r="AJ429" i="1"/>
  <c r="G429" i="1" s="1"/>
  <c r="H429" i="1" s="1"/>
  <c r="AJ430" i="1"/>
  <c r="G430" i="1" s="1"/>
  <c r="H430" i="1" s="1"/>
  <c r="AJ431" i="1"/>
  <c r="G431" i="1" s="1"/>
  <c r="H431" i="1" s="1"/>
  <c r="AJ432" i="1"/>
  <c r="G432" i="1" s="1"/>
  <c r="H432" i="1" s="1"/>
  <c r="AJ433" i="1"/>
  <c r="G433" i="1" s="1"/>
  <c r="H433" i="1" s="1"/>
  <c r="AJ434" i="1"/>
  <c r="G434" i="1" s="1"/>
  <c r="H434" i="1" s="1"/>
  <c r="AJ435" i="1"/>
  <c r="G435" i="1" s="1"/>
  <c r="H435" i="1" s="1"/>
  <c r="AJ436" i="1"/>
  <c r="G436" i="1" s="1"/>
  <c r="H436" i="1" s="1"/>
  <c r="AJ437" i="1"/>
  <c r="G437" i="1" s="1"/>
  <c r="H437" i="1" s="1"/>
  <c r="AJ438" i="1"/>
  <c r="G438" i="1" s="1"/>
  <c r="H438" i="1" s="1"/>
  <c r="AJ439" i="1"/>
  <c r="G439" i="1" s="1"/>
  <c r="H439" i="1" s="1"/>
  <c r="AJ440" i="1"/>
  <c r="G440" i="1" s="1"/>
  <c r="H440" i="1" s="1"/>
  <c r="AJ441" i="1"/>
  <c r="G441" i="1" s="1"/>
  <c r="H441" i="1" s="1"/>
  <c r="AJ442" i="1"/>
  <c r="G442" i="1" s="1"/>
  <c r="H442" i="1" s="1"/>
  <c r="AJ443" i="1"/>
  <c r="G443" i="1" s="1"/>
  <c r="H443" i="1" s="1"/>
  <c r="AJ444" i="1"/>
  <c r="G444" i="1" s="1"/>
  <c r="H444" i="1" s="1"/>
  <c r="AJ445" i="1"/>
  <c r="G445" i="1" s="1"/>
  <c r="H445" i="1" s="1"/>
  <c r="AJ446" i="1"/>
  <c r="G446" i="1" s="1"/>
  <c r="H446" i="1" s="1"/>
  <c r="AJ447" i="1"/>
  <c r="G447" i="1" s="1"/>
  <c r="H447" i="1" s="1"/>
  <c r="AJ448" i="1"/>
  <c r="G448" i="1" s="1"/>
  <c r="H448" i="1" s="1"/>
  <c r="AJ449" i="1"/>
  <c r="G449" i="1" s="1"/>
  <c r="H449" i="1" s="1"/>
  <c r="AJ450" i="1"/>
  <c r="G450" i="1" s="1"/>
  <c r="H450" i="1" s="1"/>
  <c r="AJ451" i="1"/>
  <c r="G451" i="1" s="1"/>
  <c r="H451" i="1" s="1"/>
  <c r="AJ452" i="1"/>
  <c r="G452" i="1" s="1"/>
  <c r="H452" i="1" s="1"/>
  <c r="AJ453" i="1"/>
  <c r="G453" i="1" s="1"/>
  <c r="H453" i="1" s="1"/>
  <c r="AJ454" i="1"/>
  <c r="G454" i="1" s="1"/>
  <c r="H454" i="1" s="1"/>
  <c r="AJ455" i="1"/>
  <c r="G455" i="1" s="1"/>
  <c r="H455" i="1" s="1"/>
  <c r="AJ456" i="1"/>
  <c r="G456" i="1" s="1"/>
  <c r="H456" i="1" s="1"/>
  <c r="AJ457" i="1"/>
  <c r="G457" i="1" s="1"/>
  <c r="H457" i="1" s="1"/>
  <c r="AJ458" i="1"/>
  <c r="G458" i="1" s="1"/>
  <c r="H458" i="1" s="1"/>
  <c r="AJ459" i="1"/>
  <c r="G459" i="1" s="1"/>
  <c r="H459" i="1" s="1"/>
  <c r="AJ460" i="1"/>
  <c r="G460" i="1" s="1"/>
  <c r="H460" i="1" s="1"/>
  <c r="AJ461" i="1"/>
  <c r="G461" i="1" s="1"/>
  <c r="H461" i="1" s="1"/>
  <c r="AJ462" i="1"/>
  <c r="G462" i="1" s="1"/>
  <c r="H462" i="1" s="1"/>
  <c r="AJ463" i="1"/>
  <c r="G463" i="1" s="1"/>
  <c r="H463" i="1" s="1"/>
  <c r="AJ464" i="1"/>
  <c r="G464" i="1" s="1"/>
  <c r="H464" i="1" s="1"/>
  <c r="AJ465" i="1"/>
  <c r="G465" i="1" s="1"/>
  <c r="H465" i="1" s="1"/>
  <c r="AJ466" i="1"/>
  <c r="G466" i="1" s="1"/>
  <c r="H466" i="1" s="1"/>
  <c r="AJ467" i="1"/>
  <c r="G467" i="1" s="1"/>
  <c r="H467" i="1" s="1"/>
  <c r="AJ468" i="1"/>
  <c r="G468" i="1" s="1"/>
  <c r="H468" i="1" s="1"/>
  <c r="AJ469" i="1"/>
  <c r="G469" i="1" s="1"/>
  <c r="H469" i="1" s="1"/>
  <c r="AJ470" i="1"/>
  <c r="G470" i="1" s="1"/>
  <c r="H470" i="1" s="1"/>
  <c r="AJ471" i="1"/>
  <c r="G471" i="1" s="1"/>
  <c r="H471" i="1" s="1"/>
  <c r="AJ472" i="1"/>
  <c r="G472" i="1" s="1"/>
  <c r="H472" i="1" s="1"/>
  <c r="AJ473" i="1"/>
  <c r="G473" i="1" s="1"/>
  <c r="H473" i="1" s="1"/>
  <c r="AJ474" i="1"/>
  <c r="G474" i="1" s="1"/>
  <c r="H474" i="1" s="1"/>
  <c r="AH473" i="1"/>
  <c r="AI473" i="1"/>
  <c r="AK473" i="1"/>
  <c r="AH474" i="1"/>
  <c r="AI474" i="1"/>
  <c r="AK474" i="1"/>
  <c r="O474" i="1"/>
  <c r="O473" i="1"/>
  <c r="AH472" i="1"/>
  <c r="AI472" i="1"/>
  <c r="AK472" i="1"/>
  <c r="U472" i="1"/>
  <c r="O472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AH396" i="1"/>
  <c r="AI396" i="1"/>
  <c r="AK396" i="1"/>
  <c r="AH397" i="1"/>
  <c r="AI397" i="1"/>
  <c r="AK397" i="1"/>
  <c r="AH398" i="1"/>
  <c r="AI398" i="1"/>
  <c r="AK398" i="1"/>
  <c r="AH399" i="1"/>
  <c r="AI399" i="1"/>
  <c r="AK399" i="1"/>
  <c r="AH400" i="1"/>
  <c r="AI400" i="1"/>
  <c r="AK400" i="1"/>
  <c r="AH401" i="1"/>
  <c r="AI401" i="1"/>
  <c r="AK401" i="1"/>
  <c r="AH402" i="1"/>
  <c r="AI402" i="1"/>
  <c r="AK402" i="1"/>
  <c r="AH403" i="1"/>
  <c r="AI403" i="1"/>
  <c r="AK403" i="1"/>
  <c r="AH404" i="1"/>
  <c r="AI404" i="1"/>
  <c r="AK404" i="1"/>
  <c r="AH405" i="1"/>
  <c r="AI405" i="1"/>
  <c r="AK405" i="1"/>
  <c r="AH406" i="1"/>
  <c r="AI406" i="1"/>
  <c r="AK406" i="1"/>
  <c r="AH407" i="1"/>
  <c r="AI407" i="1"/>
  <c r="AK407" i="1"/>
  <c r="AH408" i="1"/>
  <c r="AI408" i="1"/>
  <c r="AK408" i="1"/>
  <c r="AH409" i="1"/>
  <c r="AI409" i="1"/>
  <c r="AK409" i="1"/>
  <c r="AH410" i="1"/>
  <c r="AI410" i="1"/>
  <c r="AK410" i="1"/>
  <c r="AH411" i="1"/>
  <c r="AI411" i="1"/>
  <c r="AK411" i="1"/>
  <c r="AH412" i="1"/>
  <c r="AI412" i="1"/>
  <c r="AK412" i="1"/>
  <c r="AH413" i="1"/>
  <c r="AI413" i="1"/>
  <c r="AK413" i="1"/>
  <c r="AH414" i="1"/>
  <c r="AI414" i="1"/>
  <c r="AK414" i="1"/>
  <c r="AH415" i="1"/>
  <c r="AI415" i="1"/>
  <c r="AK415" i="1"/>
  <c r="AH416" i="1"/>
  <c r="AI416" i="1"/>
  <c r="AK416" i="1"/>
  <c r="AH417" i="1"/>
  <c r="AI417" i="1"/>
  <c r="AK417" i="1"/>
  <c r="AH418" i="1"/>
  <c r="AI418" i="1"/>
  <c r="AK418" i="1"/>
  <c r="AH419" i="1"/>
  <c r="AI419" i="1"/>
  <c r="AK419" i="1"/>
  <c r="AH420" i="1"/>
  <c r="AI420" i="1"/>
  <c r="AK420" i="1"/>
  <c r="AH421" i="1"/>
  <c r="AI421" i="1"/>
  <c r="AK421" i="1"/>
  <c r="AH422" i="1"/>
  <c r="AI422" i="1"/>
  <c r="AK422" i="1"/>
  <c r="AH423" i="1"/>
  <c r="AI423" i="1"/>
  <c r="AK423" i="1"/>
  <c r="AH424" i="1"/>
  <c r="AI424" i="1"/>
  <c r="AK424" i="1"/>
  <c r="AH425" i="1"/>
  <c r="AI425" i="1"/>
  <c r="AK425" i="1"/>
  <c r="AH426" i="1"/>
  <c r="AI426" i="1"/>
  <c r="AK426" i="1"/>
  <c r="AH427" i="1"/>
  <c r="AI427" i="1"/>
  <c r="AK427" i="1"/>
  <c r="AH428" i="1"/>
  <c r="AI428" i="1"/>
  <c r="AK428" i="1"/>
  <c r="AH429" i="1"/>
  <c r="AI429" i="1"/>
  <c r="AK429" i="1"/>
  <c r="AH430" i="1"/>
  <c r="AI430" i="1"/>
  <c r="AK430" i="1"/>
  <c r="AH431" i="1"/>
  <c r="AI431" i="1"/>
  <c r="AK431" i="1"/>
  <c r="AH432" i="1"/>
  <c r="AI432" i="1"/>
  <c r="AK432" i="1"/>
  <c r="AH433" i="1"/>
  <c r="AI433" i="1"/>
  <c r="AK433" i="1"/>
  <c r="AH434" i="1"/>
  <c r="AI434" i="1"/>
  <c r="AK434" i="1"/>
  <c r="AH435" i="1"/>
  <c r="AI435" i="1"/>
  <c r="AK435" i="1"/>
  <c r="AH436" i="1"/>
  <c r="AI436" i="1"/>
  <c r="AK436" i="1"/>
  <c r="AH437" i="1"/>
  <c r="AI437" i="1"/>
  <c r="AK437" i="1"/>
  <c r="AH438" i="1"/>
  <c r="AI438" i="1"/>
  <c r="AK438" i="1"/>
  <c r="AH439" i="1"/>
  <c r="AI439" i="1"/>
  <c r="AK439" i="1"/>
  <c r="AH440" i="1"/>
  <c r="AI440" i="1"/>
  <c r="AK440" i="1"/>
  <c r="AH441" i="1"/>
  <c r="AI441" i="1"/>
  <c r="AK441" i="1"/>
  <c r="AH442" i="1"/>
  <c r="AI442" i="1"/>
  <c r="AK442" i="1"/>
  <c r="AH443" i="1"/>
  <c r="AI443" i="1"/>
  <c r="AK443" i="1"/>
  <c r="AH444" i="1"/>
  <c r="AI444" i="1"/>
  <c r="AK444" i="1"/>
  <c r="AH445" i="1"/>
  <c r="AI445" i="1"/>
  <c r="AK445" i="1"/>
  <c r="AH446" i="1"/>
  <c r="AI446" i="1"/>
  <c r="AK446" i="1"/>
  <c r="AH447" i="1"/>
  <c r="AI447" i="1"/>
  <c r="AK447" i="1"/>
  <c r="AH448" i="1"/>
  <c r="AI448" i="1"/>
  <c r="AK448" i="1"/>
  <c r="AH449" i="1"/>
  <c r="AI449" i="1"/>
  <c r="AK449" i="1"/>
  <c r="AH450" i="1"/>
  <c r="AI450" i="1"/>
  <c r="AK450" i="1"/>
  <c r="AH451" i="1"/>
  <c r="AI451" i="1"/>
  <c r="AK451" i="1"/>
  <c r="AH452" i="1"/>
  <c r="AI452" i="1"/>
  <c r="AK452" i="1"/>
  <c r="AH453" i="1"/>
  <c r="AI453" i="1"/>
  <c r="AK453" i="1"/>
  <c r="AH454" i="1"/>
  <c r="AI454" i="1"/>
  <c r="AK454" i="1"/>
  <c r="AH455" i="1"/>
  <c r="AI455" i="1"/>
  <c r="AK455" i="1"/>
  <c r="AH456" i="1"/>
  <c r="AI456" i="1"/>
  <c r="AK456" i="1"/>
  <c r="AH457" i="1"/>
  <c r="AI457" i="1"/>
  <c r="AK457" i="1"/>
  <c r="AH458" i="1"/>
  <c r="AI458" i="1"/>
  <c r="AK458" i="1"/>
  <c r="AH459" i="1"/>
  <c r="AI459" i="1"/>
  <c r="AK459" i="1"/>
  <c r="AH460" i="1"/>
  <c r="AI460" i="1"/>
  <c r="AK460" i="1"/>
  <c r="AH461" i="1"/>
  <c r="AI461" i="1"/>
  <c r="AK461" i="1"/>
  <c r="AH462" i="1"/>
  <c r="AI462" i="1"/>
  <c r="AK462" i="1"/>
  <c r="AH463" i="1"/>
  <c r="AI463" i="1"/>
  <c r="AK463" i="1"/>
  <c r="AH464" i="1"/>
  <c r="AI464" i="1"/>
  <c r="AK464" i="1"/>
  <c r="AH465" i="1"/>
  <c r="AI465" i="1"/>
  <c r="AK465" i="1"/>
  <c r="AH466" i="1"/>
  <c r="AI466" i="1"/>
  <c r="AK466" i="1"/>
  <c r="AH467" i="1"/>
  <c r="AI467" i="1"/>
  <c r="AK467" i="1"/>
  <c r="AH468" i="1"/>
  <c r="AI468" i="1"/>
  <c r="AK468" i="1"/>
  <c r="AH469" i="1"/>
  <c r="AI469" i="1"/>
  <c r="AK469" i="1"/>
  <c r="AH470" i="1"/>
  <c r="AI470" i="1"/>
  <c r="AK470" i="1"/>
  <c r="AH471" i="1"/>
  <c r="AI471" i="1"/>
  <c r="AK471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U388" i="1" l="1"/>
  <c r="U389" i="1"/>
  <c r="U390" i="1"/>
  <c r="U391" i="1"/>
  <c r="U392" i="1"/>
  <c r="U393" i="1"/>
  <c r="U394" i="1"/>
  <c r="U395" i="1"/>
  <c r="AH388" i="1"/>
  <c r="AI388" i="1"/>
  <c r="G388" i="1"/>
  <c r="H388" i="1" s="1"/>
  <c r="AK388" i="1"/>
  <c r="AH389" i="1"/>
  <c r="AI389" i="1"/>
  <c r="AK389" i="1"/>
  <c r="AH390" i="1"/>
  <c r="AI390" i="1"/>
  <c r="AK390" i="1"/>
  <c r="AH391" i="1"/>
  <c r="AI391" i="1"/>
  <c r="AK391" i="1"/>
  <c r="AH392" i="1"/>
  <c r="AI392" i="1"/>
  <c r="G392" i="1"/>
  <c r="H392" i="1" s="1"/>
  <c r="AK392" i="1"/>
  <c r="AH393" i="1"/>
  <c r="AI393" i="1"/>
  <c r="AK393" i="1"/>
  <c r="AH394" i="1"/>
  <c r="AI394" i="1"/>
  <c r="G394" i="1"/>
  <c r="H394" i="1" s="1"/>
  <c r="AK394" i="1"/>
  <c r="AH395" i="1"/>
  <c r="AI395" i="1"/>
  <c r="G395" i="1"/>
  <c r="H395" i="1" s="1"/>
  <c r="AK395" i="1"/>
  <c r="AD388" i="1"/>
  <c r="AD389" i="1"/>
  <c r="AD390" i="1"/>
  <c r="AD391" i="1"/>
  <c r="AD392" i="1"/>
  <c r="AD393" i="1"/>
  <c r="AD394" i="1"/>
  <c r="AD395" i="1"/>
  <c r="O388" i="1"/>
  <c r="O389" i="1"/>
  <c r="O390" i="1"/>
  <c r="O391" i="1"/>
  <c r="O392" i="1"/>
  <c r="O393" i="1"/>
  <c r="O394" i="1"/>
  <c r="O395" i="1"/>
  <c r="G389" i="1"/>
  <c r="H389" i="1" s="1"/>
  <c r="G390" i="1"/>
  <c r="H390" i="1" s="1"/>
  <c r="G391" i="1"/>
  <c r="H391" i="1" s="1"/>
  <c r="G393" i="1"/>
  <c r="H393" i="1" s="1"/>
  <c r="U383" i="1"/>
  <c r="U384" i="1"/>
  <c r="U385" i="1"/>
  <c r="U386" i="1"/>
  <c r="U387" i="1"/>
  <c r="U382" i="1"/>
  <c r="O114" i="1"/>
  <c r="U114" i="1"/>
  <c r="AD114" i="1"/>
  <c r="AH114" i="1"/>
  <c r="AI114" i="1"/>
  <c r="G114" i="1"/>
  <c r="H114" i="1" s="1"/>
  <c r="AK114" i="1"/>
  <c r="O110" i="1"/>
  <c r="U110" i="1"/>
  <c r="AD110" i="1"/>
  <c r="AH110" i="1"/>
  <c r="AI110" i="1"/>
  <c r="G110" i="1"/>
  <c r="H110" i="1" s="1"/>
  <c r="AK110" i="1"/>
  <c r="O27" i="1"/>
  <c r="AD386" i="1"/>
  <c r="AH386" i="1"/>
  <c r="AI386" i="1"/>
  <c r="G386" i="1"/>
  <c r="H386" i="1" s="1"/>
  <c r="AK386" i="1"/>
  <c r="AD387" i="1"/>
  <c r="AH387" i="1"/>
  <c r="AI387" i="1"/>
  <c r="G387" i="1"/>
  <c r="H387" i="1" s="1"/>
  <c r="AK387" i="1"/>
  <c r="O387" i="1"/>
  <c r="O386" i="1"/>
  <c r="O382" i="1"/>
  <c r="O383" i="1"/>
  <c r="O384" i="1"/>
  <c r="O385" i="1"/>
  <c r="AD385" i="1"/>
  <c r="AH385" i="1"/>
  <c r="AI385" i="1"/>
  <c r="G385" i="1"/>
  <c r="H385" i="1" s="1"/>
  <c r="AK385" i="1"/>
  <c r="AD384" i="1"/>
  <c r="AH384" i="1"/>
  <c r="AI384" i="1"/>
  <c r="G384" i="1"/>
  <c r="H384" i="1" s="1"/>
  <c r="AK384" i="1"/>
  <c r="AH382" i="1"/>
  <c r="AI382" i="1"/>
  <c r="G382" i="1"/>
  <c r="H382" i="1" s="1"/>
  <c r="AK382" i="1"/>
  <c r="AH383" i="1"/>
  <c r="AI383" i="1"/>
  <c r="G383" i="1"/>
  <c r="H383" i="1" s="1"/>
  <c r="AK383" i="1"/>
  <c r="AD382" i="1"/>
  <c r="AD383" i="1"/>
  <c r="U256" i="1" l="1"/>
  <c r="AH71" i="1"/>
  <c r="O152" i="1"/>
  <c r="O118" i="1"/>
  <c r="U118" i="1"/>
  <c r="AD118" i="1"/>
  <c r="AH118" i="1"/>
  <c r="AI118" i="1"/>
  <c r="G118" i="1"/>
  <c r="H118" i="1" s="1"/>
  <c r="AK118" i="1"/>
  <c r="O115" i="1"/>
  <c r="U115" i="1"/>
  <c r="AD115" i="1"/>
  <c r="AH115" i="1"/>
  <c r="AI115" i="1"/>
  <c r="G115" i="1"/>
  <c r="H115" i="1" s="1"/>
  <c r="AK115" i="1"/>
  <c r="U331" i="1"/>
  <c r="O352" i="1"/>
  <c r="U253" i="1"/>
  <c r="U254" i="1"/>
  <c r="U255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O98" i="1"/>
  <c r="U98" i="1"/>
  <c r="AD98" i="1"/>
  <c r="AH98" i="1"/>
  <c r="G98" i="1"/>
  <c r="H98" i="1" s="1"/>
  <c r="AK98" i="1"/>
  <c r="AH258" i="1"/>
  <c r="AI258" i="1"/>
  <c r="AK258" i="1"/>
  <c r="AH259" i="1"/>
  <c r="AI259" i="1"/>
  <c r="AK259" i="1"/>
  <c r="AH260" i="1"/>
  <c r="AI260" i="1"/>
  <c r="G260" i="1"/>
  <c r="H260" i="1" s="1"/>
  <c r="AK260" i="1"/>
  <c r="AH261" i="1"/>
  <c r="AI261" i="1"/>
  <c r="G261" i="1"/>
  <c r="H261" i="1" s="1"/>
  <c r="AK261" i="1"/>
  <c r="AH262" i="1"/>
  <c r="AI262" i="1"/>
  <c r="G262" i="1"/>
  <c r="H262" i="1" s="1"/>
  <c r="AK262" i="1"/>
  <c r="AH263" i="1"/>
  <c r="AI263" i="1"/>
  <c r="G263" i="1"/>
  <c r="H263" i="1" s="1"/>
  <c r="AK263" i="1"/>
  <c r="AH264" i="1"/>
  <c r="AI264" i="1"/>
  <c r="G264" i="1"/>
  <c r="H264" i="1" s="1"/>
  <c r="AK264" i="1"/>
  <c r="AH265" i="1"/>
  <c r="AI265" i="1"/>
  <c r="G265" i="1"/>
  <c r="H265" i="1" s="1"/>
  <c r="AK265" i="1"/>
  <c r="AH266" i="1"/>
  <c r="AI266" i="1"/>
  <c r="G266" i="1"/>
  <c r="H266" i="1" s="1"/>
  <c r="AK266" i="1"/>
  <c r="AH267" i="1"/>
  <c r="AI267" i="1"/>
  <c r="G267" i="1"/>
  <c r="H267" i="1" s="1"/>
  <c r="AK267" i="1"/>
  <c r="AH268" i="1"/>
  <c r="AI268" i="1"/>
  <c r="G268" i="1"/>
  <c r="H268" i="1" s="1"/>
  <c r="AK268" i="1"/>
  <c r="AH269" i="1"/>
  <c r="AI269" i="1"/>
  <c r="G269" i="1"/>
  <c r="H269" i="1" s="1"/>
  <c r="AK269" i="1"/>
  <c r="AH270" i="1"/>
  <c r="AI270" i="1"/>
  <c r="G270" i="1"/>
  <c r="H270" i="1" s="1"/>
  <c r="AK270" i="1"/>
  <c r="AH271" i="1"/>
  <c r="AI271" i="1"/>
  <c r="G271" i="1"/>
  <c r="H271" i="1" s="1"/>
  <c r="AK271" i="1"/>
  <c r="AH272" i="1"/>
  <c r="AI272" i="1"/>
  <c r="G272" i="1"/>
  <c r="H272" i="1" s="1"/>
  <c r="AK272" i="1"/>
  <c r="AH273" i="1"/>
  <c r="AI273" i="1"/>
  <c r="G273" i="1"/>
  <c r="H273" i="1" s="1"/>
  <c r="AK273" i="1"/>
  <c r="AH274" i="1"/>
  <c r="AI274" i="1"/>
  <c r="G274" i="1"/>
  <c r="H274" i="1" s="1"/>
  <c r="AK274" i="1"/>
  <c r="AH275" i="1"/>
  <c r="AI275" i="1"/>
  <c r="G275" i="1"/>
  <c r="H275" i="1" s="1"/>
  <c r="AK275" i="1"/>
  <c r="AH276" i="1"/>
  <c r="AI276" i="1"/>
  <c r="G276" i="1"/>
  <c r="H276" i="1" s="1"/>
  <c r="AK276" i="1"/>
  <c r="AH277" i="1"/>
  <c r="AI277" i="1"/>
  <c r="G277" i="1"/>
  <c r="H277" i="1" s="1"/>
  <c r="AK277" i="1"/>
  <c r="AH278" i="1"/>
  <c r="AI278" i="1"/>
  <c r="G278" i="1"/>
  <c r="H278" i="1" s="1"/>
  <c r="AK278" i="1"/>
  <c r="AH279" i="1"/>
  <c r="AI279" i="1"/>
  <c r="G279" i="1"/>
  <c r="H279" i="1" s="1"/>
  <c r="AK279" i="1"/>
  <c r="AH280" i="1"/>
  <c r="AI280" i="1"/>
  <c r="G280" i="1"/>
  <c r="H280" i="1" s="1"/>
  <c r="AK280" i="1"/>
  <c r="AH281" i="1"/>
  <c r="AI281" i="1"/>
  <c r="G281" i="1"/>
  <c r="H281" i="1" s="1"/>
  <c r="AK281" i="1"/>
  <c r="AH282" i="1"/>
  <c r="AI282" i="1"/>
  <c r="G282" i="1"/>
  <c r="H282" i="1" s="1"/>
  <c r="AK282" i="1"/>
  <c r="AH283" i="1"/>
  <c r="AI283" i="1"/>
  <c r="G283" i="1"/>
  <c r="H283" i="1" s="1"/>
  <c r="AK283" i="1"/>
  <c r="AH284" i="1"/>
  <c r="AI284" i="1"/>
  <c r="G284" i="1"/>
  <c r="H284" i="1" s="1"/>
  <c r="AK284" i="1"/>
  <c r="AH285" i="1"/>
  <c r="AI285" i="1"/>
  <c r="G285" i="1"/>
  <c r="H285" i="1" s="1"/>
  <c r="AK285" i="1"/>
  <c r="AH286" i="1"/>
  <c r="G286" i="1"/>
  <c r="H286" i="1" s="1"/>
  <c r="AK286" i="1"/>
  <c r="AH287" i="1"/>
  <c r="AI287" i="1"/>
  <c r="G287" i="1"/>
  <c r="H287" i="1" s="1"/>
  <c r="AK287" i="1"/>
  <c r="AH288" i="1"/>
  <c r="AI288" i="1"/>
  <c r="G288" i="1"/>
  <c r="H288" i="1" s="1"/>
  <c r="AK288" i="1"/>
  <c r="AH289" i="1"/>
  <c r="AI289" i="1"/>
  <c r="G289" i="1"/>
  <c r="H289" i="1" s="1"/>
  <c r="AK289" i="1"/>
  <c r="AH290" i="1"/>
  <c r="AI290" i="1"/>
  <c r="G290" i="1"/>
  <c r="H290" i="1" s="1"/>
  <c r="AK290" i="1"/>
  <c r="AH291" i="1"/>
  <c r="AI291" i="1"/>
  <c r="G291" i="1"/>
  <c r="H291" i="1" s="1"/>
  <c r="AK291" i="1"/>
  <c r="AH292" i="1"/>
  <c r="AI292" i="1"/>
  <c r="G292" i="1"/>
  <c r="H292" i="1" s="1"/>
  <c r="AK292" i="1"/>
  <c r="AH293" i="1"/>
  <c r="AI293" i="1"/>
  <c r="G293" i="1"/>
  <c r="H293" i="1" s="1"/>
  <c r="AK293" i="1"/>
  <c r="AH294" i="1"/>
  <c r="AI294" i="1"/>
  <c r="G294" i="1"/>
  <c r="H294" i="1" s="1"/>
  <c r="AK294" i="1"/>
  <c r="AH295" i="1"/>
  <c r="AI295" i="1"/>
  <c r="G295" i="1"/>
  <c r="H295" i="1" s="1"/>
  <c r="AK295" i="1"/>
  <c r="AH296" i="1"/>
  <c r="AI296" i="1"/>
  <c r="G296" i="1"/>
  <c r="H296" i="1" s="1"/>
  <c r="AK296" i="1"/>
  <c r="AH297" i="1"/>
  <c r="AI297" i="1"/>
  <c r="G297" i="1"/>
  <c r="H297" i="1" s="1"/>
  <c r="AK297" i="1"/>
  <c r="AH298" i="1"/>
  <c r="AI298" i="1"/>
  <c r="G298" i="1"/>
  <c r="H298" i="1" s="1"/>
  <c r="AK298" i="1"/>
  <c r="AH299" i="1"/>
  <c r="AI299" i="1"/>
  <c r="G299" i="1"/>
  <c r="H299" i="1" s="1"/>
  <c r="AK299" i="1"/>
  <c r="AH300" i="1"/>
  <c r="AI300" i="1"/>
  <c r="G300" i="1"/>
  <c r="H300" i="1" s="1"/>
  <c r="AK300" i="1"/>
  <c r="AH301" i="1"/>
  <c r="AI301" i="1"/>
  <c r="G301" i="1"/>
  <c r="H301" i="1" s="1"/>
  <c r="AK301" i="1"/>
  <c r="AH302" i="1"/>
  <c r="AI302" i="1"/>
  <c r="G302" i="1"/>
  <c r="H302" i="1" s="1"/>
  <c r="AK302" i="1"/>
  <c r="AH303" i="1"/>
  <c r="AI303" i="1"/>
  <c r="G303" i="1"/>
  <c r="H303" i="1" s="1"/>
  <c r="AK303" i="1"/>
  <c r="AH304" i="1"/>
  <c r="AI304" i="1"/>
  <c r="G304" i="1"/>
  <c r="H304" i="1" s="1"/>
  <c r="AK304" i="1"/>
  <c r="AH305" i="1"/>
  <c r="AI305" i="1"/>
  <c r="G305" i="1"/>
  <c r="H305" i="1" s="1"/>
  <c r="AK305" i="1"/>
  <c r="AH306" i="1"/>
  <c r="AI306" i="1"/>
  <c r="G306" i="1"/>
  <c r="H306" i="1" s="1"/>
  <c r="AK306" i="1"/>
  <c r="AH307" i="1"/>
  <c r="AI307" i="1"/>
  <c r="G307" i="1"/>
  <c r="H307" i="1" s="1"/>
  <c r="AK307" i="1"/>
  <c r="AH308" i="1"/>
  <c r="AI308" i="1"/>
  <c r="G308" i="1"/>
  <c r="H308" i="1" s="1"/>
  <c r="AK308" i="1"/>
  <c r="AH309" i="1"/>
  <c r="AI309" i="1"/>
  <c r="G309" i="1"/>
  <c r="H309" i="1" s="1"/>
  <c r="AK309" i="1"/>
  <c r="AH310" i="1"/>
  <c r="AI310" i="1"/>
  <c r="G310" i="1"/>
  <c r="H310" i="1" s="1"/>
  <c r="AK310" i="1"/>
  <c r="AH311" i="1"/>
  <c r="AI311" i="1"/>
  <c r="G311" i="1"/>
  <c r="H311" i="1" s="1"/>
  <c r="AK311" i="1"/>
  <c r="AH312" i="1"/>
  <c r="AI312" i="1"/>
  <c r="G312" i="1"/>
  <c r="H312" i="1" s="1"/>
  <c r="AK312" i="1"/>
  <c r="AH313" i="1"/>
  <c r="AI313" i="1"/>
  <c r="G313" i="1"/>
  <c r="H313" i="1" s="1"/>
  <c r="AK313" i="1"/>
  <c r="AH314" i="1"/>
  <c r="AI314" i="1"/>
  <c r="G314" i="1"/>
  <c r="H314" i="1" s="1"/>
  <c r="AK314" i="1"/>
  <c r="AH315" i="1"/>
  <c r="AI315" i="1"/>
  <c r="G315" i="1"/>
  <c r="H315" i="1" s="1"/>
  <c r="AK315" i="1"/>
  <c r="AH316" i="1"/>
  <c r="AI316" i="1"/>
  <c r="G316" i="1"/>
  <c r="H316" i="1" s="1"/>
  <c r="AK316" i="1"/>
  <c r="AH317" i="1"/>
  <c r="AI317" i="1"/>
  <c r="G317" i="1"/>
  <c r="H317" i="1" s="1"/>
  <c r="AK317" i="1"/>
  <c r="AH318" i="1"/>
  <c r="AI318" i="1"/>
  <c r="G318" i="1"/>
  <c r="H318" i="1" s="1"/>
  <c r="AK318" i="1"/>
  <c r="AH319" i="1"/>
  <c r="G319" i="1"/>
  <c r="H319" i="1" s="1"/>
  <c r="AK319" i="1"/>
  <c r="AH320" i="1"/>
  <c r="AI320" i="1"/>
  <c r="G320" i="1"/>
  <c r="H320" i="1" s="1"/>
  <c r="AK320" i="1"/>
  <c r="AH321" i="1"/>
  <c r="G321" i="1"/>
  <c r="H321" i="1" s="1"/>
  <c r="AK321" i="1"/>
  <c r="AH322" i="1"/>
  <c r="AI322" i="1"/>
  <c r="G322" i="1"/>
  <c r="H322" i="1" s="1"/>
  <c r="AK322" i="1"/>
  <c r="AH323" i="1"/>
  <c r="AI323" i="1"/>
  <c r="G323" i="1"/>
  <c r="H323" i="1" s="1"/>
  <c r="AK323" i="1"/>
  <c r="AH324" i="1"/>
  <c r="AI324" i="1"/>
  <c r="G324" i="1"/>
  <c r="H324" i="1" s="1"/>
  <c r="AK324" i="1"/>
  <c r="AH325" i="1"/>
  <c r="AI325" i="1"/>
  <c r="G325" i="1"/>
  <c r="H325" i="1" s="1"/>
  <c r="AK325" i="1"/>
  <c r="AH326" i="1"/>
  <c r="AI326" i="1"/>
  <c r="G326" i="1"/>
  <c r="H326" i="1" s="1"/>
  <c r="AK326" i="1"/>
  <c r="AH327" i="1"/>
  <c r="AI327" i="1"/>
  <c r="G327" i="1"/>
  <c r="H327" i="1" s="1"/>
  <c r="AK327" i="1"/>
  <c r="AH328" i="1"/>
  <c r="AI328" i="1"/>
  <c r="G328" i="1"/>
  <c r="H328" i="1" s="1"/>
  <c r="AK328" i="1"/>
  <c r="AH329" i="1"/>
  <c r="AI329" i="1"/>
  <c r="G329" i="1"/>
  <c r="H329" i="1" s="1"/>
  <c r="AK329" i="1"/>
  <c r="AH330" i="1"/>
  <c r="AI330" i="1"/>
  <c r="G330" i="1"/>
  <c r="H330" i="1" s="1"/>
  <c r="AK330" i="1"/>
  <c r="AH331" i="1"/>
  <c r="AI331" i="1"/>
  <c r="G331" i="1"/>
  <c r="H331" i="1" s="1"/>
  <c r="AK331" i="1"/>
  <c r="AH332" i="1"/>
  <c r="AI332" i="1"/>
  <c r="G332" i="1"/>
  <c r="H332" i="1" s="1"/>
  <c r="AK332" i="1"/>
  <c r="AH333" i="1"/>
  <c r="AI333" i="1"/>
  <c r="G333" i="1"/>
  <c r="H333" i="1" s="1"/>
  <c r="AK333" i="1"/>
  <c r="AH334" i="1"/>
  <c r="AI334" i="1"/>
  <c r="G334" i="1"/>
  <c r="H334" i="1" s="1"/>
  <c r="AK334" i="1"/>
  <c r="AH335" i="1"/>
  <c r="AI335" i="1"/>
  <c r="G335" i="1"/>
  <c r="H335" i="1" s="1"/>
  <c r="AK335" i="1"/>
  <c r="AH336" i="1"/>
  <c r="AI336" i="1"/>
  <c r="G336" i="1"/>
  <c r="H336" i="1" s="1"/>
  <c r="AK336" i="1"/>
  <c r="AH337" i="1"/>
  <c r="AI337" i="1"/>
  <c r="G337" i="1"/>
  <c r="H337" i="1" s="1"/>
  <c r="AK337" i="1"/>
  <c r="AH338" i="1"/>
  <c r="AI338" i="1"/>
  <c r="G338" i="1"/>
  <c r="H338" i="1" s="1"/>
  <c r="AK338" i="1"/>
  <c r="AH339" i="1"/>
  <c r="AI339" i="1"/>
  <c r="G339" i="1"/>
  <c r="H339" i="1" s="1"/>
  <c r="AK339" i="1"/>
  <c r="AH340" i="1"/>
  <c r="G340" i="1"/>
  <c r="H340" i="1" s="1"/>
  <c r="AK340" i="1"/>
  <c r="AH341" i="1"/>
  <c r="AI341" i="1"/>
  <c r="G341" i="1"/>
  <c r="H341" i="1" s="1"/>
  <c r="AK341" i="1"/>
  <c r="AH342" i="1"/>
  <c r="AI342" i="1"/>
  <c r="G342" i="1"/>
  <c r="H342" i="1" s="1"/>
  <c r="AK342" i="1"/>
  <c r="AH343" i="1"/>
  <c r="G343" i="1"/>
  <c r="H343" i="1" s="1"/>
  <c r="AK343" i="1"/>
  <c r="AH344" i="1"/>
  <c r="AI344" i="1"/>
  <c r="G344" i="1"/>
  <c r="H344" i="1" s="1"/>
  <c r="AK344" i="1"/>
  <c r="AH345" i="1"/>
  <c r="AI345" i="1"/>
  <c r="G345" i="1"/>
  <c r="H345" i="1" s="1"/>
  <c r="AK345" i="1"/>
  <c r="AH346" i="1"/>
  <c r="AI346" i="1"/>
  <c r="G346" i="1"/>
  <c r="H346" i="1" s="1"/>
  <c r="AK346" i="1"/>
  <c r="AH347" i="1"/>
  <c r="AI347" i="1"/>
  <c r="G347" i="1"/>
  <c r="H347" i="1" s="1"/>
  <c r="AK347" i="1"/>
  <c r="AH348" i="1"/>
  <c r="AI348" i="1"/>
  <c r="G348" i="1"/>
  <c r="H348" i="1" s="1"/>
  <c r="AK348" i="1"/>
  <c r="AH349" i="1"/>
  <c r="AI349" i="1"/>
  <c r="G349" i="1"/>
  <c r="H349" i="1" s="1"/>
  <c r="AK349" i="1"/>
  <c r="AH350" i="1"/>
  <c r="G350" i="1"/>
  <c r="H350" i="1" s="1"/>
  <c r="AK350" i="1"/>
  <c r="AH351" i="1"/>
  <c r="AI351" i="1"/>
  <c r="G351" i="1"/>
  <c r="H351" i="1" s="1"/>
  <c r="AK351" i="1"/>
  <c r="AH352" i="1"/>
  <c r="AI352" i="1"/>
  <c r="AK352" i="1"/>
  <c r="AH353" i="1"/>
  <c r="G353" i="1"/>
  <c r="H353" i="1" s="1"/>
  <c r="AK353" i="1"/>
  <c r="AH354" i="1"/>
  <c r="AI354" i="1"/>
  <c r="G354" i="1"/>
  <c r="H354" i="1" s="1"/>
  <c r="AK354" i="1"/>
  <c r="AH355" i="1"/>
  <c r="AI355" i="1"/>
  <c r="G355" i="1"/>
  <c r="H355" i="1" s="1"/>
  <c r="AK355" i="1"/>
  <c r="AH356" i="1"/>
  <c r="G356" i="1"/>
  <c r="H356" i="1" s="1"/>
  <c r="AK356" i="1"/>
  <c r="AH357" i="1"/>
  <c r="G357" i="1"/>
  <c r="H357" i="1" s="1"/>
  <c r="AK357" i="1"/>
  <c r="AH358" i="1"/>
  <c r="AI358" i="1"/>
  <c r="G358" i="1"/>
  <c r="H358" i="1" s="1"/>
  <c r="AK358" i="1"/>
  <c r="AH359" i="1"/>
  <c r="AI359" i="1"/>
  <c r="G359" i="1"/>
  <c r="H359" i="1" s="1"/>
  <c r="AK359" i="1"/>
  <c r="AH360" i="1"/>
  <c r="AI360" i="1"/>
  <c r="G360" i="1"/>
  <c r="H360" i="1" s="1"/>
  <c r="AK360" i="1"/>
  <c r="AH361" i="1"/>
  <c r="AI361" i="1"/>
  <c r="G361" i="1"/>
  <c r="H361" i="1" s="1"/>
  <c r="AK361" i="1"/>
  <c r="AH362" i="1"/>
  <c r="AI362" i="1"/>
  <c r="G362" i="1"/>
  <c r="H362" i="1" s="1"/>
  <c r="AK362" i="1"/>
  <c r="AH363" i="1"/>
  <c r="AI363" i="1"/>
  <c r="G363" i="1"/>
  <c r="H363" i="1" s="1"/>
  <c r="AK363" i="1"/>
  <c r="AH364" i="1"/>
  <c r="AI364" i="1"/>
  <c r="G364" i="1"/>
  <c r="H364" i="1" s="1"/>
  <c r="AK364" i="1"/>
  <c r="AH365" i="1"/>
  <c r="AI365" i="1"/>
  <c r="G365" i="1"/>
  <c r="H365" i="1" s="1"/>
  <c r="AK365" i="1"/>
  <c r="AH366" i="1"/>
  <c r="AI366" i="1"/>
  <c r="G366" i="1"/>
  <c r="H366" i="1" s="1"/>
  <c r="AK366" i="1"/>
  <c r="AH367" i="1"/>
  <c r="AI367" i="1"/>
  <c r="G367" i="1"/>
  <c r="H367" i="1" s="1"/>
  <c r="AK367" i="1"/>
  <c r="AH368" i="1"/>
  <c r="AI368" i="1"/>
  <c r="G368" i="1"/>
  <c r="H368" i="1" s="1"/>
  <c r="AK368" i="1"/>
  <c r="AH369" i="1"/>
  <c r="AI369" i="1"/>
  <c r="G369" i="1"/>
  <c r="H369" i="1" s="1"/>
  <c r="AK369" i="1"/>
  <c r="AH370" i="1"/>
  <c r="AI370" i="1"/>
  <c r="G370" i="1"/>
  <c r="H370" i="1" s="1"/>
  <c r="AK370" i="1"/>
  <c r="AH371" i="1"/>
  <c r="AI371" i="1"/>
  <c r="G371" i="1"/>
  <c r="H371" i="1" s="1"/>
  <c r="AK371" i="1"/>
  <c r="AH372" i="1"/>
  <c r="AI372" i="1"/>
  <c r="G372" i="1"/>
  <c r="H372" i="1" s="1"/>
  <c r="AK372" i="1"/>
  <c r="AH373" i="1"/>
  <c r="AI373" i="1"/>
  <c r="G373" i="1"/>
  <c r="H373" i="1" s="1"/>
  <c r="AK373" i="1"/>
  <c r="AH374" i="1"/>
  <c r="G374" i="1"/>
  <c r="H374" i="1" s="1"/>
  <c r="AK374" i="1"/>
  <c r="AH375" i="1"/>
  <c r="AI375" i="1"/>
  <c r="G375" i="1"/>
  <c r="H375" i="1" s="1"/>
  <c r="AK375" i="1"/>
  <c r="AH376" i="1"/>
  <c r="AI376" i="1"/>
  <c r="G376" i="1"/>
  <c r="H376" i="1" s="1"/>
  <c r="AK376" i="1"/>
  <c r="AH377" i="1"/>
  <c r="AI377" i="1"/>
  <c r="G377" i="1"/>
  <c r="H377" i="1" s="1"/>
  <c r="AK377" i="1"/>
  <c r="AH378" i="1"/>
  <c r="AI378" i="1"/>
  <c r="G378" i="1"/>
  <c r="H378" i="1" s="1"/>
  <c r="AK378" i="1"/>
  <c r="AH379" i="1"/>
  <c r="AI379" i="1"/>
  <c r="G379" i="1"/>
  <c r="H379" i="1" s="1"/>
  <c r="AK379" i="1"/>
  <c r="AH380" i="1"/>
  <c r="G380" i="1"/>
  <c r="H380" i="1" s="1"/>
  <c r="AK380" i="1"/>
  <c r="AH381" i="1"/>
  <c r="AI381" i="1"/>
  <c r="G381" i="1"/>
  <c r="H381" i="1" s="1"/>
  <c r="AK381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G258" i="1"/>
  <c r="H258" i="1" s="1"/>
  <c r="G259" i="1"/>
  <c r="H259" i="1" s="1"/>
  <c r="G352" i="1"/>
  <c r="H352" i="1" s="1"/>
  <c r="AD256" i="1"/>
  <c r="AH256" i="1"/>
  <c r="AI256" i="1"/>
  <c r="G256" i="1"/>
  <c r="H256" i="1" s="1"/>
  <c r="AK256" i="1"/>
  <c r="AD257" i="1"/>
  <c r="AH257" i="1"/>
  <c r="AI257" i="1"/>
  <c r="G257" i="1"/>
  <c r="H257" i="1" s="1"/>
  <c r="AK257" i="1"/>
  <c r="O257" i="1"/>
  <c r="O256" i="1"/>
  <c r="AH253" i="1"/>
  <c r="AI253" i="1"/>
  <c r="G253" i="1"/>
  <c r="H253" i="1" s="1"/>
  <c r="AK253" i="1"/>
  <c r="AH254" i="1"/>
  <c r="AI254" i="1"/>
  <c r="G254" i="1"/>
  <c r="H254" i="1" s="1"/>
  <c r="AK254" i="1"/>
  <c r="AH255" i="1"/>
  <c r="AI255" i="1"/>
  <c r="G255" i="1"/>
  <c r="H255" i="1" s="1"/>
  <c r="AK255" i="1"/>
  <c r="AD253" i="1"/>
  <c r="AD254" i="1"/>
  <c r="AD255" i="1"/>
  <c r="O255" i="1"/>
  <c r="O254" i="1"/>
  <c r="O253" i="1"/>
  <c r="O71" i="1"/>
  <c r="U71" i="1"/>
  <c r="AD71" i="1"/>
  <c r="AI71" i="1"/>
  <c r="G71" i="1"/>
  <c r="H71" i="1" s="1"/>
  <c r="AK71" i="1"/>
  <c r="U250" i="1"/>
  <c r="U251" i="1"/>
  <c r="U252" i="1"/>
  <c r="AH252" i="1"/>
  <c r="AI252" i="1"/>
  <c r="G252" i="1"/>
  <c r="H252" i="1" s="1"/>
  <c r="AK252" i="1"/>
  <c r="AH250" i="1"/>
  <c r="AI250" i="1"/>
  <c r="G250" i="1"/>
  <c r="H250" i="1" s="1"/>
  <c r="AK250" i="1"/>
  <c r="AH251" i="1"/>
  <c r="AI251" i="1"/>
  <c r="G251" i="1"/>
  <c r="H251" i="1" s="1"/>
  <c r="AK251" i="1"/>
  <c r="AD250" i="1"/>
  <c r="AD251" i="1"/>
  <c r="AD252" i="1"/>
  <c r="O252" i="1"/>
  <c r="O251" i="1"/>
  <c r="O250" i="1"/>
  <c r="F2" i="19" l="1" a="1"/>
  <c r="F2" i="19" s="1"/>
  <c r="AH249" i="1"/>
  <c r="AI249" i="1"/>
  <c r="G249" i="1"/>
  <c r="H249" i="1" s="1"/>
  <c r="AK249" i="1"/>
  <c r="AD249" i="1"/>
  <c r="U249" i="1"/>
  <c r="O249" i="1"/>
  <c r="U8" i="1"/>
  <c r="U9" i="1"/>
  <c r="U10" i="1"/>
  <c r="U11" i="1"/>
  <c r="U12" i="1"/>
  <c r="U13" i="1"/>
  <c r="U14" i="1"/>
  <c r="U15" i="1"/>
  <c r="U16" i="1"/>
  <c r="U17" i="1"/>
  <c r="U18" i="1"/>
  <c r="U19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3" i="1"/>
  <c r="U64" i="1"/>
  <c r="U65" i="1"/>
  <c r="U72" i="1"/>
  <c r="U73" i="1"/>
  <c r="U74" i="1"/>
  <c r="U75" i="1"/>
  <c r="U76" i="1"/>
  <c r="U77" i="1"/>
  <c r="U78" i="1"/>
  <c r="U79" i="1"/>
  <c r="U80" i="1"/>
  <c r="U81" i="1"/>
  <c r="U83" i="1"/>
  <c r="U84" i="1"/>
  <c r="U85" i="1"/>
  <c r="U86" i="1"/>
  <c r="U87" i="1"/>
  <c r="U88" i="1"/>
  <c r="U89" i="1"/>
  <c r="U90" i="1"/>
  <c r="U91" i="1"/>
  <c r="U93" i="1"/>
  <c r="U94" i="1"/>
  <c r="U96" i="1"/>
  <c r="U97" i="1"/>
  <c r="U99" i="1"/>
  <c r="U100" i="1"/>
  <c r="U101" i="1"/>
  <c r="U102" i="1"/>
  <c r="U103" i="1"/>
  <c r="U104" i="1"/>
  <c r="U105" i="1"/>
  <c r="U106" i="1"/>
  <c r="U107" i="1"/>
  <c r="U111" i="1"/>
  <c r="U116" i="1"/>
  <c r="U119" i="1"/>
  <c r="U122" i="1"/>
  <c r="U125" i="1"/>
  <c r="U130" i="1"/>
  <c r="U134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3" i="1"/>
  <c r="U185" i="1"/>
  <c r="U187" i="1"/>
  <c r="U189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" i="1"/>
  <c r="AH189" i="1"/>
  <c r="AI189" i="1"/>
  <c r="G189" i="1"/>
  <c r="H189" i="1" s="1"/>
  <c r="AK189" i="1"/>
  <c r="AH191" i="1"/>
  <c r="AI191" i="1"/>
  <c r="G191" i="1"/>
  <c r="H191" i="1" s="1"/>
  <c r="AK191" i="1"/>
  <c r="AH192" i="1"/>
  <c r="AI192" i="1"/>
  <c r="G192" i="1"/>
  <c r="H192" i="1" s="1"/>
  <c r="AK192" i="1"/>
  <c r="AH193" i="1"/>
  <c r="AI193" i="1"/>
  <c r="G193" i="1"/>
  <c r="H193" i="1" s="1"/>
  <c r="AK193" i="1"/>
  <c r="AH194" i="1"/>
  <c r="AI194" i="1"/>
  <c r="G194" i="1"/>
  <c r="H194" i="1" s="1"/>
  <c r="AK194" i="1"/>
  <c r="AH195" i="1"/>
  <c r="AI195" i="1"/>
  <c r="G195" i="1"/>
  <c r="H195" i="1" s="1"/>
  <c r="AK195" i="1"/>
  <c r="AH196" i="1"/>
  <c r="AI196" i="1"/>
  <c r="G196" i="1"/>
  <c r="H196" i="1" s="1"/>
  <c r="AK196" i="1"/>
  <c r="AH197" i="1"/>
  <c r="AI197" i="1"/>
  <c r="G197" i="1"/>
  <c r="H197" i="1" s="1"/>
  <c r="AK197" i="1"/>
  <c r="AH198" i="1"/>
  <c r="AI198" i="1"/>
  <c r="G198" i="1"/>
  <c r="H198" i="1" s="1"/>
  <c r="AK198" i="1"/>
  <c r="AH199" i="1"/>
  <c r="AI199" i="1"/>
  <c r="G199" i="1"/>
  <c r="H199" i="1" s="1"/>
  <c r="AK199" i="1"/>
  <c r="AH200" i="1"/>
  <c r="AI200" i="1"/>
  <c r="G200" i="1"/>
  <c r="H200" i="1" s="1"/>
  <c r="AK200" i="1"/>
  <c r="AH201" i="1"/>
  <c r="AI201" i="1"/>
  <c r="G201" i="1"/>
  <c r="H201" i="1" s="1"/>
  <c r="AK201" i="1"/>
  <c r="AH202" i="1"/>
  <c r="AI202" i="1"/>
  <c r="G202" i="1"/>
  <c r="H202" i="1" s="1"/>
  <c r="AK202" i="1"/>
  <c r="AH203" i="1"/>
  <c r="AI203" i="1"/>
  <c r="G203" i="1"/>
  <c r="H203" i="1" s="1"/>
  <c r="AK203" i="1"/>
  <c r="AH204" i="1"/>
  <c r="AI204" i="1"/>
  <c r="G204" i="1"/>
  <c r="H204" i="1" s="1"/>
  <c r="AK204" i="1"/>
  <c r="AH205" i="1"/>
  <c r="AI205" i="1"/>
  <c r="G205" i="1"/>
  <c r="H205" i="1" s="1"/>
  <c r="AK205" i="1"/>
  <c r="AH206" i="1"/>
  <c r="AI206" i="1"/>
  <c r="G206" i="1"/>
  <c r="H206" i="1" s="1"/>
  <c r="AK206" i="1"/>
  <c r="AH207" i="1"/>
  <c r="AI207" i="1"/>
  <c r="G207" i="1"/>
  <c r="H207" i="1" s="1"/>
  <c r="AK207" i="1"/>
  <c r="AH208" i="1"/>
  <c r="AI208" i="1"/>
  <c r="G208" i="1"/>
  <c r="H208" i="1" s="1"/>
  <c r="AK208" i="1"/>
  <c r="AH209" i="1"/>
  <c r="AI209" i="1"/>
  <c r="G209" i="1"/>
  <c r="H209" i="1" s="1"/>
  <c r="AK209" i="1"/>
  <c r="AH210" i="1"/>
  <c r="AI210" i="1"/>
  <c r="G210" i="1"/>
  <c r="H210" i="1" s="1"/>
  <c r="AK210" i="1"/>
  <c r="AH211" i="1"/>
  <c r="AI211" i="1"/>
  <c r="G211" i="1"/>
  <c r="H211" i="1" s="1"/>
  <c r="AK211" i="1"/>
  <c r="AH212" i="1"/>
  <c r="AI212" i="1"/>
  <c r="G212" i="1"/>
  <c r="H212" i="1" s="1"/>
  <c r="AK212" i="1"/>
  <c r="AH213" i="1"/>
  <c r="AI213" i="1"/>
  <c r="G213" i="1"/>
  <c r="H213" i="1" s="1"/>
  <c r="AK213" i="1"/>
  <c r="AH214" i="1"/>
  <c r="AI214" i="1"/>
  <c r="G214" i="1"/>
  <c r="H214" i="1" s="1"/>
  <c r="AK214" i="1"/>
  <c r="AH215" i="1"/>
  <c r="AI215" i="1"/>
  <c r="G215" i="1"/>
  <c r="H215" i="1" s="1"/>
  <c r="AK215" i="1"/>
  <c r="AH216" i="1"/>
  <c r="AI216" i="1"/>
  <c r="G216" i="1"/>
  <c r="H216" i="1" s="1"/>
  <c r="AK216" i="1"/>
  <c r="AH217" i="1"/>
  <c r="AI217" i="1"/>
  <c r="G217" i="1"/>
  <c r="H217" i="1" s="1"/>
  <c r="AK217" i="1"/>
  <c r="AH218" i="1"/>
  <c r="AI218" i="1"/>
  <c r="G218" i="1"/>
  <c r="H218" i="1" s="1"/>
  <c r="AK218" i="1"/>
  <c r="AH219" i="1"/>
  <c r="AI219" i="1"/>
  <c r="G219" i="1"/>
  <c r="H219" i="1" s="1"/>
  <c r="AK219" i="1"/>
  <c r="AH220" i="1"/>
  <c r="AI220" i="1"/>
  <c r="G220" i="1"/>
  <c r="H220" i="1" s="1"/>
  <c r="AK220" i="1"/>
  <c r="AH221" i="1"/>
  <c r="AI221" i="1"/>
  <c r="G221" i="1"/>
  <c r="H221" i="1" s="1"/>
  <c r="AK221" i="1"/>
  <c r="AH222" i="1"/>
  <c r="AI222" i="1"/>
  <c r="G222" i="1"/>
  <c r="H222" i="1" s="1"/>
  <c r="AK222" i="1"/>
  <c r="AH223" i="1"/>
  <c r="AI223" i="1"/>
  <c r="G223" i="1"/>
  <c r="H223" i="1" s="1"/>
  <c r="AK223" i="1"/>
  <c r="AH224" i="1"/>
  <c r="AI224" i="1"/>
  <c r="G224" i="1"/>
  <c r="H224" i="1" s="1"/>
  <c r="AK224" i="1"/>
  <c r="AH225" i="1"/>
  <c r="AI225" i="1"/>
  <c r="G225" i="1"/>
  <c r="H225" i="1" s="1"/>
  <c r="AK225" i="1"/>
  <c r="AH226" i="1"/>
  <c r="AI226" i="1"/>
  <c r="G226" i="1"/>
  <c r="H226" i="1" s="1"/>
  <c r="AK226" i="1"/>
  <c r="AH227" i="1"/>
  <c r="AI227" i="1"/>
  <c r="G227" i="1"/>
  <c r="H227" i="1" s="1"/>
  <c r="AK227" i="1"/>
  <c r="AH228" i="1"/>
  <c r="AI228" i="1"/>
  <c r="G228" i="1"/>
  <c r="H228" i="1" s="1"/>
  <c r="AK228" i="1"/>
  <c r="AH229" i="1"/>
  <c r="AI229" i="1"/>
  <c r="G229" i="1"/>
  <c r="H229" i="1" s="1"/>
  <c r="AK229" i="1"/>
  <c r="AH230" i="1"/>
  <c r="AI230" i="1"/>
  <c r="G230" i="1"/>
  <c r="H230" i="1" s="1"/>
  <c r="AK230" i="1"/>
  <c r="AH231" i="1"/>
  <c r="AI231" i="1"/>
  <c r="G231" i="1"/>
  <c r="H231" i="1" s="1"/>
  <c r="AK231" i="1"/>
  <c r="AH232" i="1"/>
  <c r="AI232" i="1"/>
  <c r="G232" i="1"/>
  <c r="H232" i="1" s="1"/>
  <c r="AK232" i="1"/>
  <c r="AH233" i="1"/>
  <c r="AI233" i="1"/>
  <c r="G233" i="1"/>
  <c r="H233" i="1" s="1"/>
  <c r="AK233" i="1"/>
  <c r="AH234" i="1"/>
  <c r="AI234" i="1"/>
  <c r="G234" i="1"/>
  <c r="H234" i="1" s="1"/>
  <c r="AK234" i="1"/>
  <c r="AH235" i="1"/>
  <c r="AI235" i="1"/>
  <c r="G235" i="1"/>
  <c r="H235" i="1" s="1"/>
  <c r="AK235" i="1"/>
  <c r="AH236" i="1"/>
  <c r="AI236" i="1"/>
  <c r="G236" i="1"/>
  <c r="H236" i="1" s="1"/>
  <c r="AK236" i="1"/>
  <c r="AH237" i="1"/>
  <c r="AI237" i="1"/>
  <c r="G237" i="1"/>
  <c r="H237" i="1" s="1"/>
  <c r="AK237" i="1"/>
  <c r="AH238" i="1"/>
  <c r="AI238" i="1"/>
  <c r="G238" i="1"/>
  <c r="H238" i="1" s="1"/>
  <c r="AK238" i="1"/>
  <c r="AH239" i="1"/>
  <c r="AI239" i="1"/>
  <c r="G239" i="1"/>
  <c r="H239" i="1" s="1"/>
  <c r="AK239" i="1"/>
  <c r="AH240" i="1"/>
  <c r="AI240" i="1"/>
  <c r="G240" i="1"/>
  <c r="H240" i="1" s="1"/>
  <c r="AK240" i="1"/>
  <c r="AH241" i="1"/>
  <c r="AI241" i="1"/>
  <c r="G241" i="1"/>
  <c r="H241" i="1" s="1"/>
  <c r="AK241" i="1"/>
  <c r="AH242" i="1"/>
  <c r="AI242" i="1"/>
  <c r="G242" i="1"/>
  <c r="H242" i="1" s="1"/>
  <c r="AK242" i="1"/>
  <c r="AH243" i="1"/>
  <c r="AI243" i="1"/>
  <c r="G243" i="1"/>
  <c r="H243" i="1" s="1"/>
  <c r="AK243" i="1"/>
  <c r="AH244" i="1"/>
  <c r="AI244" i="1"/>
  <c r="G244" i="1"/>
  <c r="H244" i="1" s="1"/>
  <c r="AK244" i="1"/>
  <c r="AH245" i="1"/>
  <c r="AI245" i="1"/>
  <c r="G245" i="1"/>
  <c r="H245" i="1" s="1"/>
  <c r="AK245" i="1"/>
  <c r="AH246" i="1"/>
  <c r="AI246" i="1"/>
  <c r="G246" i="1"/>
  <c r="H246" i="1" s="1"/>
  <c r="AK246" i="1"/>
  <c r="AH247" i="1"/>
  <c r="AI247" i="1"/>
  <c r="G247" i="1"/>
  <c r="H247" i="1" s="1"/>
  <c r="AK247" i="1"/>
  <c r="AH248" i="1"/>
  <c r="AI248" i="1"/>
  <c r="G248" i="1"/>
  <c r="H248" i="1" s="1"/>
  <c r="AK248" i="1"/>
  <c r="AH8" i="1"/>
  <c r="AI8" i="1"/>
  <c r="G8" i="1"/>
  <c r="H8" i="1" s="1"/>
  <c r="AK8" i="1"/>
  <c r="AH9" i="1"/>
  <c r="AI9" i="1"/>
  <c r="G9" i="1"/>
  <c r="H9" i="1" s="1"/>
  <c r="AK9" i="1"/>
  <c r="AH10" i="1"/>
  <c r="AI10" i="1"/>
  <c r="G10" i="1"/>
  <c r="H10" i="1" s="1"/>
  <c r="AK10" i="1"/>
  <c r="AH11" i="1"/>
  <c r="AI11" i="1"/>
  <c r="G11" i="1"/>
  <c r="H11" i="1" s="1"/>
  <c r="AK11" i="1"/>
  <c r="AH12" i="1"/>
  <c r="AI12" i="1"/>
  <c r="G12" i="1"/>
  <c r="H12" i="1" s="1"/>
  <c r="AK12" i="1"/>
  <c r="AH13" i="1"/>
  <c r="AI13" i="1"/>
  <c r="G13" i="1"/>
  <c r="H13" i="1" s="1"/>
  <c r="AK13" i="1"/>
  <c r="AH14" i="1"/>
  <c r="AI14" i="1"/>
  <c r="G14" i="1"/>
  <c r="H14" i="1" s="1"/>
  <c r="AK14" i="1"/>
  <c r="AH15" i="1"/>
  <c r="AI15" i="1"/>
  <c r="G15" i="1"/>
  <c r="H15" i="1" s="1"/>
  <c r="AK15" i="1"/>
  <c r="AH16" i="1"/>
  <c r="AI16" i="1"/>
  <c r="G16" i="1"/>
  <c r="H16" i="1" s="1"/>
  <c r="AK16" i="1"/>
  <c r="AH17" i="1"/>
  <c r="AI17" i="1"/>
  <c r="G17" i="1"/>
  <c r="H17" i="1" s="1"/>
  <c r="AK17" i="1"/>
  <c r="AH18" i="1"/>
  <c r="AI18" i="1"/>
  <c r="G18" i="1"/>
  <c r="H18" i="1" s="1"/>
  <c r="AK18" i="1"/>
  <c r="AH19" i="1"/>
  <c r="AI19" i="1"/>
  <c r="G19" i="1"/>
  <c r="H19" i="1" s="1"/>
  <c r="AK19" i="1"/>
  <c r="AH20" i="1"/>
  <c r="AI20" i="1"/>
  <c r="G20" i="1"/>
  <c r="H20" i="1" s="1"/>
  <c r="AK20" i="1"/>
  <c r="AH21" i="1"/>
  <c r="AI21" i="1"/>
  <c r="G21" i="1"/>
  <c r="H21" i="1" s="1"/>
  <c r="AK21" i="1"/>
  <c r="AH22" i="1"/>
  <c r="AI22" i="1"/>
  <c r="G22" i="1"/>
  <c r="H22" i="1" s="1"/>
  <c r="AK22" i="1"/>
  <c r="AH23" i="1"/>
  <c r="AI23" i="1"/>
  <c r="G23" i="1"/>
  <c r="H23" i="1" s="1"/>
  <c r="AK23" i="1"/>
  <c r="AH24" i="1"/>
  <c r="AI24" i="1"/>
  <c r="G24" i="1"/>
  <c r="H24" i="1" s="1"/>
  <c r="AK24" i="1"/>
  <c r="AH25" i="1"/>
  <c r="AI25" i="1"/>
  <c r="G25" i="1"/>
  <c r="H25" i="1" s="1"/>
  <c r="AK25" i="1"/>
  <c r="AH26" i="1"/>
  <c r="AI26" i="1"/>
  <c r="G26" i="1"/>
  <c r="H26" i="1" s="1"/>
  <c r="AK26" i="1"/>
  <c r="AH27" i="1"/>
  <c r="AI27" i="1"/>
  <c r="G27" i="1"/>
  <c r="H27" i="1" s="1"/>
  <c r="AK27" i="1"/>
  <c r="AH28" i="1"/>
  <c r="AI28" i="1"/>
  <c r="G28" i="1"/>
  <c r="H28" i="1" s="1"/>
  <c r="AK28" i="1"/>
  <c r="AH29" i="1"/>
  <c r="AI29" i="1"/>
  <c r="G29" i="1"/>
  <c r="H29" i="1" s="1"/>
  <c r="AK29" i="1"/>
  <c r="AH30" i="1"/>
  <c r="AI30" i="1"/>
  <c r="G30" i="1"/>
  <c r="H30" i="1" s="1"/>
  <c r="AK30" i="1"/>
  <c r="AH31" i="1"/>
  <c r="AI31" i="1"/>
  <c r="G31" i="1"/>
  <c r="H31" i="1" s="1"/>
  <c r="AK31" i="1"/>
  <c r="AH32" i="1"/>
  <c r="AI32" i="1"/>
  <c r="G32" i="1"/>
  <c r="H32" i="1" s="1"/>
  <c r="AK32" i="1"/>
  <c r="AH33" i="1"/>
  <c r="AI33" i="1"/>
  <c r="G33" i="1"/>
  <c r="H33" i="1" s="1"/>
  <c r="AK33" i="1"/>
  <c r="AH34" i="1"/>
  <c r="AI34" i="1"/>
  <c r="G34" i="1"/>
  <c r="H34" i="1" s="1"/>
  <c r="AK34" i="1"/>
  <c r="AH35" i="1"/>
  <c r="AI35" i="1"/>
  <c r="G35" i="1"/>
  <c r="H35" i="1" s="1"/>
  <c r="AK35" i="1"/>
  <c r="AH36" i="1"/>
  <c r="AI36" i="1"/>
  <c r="G36" i="1"/>
  <c r="H36" i="1" s="1"/>
  <c r="AK36" i="1"/>
  <c r="AH37" i="1"/>
  <c r="AI37" i="1"/>
  <c r="G37" i="1"/>
  <c r="H37" i="1" s="1"/>
  <c r="AK37" i="1"/>
  <c r="AH38" i="1"/>
  <c r="AI38" i="1"/>
  <c r="G38" i="1"/>
  <c r="H38" i="1" s="1"/>
  <c r="AK38" i="1"/>
  <c r="AH39" i="1"/>
  <c r="AI39" i="1"/>
  <c r="G39" i="1"/>
  <c r="H39" i="1" s="1"/>
  <c r="AK39" i="1"/>
  <c r="AH40" i="1"/>
  <c r="AI40" i="1"/>
  <c r="G40" i="1"/>
  <c r="H40" i="1" s="1"/>
  <c r="AK40" i="1"/>
  <c r="AH41" i="1"/>
  <c r="AI41" i="1"/>
  <c r="G41" i="1"/>
  <c r="H41" i="1" s="1"/>
  <c r="AK41" i="1"/>
  <c r="AH42" i="1"/>
  <c r="AI42" i="1"/>
  <c r="G42" i="1"/>
  <c r="H42" i="1" s="1"/>
  <c r="AK42" i="1"/>
  <c r="AH43" i="1"/>
  <c r="AI43" i="1"/>
  <c r="G43" i="1"/>
  <c r="H43" i="1" s="1"/>
  <c r="AK43" i="1"/>
  <c r="AH44" i="1"/>
  <c r="AI44" i="1"/>
  <c r="G44" i="1"/>
  <c r="H44" i="1" s="1"/>
  <c r="AK44" i="1"/>
  <c r="AH45" i="1"/>
  <c r="AI45" i="1"/>
  <c r="G45" i="1"/>
  <c r="H45" i="1" s="1"/>
  <c r="AK45" i="1"/>
  <c r="AH46" i="1"/>
  <c r="AI46" i="1"/>
  <c r="G46" i="1"/>
  <c r="H46" i="1" s="1"/>
  <c r="AK46" i="1"/>
  <c r="AH47" i="1"/>
  <c r="AI47" i="1"/>
  <c r="G47" i="1"/>
  <c r="H47" i="1" s="1"/>
  <c r="AK47" i="1"/>
  <c r="AH48" i="1"/>
  <c r="AI48" i="1"/>
  <c r="G48" i="1"/>
  <c r="H48" i="1" s="1"/>
  <c r="AK48" i="1"/>
  <c r="AH49" i="1"/>
  <c r="AI49" i="1"/>
  <c r="G49" i="1"/>
  <c r="H49" i="1" s="1"/>
  <c r="AK49" i="1"/>
  <c r="AH50" i="1"/>
  <c r="AI50" i="1"/>
  <c r="G50" i="1"/>
  <c r="H50" i="1" s="1"/>
  <c r="AK50" i="1"/>
  <c r="AH51" i="1"/>
  <c r="AI51" i="1"/>
  <c r="G51" i="1"/>
  <c r="H51" i="1" s="1"/>
  <c r="AK51" i="1"/>
  <c r="AH52" i="1"/>
  <c r="AI52" i="1"/>
  <c r="G52" i="1"/>
  <c r="H52" i="1" s="1"/>
  <c r="AK52" i="1"/>
  <c r="AH53" i="1"/>
  <c r="AI53" i="1"/>
  <c r="G53" i="1"/>
  <c r="H53" i="1" s="1"/>
  <c r="AK53" i="1"/>
  <c r="AH54" i="1"/>
  <c r="AI54" i="1"/>
  <c r="G54" i="1"/>
  <c r="H54" i="1" s="1"/>
  <c r="AK54" i="1"/>
  <c r="AH55" i="1"/>
  <c r="AI55" i="1"/>
  <c r="G55" i="1"/>
  <c r="H55" i="1" s="1"/>
  <c r="AK55" i="1"/>
  <c r="AH56" i="1"/>
  <c r="AI56" i="1"/>
  <c r="G56" i="1"/>
  <c r="H56" i="1" s="1"/>
  <c r="AK56" i="1"/>
  <c r="AH57" i="1"/>
  <c r="AI57" i="1"/>
  <c r="G57" i="1"/>
  <c r="H57" i="1" s="1"/>
  <c r="AK57" i="1"/>
  <c r="AH58" i="1"/>
  <c r="AI58" i="1"/>
  <c r="G58" i="1"/>
  <c r="H58" i="1" s="1"/>
  <c r="AK58" i="1"/>
  <c r="AH59" i="1"/>
  <c r="AI59" i="1"/>
  <c r="G59" i="1"/>
  <c r="H59" i="1" s="1"/>
  <c r="AK59" i="1"/>
  <c r="AH60" i="1"/>
  <c r="AI60" i="1"/>
  <c r="G60" i="1"/>
  <c r="H60" i="1" s="1"/>
  <c r="AK60" i="1"/>
  <c r="AH61" i="1"/>
  <c r="AI61" i="1"/>
  <c r="G61" i="1"/>
  <c r="H61" i="1" s="1"/>
  <c r="AK61" i="1"/>
  <c r="AH63" i="1"/>
  <c r="AI63" i="1"/>
  <c r="G63" i="1"/>
  <c r="H63" i="1" s="1"/>
  <c r="AK63" i="1"/>
  <c r="AH64" i="1"/>
  <c r="AI64" i="1"/>
  <c r="G64" i="1"/>
  <c r="H64" i="1" s="1"/>
  <c r="AK64" i="1"/>
  <c r="AH65" i="1"/>
  <c r="AI65" i="1"/>
  <c r="G65" i="1"/>
  <c r="H65" i="1" s="1"/>
  <c r="AK65" i="1"/>
  <c r="AH72" i="1"/>
  <c r="AI72" i="1"/>
  <c r="G72" i="1"/>
  <c r="H72" i="1" s="1"/>
  <c r="AK72" i="1"/>
  <c r="AH73" i="1"/>
  <c r="AI73" i="1"/>
  <c r="G73" i="1"/>
  <c r="H73" i="1" s="1"/>
  <c r="AK73" i="1"/>
  <c r="AH74" i="1"/>
  <c r="AI74" i="1"/>
  <c r="G74" i="1"/>
  <c r="H74" i="1" s="1"/>
  <c r="AK74" i="1"/>
  <c r="AH75" i="1"/>
  <c r="AI75" i="1"/>
  <c r="G75" i="1"/>
  <c r="H75" i="1" s="1"/>
  <c r="AK75" i="1"/>
  <c r="AH76" i="1"/>
  <c r="AI76" i="1"/>
  <c r="G76" i="1"/>
  <c r="H76" i="1" s="1"/>
  <c r="AK76" i="1"/>
  <c r="AH77" i="1"/>
  <c r="AI77" i="1"/>
  <c r="G77" i="1"/>
  <c r="H77" i="1" s="1"/>
  <c r="AK77" i="1"/>
  <c r="AH78" i="1"/>
  <c r="AI78" i="1"/>
  <c r="G78" i="1"/>
  <c r="H78" i="1" s="1"/>
  <c r="AK78" i="1"/>
  <c r="AH79" i="1"/>
  <c r="AI79" i="1"/>
  <c r="G79" i="1"/>
  <c r="H79" i="1" s="1"/>
  <c r="AK79" i="1"/>
  <c r="AH80" i="1"/>
  <c r="AI80" i="1"/>
  <c r="G80" i="1"/>
  <c r="H80" i="1" s="1"/>
  <c r="AK80" i="1"/>
  <c r="AH81" i="1"/>
  <c r="AI81" i="1"/>
  <c r="G81" i="1"/>
  <c r="H81" i="1" s="1"/>
  <c r="AK81" i="1"/>
  <c r="AH83" i="1"/>
  <c r="AI83" i="1"/>
  <c r="G83" i="1"/>
  <c r="H83" i="1" s="1"/>
  <c r="AK83" i="1"/>
  <c r="AH84" i="1"/>
  <c r="AI84" i="1"/>
  <c r="G84" i="1"/>
  <c r="H84" i="1" s="1"/>
  <c r="AK84" i="1"/>
  <c r="AH85" i="1"/>
  <c r="AI85" i="1"/>
  <c r="G85" i="1"/>
  <c r="H85" i="1" s="1"/>
  <c r="AK85" i="1"/>
  <c r="AH86" i="1"/>
  <c r="AI86" i="1"/>
  <c r="G86" i="1"/>
  <c r="H86" i="1" s="1"/>
  <c r="AK86" i="1"/>
  <c r="AH87" i="1"/>
  <c r="AI87" i="1"/>
  <c r="G87" i="1"/>
  <c r="H87" i="1" s="1"/>
  <c r="AK87" i="1"/>
  <c r="AH88" i="1"/>
  <c r="AI88" i="1"/>
  <c r="G88" i="1"/>
  <c r="H88" i="1" s="1"/>
  <c r="AK88" i="1"/>
  <c r="AH89" i="1"/>
  <c r="AI89" i="1"/>
  <c r="G89" i="1"/>
  <c r="H89" i="1" s="1"/>
  <c r="AK89" i="1"/>
  <c r="AH90" i="1"/>
  <c r="AI90" i="1"/>
  <c r="G90" i="1"/>
  <c r="H90" i="1" s="1"/>
  <c r="AK90" i="1"/>
  <c r="AH91" i="1"/>
  <c r="AI91" i="1"/>
  <c r="G91" i="1"/>
  <c r="H91" i="1" s="1"/>
  <c r="AK91" i="1"/>
  <c r="AH93" i="1"/>
  <c r="AI93" i="1"/>
  <c r="G93" i="1"/>
  <c r="H93" i="1" s="1"/>
  <c r="AK93" i="1"/>
  <c r="AH94" i="1"/>
  <c r="AI94" i="1"/>
  <c r="G94" i="1"/>
  <c r="H94" i="1" s="1"/>
  <c r="AK94" i="1"/>
  <c r="AH96" i="1"/>
  <c r="AI96" i="1"/>
  <c r="G96" i="1"/>
  <c r="H96" i="1" s="1"/>
  <c r="AK96" i="1"/>
  <c r="AH97" i="1"/>
  <c r="AI97" i="1"/>
  <c r="G97" i="1"/>
  <c r="H97" i="1" s="1"/>
  <c r="AK97" i="1"/>
  <c r="AH99" i="1"/>
  <c r="AI99" i="1"/>
  <c r="G99" i="1"/>
  <c r="H99" i="1" s="1"/>
  <c r="AK99" i="1"/>
  <c r="AH100" i="1"/>
  <c r="AI100" i="1"/>
  <c r="G100" i="1"/>
  <c r="H100" i="1" s="1"/>
  <c r="AK100" i="1"/>
  <c r="AH101" i="1"/>
  <c r="AI101" i="1"/>
  <c r="G101" i="1"/>
  <c r="H101" i="1" s="1"/>
  <c r="AK101" i="1"/>
  <c r="AH102" i="1"/>
  <c r="AI102" i="1"/>
  <c r="G102" i="1"/>
  <c r="H102" i="1" s="1"/>
  <c r="AK102" i="1"/>
  <c r="AH103" i="1"/>
  <c r="AI103" i="1"/>
  <c r="G103" i="1"/>
  <c r="H103" i="1" s="1"/>
  <c r="AK103" i="1"/>
  <c r="AH104" i="1"/>
  <c r="AI104" i="1"/>
  <c r="G104" i="1"/>
  <c r="H104" i="1" s="1"/>
  <c r="AK104" i="1"/>
  <c r="AH105" i="1"/>
  <c r="AI105" i="1"/>
  <c r="G105" i="1"/>
  <c r="H105" i="1" s="1"/>
  <c r="AK105" i="1"/>
  <c r="AH106" i="1"/>
  <c r="AI106" i="1"/>
  <c r="G106" i="1"/>
  <c r="H106" i="1" s="1"/>
  <c r="AK106" i="1"/>
  <c r="AH107" i="1"/>
  <c r="AI107" i="1"/>
  <c r="G107" i="1"/>
  <c r="H107" i="1" s="1"/>
  <c r="AK107" i="1"/>
  <c r="AH111" i="1"/>
  <c r="AI111" i="1"/>
  <c r="G111" i="1"/>
  <c r="H111" i="1" s="1"/>
  <c r="AK111" i="1"/>
  <c r="AH116" i="1"/>
  <c r="AI116" i="1"/>
  <c r="G116" i="1"/>
  <c r="H116" i="1" s="1"/>
  <c r="AK116" i="1"/>
  <c r="AH119" i="1"/>
  <c r="AI119" i="1"/>
  <c r="G119" i="1"/>
  <c r="H119" i="1" s="1"/>
  <c r="AK119" i="1"/>
  <c r="AH122" i="1"/>
  <c r="AI122" i="1"/>
  <c r="G122" i="1"/>
  <c r="H122" i="1" s="1"/>
  <c r="AK122" i="1"/>
  <c r="AH125" i="1"/>
  <c r="AI125" i="1"/>
  <c r="G125" i="1"/>
  <c r="H125" i="1" s="1"/>
  <c r="AK125" i="1"/>
  <c r="AH130" i="1"/>
  <c r="AI130" i="1"/>
  <c r="G130" i="1"/>
  <c r="H130" i="1" s="1"/>
  <c r="AK130" i="1"/>
  <c r="AH134" i="1"/>
  <c r="AI134" i="1"/>
  <c r="G134" i="1"/>
  <c r="H134" i="1" s="1"/>
  <c r="AK134" i="1"/>
  <c r="AH137" i="1"/>
  <c r="AI137" i="1"/>
  <c r="G137" i="1"/>
  <c r="H137" i="1" s="1"/>
  <c r="AK137" i="1"/>
  <c r="AH138" i="1"/>
  <c r="AI138" i="1"/>
  <c r="G138" i="1"/>
  <c r="H138" i="1" s="1"/>
  <c r="AK138" i="1"/>
  <c r="AH139" i="1"/>
  <c r="AI139" i="1"/>
  <c r="G139" i="1"/>
  <c r="H139" i="1" s="1"/>
  <c r="AK139" i="1"/>
  <c r="AH140" i="1"/>
  <c r="AI140" i="1"/>
  <c r="G140" i="1"/>
  <c r="H140" i="1" s="1"/>
  <c r="AK140" i="1"/>
  <c r="AH141" i="1"/>
  <c r="AI141" i="1"/>
  <c r="G141" i="1"/>
  <c r="H141" i="1" s="1"/>
  <c r="AK141" i="1"/>
  <c r="AH142" i="1"/>
  <c r="AI142" i="1"/>
  <c r="G142" i="1"/>
  <c r="H142" i="1" s="1"/>
  <c r="AK142" i="1"/>
  <c r="AH143" i="1"/>
  <c r="AI143" i="1"/>
  <c r="G143" i="1"/>
  <c r="H143" i="1" s="1"/>
  <c r="AK143" i="1"/>
  <c r="AH144" i="1"/>
  <c r="AI144" i="1"/>
  <c r="G144" i="1"/>
  <c r="H144" i="1" s="1"/>
  <c r="AK144" i="1"/>
  <c r="AH145" i="1"/>
  <c r="AI145" i="1"/>
  <c r="G145" i="1"/>
  <c r="H145" i="1" s="1"/>
  <c r="AK145" i="1"/>
  <c r="AH146" i="1"/>
  <c r="AI146" i="1"/>
  <c r="G146" i="1"/>
  <c r="H146" i="1" s="1"/>
  <c r="AK146" i="1"/>
  <c r="AH147" i="1"/>
  <c r="AI147" i="1"/>
  <c r="G147" i="1"/>
  <c r="H147" i="1" s="1"/>
  <c r="AK147" i="1"/>
  <c r="AH148" i="1"/>
  <c r="AI148" i="1"/>
  <c r="G148" i="1"/>
  <c r="H148" i="1" s="1"/>
  <c r="AK148" i="1"/>
  <c r="AH149" i="1"/>
  <c r="AI149" i="1"/>
  <c r="G149" i="1"/>
  <c r="H149" i="1" s="1"/>
  <c r="AK149" i="1"/>
  <c r="AH150" i="1"/>
  <c r="AI150" i="1"/>
  <c r="G150" i="1"/>
  <c r="H150" i="1" s="1"/>
  <c r="AK150" i="1"/>
  <c r="AH151" i="1"/>
  <c r="AI151" i="1"/>
  <c r="G151" i="1"/>
  <c r="H151" i="1" s="1"/>
  <c r="AK151" i="1"/>
  <c r="AH152" i="1"/>
  <c r="AI152" i="1"/>
  <c r="G152" i="1"/>
  <c r="H152" i="1" s="1"/>
  <c r="AK152" i="1"/>
  <c r="AH153" i="1"/>
  <c r="AI153" i="1"/>
  <c r="G153" i="1"/>
  <c r="H153" i="1" s="1"/>
  <c r="AK153" i="1"/>
  <c r="AH154" i="1"/>
  <c r="AI154" i="1"/>
  <c r="G154" i="1"/>
  <c r="H154" i="1" s="1"/>
  <c r="AK154" i="1"/>
  <c r="AH155" i="1"/>
  <c r="AI155" i="1"/>
  <c r="G155" i="1"/>
  <c r="H155" i="1" s="1"/>
  <c r="AK155" i="1"/>
  <c r="AH156" i="1"/>
  <c r="AI156" i="1"/>
  <c r="G156" i="1"/>
  <c r="H156" i="1" s="1"/>
  <c r="AK156" i="1"/>
  <c r="AH157" i="1"/>
  <c r="AI157" i="1"/>
  <c r="G157" i="1"/>
  <c r="H157" i="1" s="1"/>
  <c r="AK157" i="1"/>
  <c r="AH158" i="1"/>
  <c r="AI158" i="1"/>
  <c r="G158" i="1"/>
  <c r="H158" i="1" s="1"/>
  <c r="AK158" i="1"/>
  <c r="AH159" i="1"/>
  <c r="AI159" i="1"/>
  <c r="G159" i="1"/>
  <c r="H159" i="1" s="1"/>
  <c r="AK159" i="1"/>
  <c r="AH160" i="1"/>
  <c r="AI160" i="1"/>
  <c r="G160" i="1"/>
  <c r="H160" i="1" s="1"/>
  <c r="AK160" i="1"/>
  <c r="AH161" i="1"/>
  <c r="AI161" i="1"/>
  <c r="G161" i="1"/>
  <c r="H161" i="1" s="1"/>
  <c r="AK161" i="1"/>
  <c r="AH162" i="1"/>
  <c r="AI162" i="1"/>
  <c r="G162" i="1"/>
  <c r="H162" i="1" s="1"/>
  <c r="AK162" i="1"/>
  <c r="AH163" i="1"/>
  <c r="AI163" i="1"/>
  <c r="G163" i="1"/>
  <c r="H163" i="1" s="1"/>
  <c r="AK163" i="1"/>
  <c r="AH164" i="1"/>
  <c r="AI164" i="1"/>
  <c r="G164" i="1"/>
  <c r="H164" i="1" s="1"/>
  <c r="AK164" i="1"/>
  <c r="AH165" i="1"/>
  <c r="AI165" i="1"/>
  <c r="G165" i="1"/>
  <c r="H165" i="1" s="1"/>
  <c r="AK165" i="1"/>
  <c r="AH166" i="1"/>
  <c r="AI166" i="1"/>
  <c r="G166" i="1"/>
  <c r="H166" i="1" s="1"/>
  <c r="AK166" i="1"/>
  <c r="AH167" i="1"/>
  <c r="AI167" i="1"/>
  <c r="G167" i="1"/>
  <c r="H167" i="1" s="1"/>
  <c r="AK167" i="1"/>
  <c r="AH168" i="1"/>
  <c r="AI168" i="1"/>
  <c r="G168" i="1"/>
  <c r="H168" i="1" s="1"/>
  <c r="AK168" i="1"/>
  <c r="AH169" i="1"/>
  <c r="AI169" i="1"/>
  <c r="G169" i="1"/>
  <c r="H169" i="1" s="1"/>
  <c r="AK169" i="1"/>
  <c r="AH170" i="1"/>
  <c r="AI170" i="1"/>
  <c r="G170" i="1"/>
  <c r="H170" i="1" s="1"/>
  <c r="AK170" i="1"/>
  <c r="AH171" i="1"/>
  <c r="AI171" i="1"/>
  <c r="G171" i="1"/>
  <c r="H171" i="1" s="1"/>
  <c r="AK171" i="1"/>
  <c r="AH172" i="1"/>
  <c r="AI172" i="1"/>
  <c r="G172" i="1"/>
  <c r="H172" i="1" s="1"/>
  <c r="AK172" i="1"/>
  <c r="AH173" i="1"/>
  <c r="AI173" i="1"/>
  <c r="G173" i="1"/>
  <c r="H173" i="1" s="1"/>
  <c r="AK173" i="1"/>
  <c r="AH174" i="1"/>
  <c r="AI174" i="1"/>
  <c r="G174" i="1"/>
  <c r="H174" i="1" s="1"/>
  <c r="AK174" i="1"/>
  <c r="AH175" i="1"/>
  <c r="AI175" i="1"/>
  <c r="G175" i="1"/>
  <c r="H175" i="1" s="1"/>
  <c r="AK175" i="1"/>
  <c r="AH176" i="1"/>
  <c r="AI176" i="1"/>
  <c r="G176" i="1"/>
  <c r="H176" i="1" s="1"/>
  <c r="AK176" i="1"/>
  <c r="AH177" i="1"/>
  <c r="AI177" i="1"/>
  <c r="G177" i="1"/>
  <c r="H177" i="1" s="1"/>
  <c r="AK177" i="1"/>
  <c r="AH178" i="1"/>
  <c r="AI178" i="1"/>
  <c r="G178" i="1"/>
  <c r="H178" i="1" s="1"/>
  <c r="AK178" i="1"/>
  <c r="AH179" i="1"/>
  <c r="AI179" i="1"/>
  <c r="G179" i="1"/>
  <c r="H179" i="1" s="1"/>
  <c r="AK179" i="1"/>
  <c r="AH180" i="1"/>
  <c r="AI180" i="1"/>
  <c r="G180" i="1"/>
  <c r="H180" i="1" s="1"/>
  <c r="AK180" i="1"/>
  <c r="AH181" i="1"/>
  <c r="AI181" i="1"/>
  <c r="G181" i="1"/>
  <c r="H181" i="1" s="1"/>
  <c r="AK181" i="1"/>
  <c r="AH183" i="1"/>
  <c r="AI183" i="1"/>
  <c r="G183" i="1"/>
  <c r="H183" i="1" s="1"/>
  <c r="AK183" i="1"/>
  <c r="AH185" i="1"/>
  <c r="AI185" i="1"/>
  <c r="G185" i="1"/>
  <c r="H185" i="1" s="1"/>
  <c r="AK185" i="1"/>
  <c r="AH187" i="1"/>
  <c r="AI187" i="1"/>
  <c r="G187" i="1"/>
  <c r="H187" i="1" s="1"/>
  <c r="AK18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3" i="1"/>
  <c r="AD64" i="1"/>
  <c r="AD65" i="1"/>
  <c r="AD72" i="1"/>
  <c r="AD73" i="1"/>
  <c r="AD74" i="1"/>
  <c r="AD75" i="1"/>
  <c r="AD76" i="1"/>
  <c r="AD77" i="1"/>
  <c r="AD78" i="1"/>
  <c r="AD79" i="1"/>
  <c r="AD80" i="1"/>
  <c r="AD81" i="1"/>
  <c r="AD83" i="1"/>
  <c r="AD84" i="1"/>
  <c r="AD85" i="1"/>
  <c r="AD86" i="1"/>
  <c r="AD87" i="1"/>
  <c r="AD88" i="1"/>
  <c r="AD89" i="1"/>
  <c r="AD90" i="1"/>
  <c r="AD91" i="1"/>
  <c r="AD93" i="1"/>
  <c r="AD94" i="1"/>
  <c r="AD96" i="1"/>
  <c r="AD97" i="1"/>
  <c r="AD99" i="1"/>
  <c r="AD100" i="1"/>
  <c r="AD101" i="1"/>
  <c r="AD102" i="1"/>
  <c r="AD103" i="1"/>
  <c r="AD104" i="1"/>
  <c r="AD105" i="1"/>
  <c r="AD106" i="1"/>
  <c r="AD107" i="1"/>
  <c r="AD111" i="1"/>
  <c r="AD116" i="1"/>
  <c r="AD119" i="1"/>
  <c r="AD122" i="1"/>
  <c r="AD125" i="1"/>
  <c r="AD130" i="1"/>
  <c r="AD134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3" i="1"/>
  <c r="AD185" i="1"/>
  <c r="AD187" i="1"/>
  <c r="AD189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O8" i="1"/>
  <c r="O9" i="1"/>
  <c r="O10" i="1"/>
  <c r="O11" i="1"/>
  <c r="O12" i="1"/>
  <c r="O13" i="1"/>
  <c r="O14" i="1"/>
  <c r="O15" i="1"/>
  <c r="O17" i="1"/>
  <c r="O18" i="1"/>
  <c r="O19" i="1"/>
  <c r="O20" i="1"/>
  <c r="O21" i="1"/>
  <c r="O22" i="1"/>
  <c r="O23" i="1"/>
  <c r="O24" i="1"/>
  <c r="O25" i="1"/>
  <c r="O26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3" i="1"/>
  <c r="O64" i="1"/>
  <c r="O65" i="1"/>
  <c r="O72" i="1"/>
  <c r="O73" i="1"/>
  <c r="O74" i="1"/>
  <c r="O75" i="1"/>
  <c r="O76" i="1"/>
  <c r="O77" i="1"/>
  <c r="O78" i="1"/>
  <c r="O79" i="1"/>
  <c r="O80" i="1"/>
  <c r="O81" i="1"/>
  <c r="O83" i="1"/>
  <c r="O84" i="1"/>
  <c r="O85" i="1"/>
  <c r="O86" i="1"/>
  <c r="O87" i="1"/>
  <c r="O88" i="1"/>
  <c r="O89" i="1"/>
  <c r="O90" i="1"/>
  <c r="O91" i="1"/>
  <c r="O93" i="1"/>
  <c r="O94" i="1"/>
  <c r="O96" i="1"/>
  <c r="O97" i="1"/>
  <c r="O99" i="1"/>
  <c r="O100" i="1"/>
  <c r="O101" i="1"/>
  <c r="O102" i="1"/>
  <c r="O103" i="1"/>
  <c r="O104" i="1"/>
  <c r="O105" i="1"/>
  <c r="O106" i="1"/>
  <c r="O107" i="1"/>
  <c r="O111" i="1"/>
  <c r="O116" i="1"/>
  <c r="O119" i="1"/>
  <c r="O122" i="1"/>
  <c r="O130" i="1"/>
  <c r="O134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3" i="1"/>
  <c r="O185" i="1"/>
  <c r="O187" i="1"/>
  <c r="O189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F5" i="19" l="1" a="1"/>
  <c r="F5" i="19" s="1"/>
  <c r="A3" i="35" l="1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3" i="20" l="1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A322" i="20" s="1"/>
  <c r="A323" i="20" s="1"/>
  <c r="A324" i="20" s="1"/>
  <c r="A325" i="20" s="1"/>
  <c r="A326" i="20" s="1"/>
  <c r="A327" i="20" s="1"/>
  <c r="A328" i="20" s="1"/>
  <c r="A329" i="20" s="1"/>
  <c r="A330" i="20" s="1"/>
  <c r="A331" i="20" s="1"/>
  <c r="A332" i="20" s="1"/>
  <c r="A333" i="20" s="1"/>
  <c r="A334" i="20" s="1"/>
  <c r="A335" i="20" s="1"/>
  <c r="A336" i="20" s="1"/>
  <c r="A337" i="20" s="1"/>
  <c r="A338" i="20" s="1"/>
  <c r="A339" i="20" s="1"/>
  <c r="A340" i="20" s="1"/>
  <c r="A341" i="20" s="1"/>
  <c r="A342" i="20" s="1"/>
  <c r="A343" i="20" s="1"/>
  <c r="A344" i="20" s="1"/>
  <c r="A345" i="20" s="1"/>
  <c r="A346" i="20" s="1"/>
  <c r="A347" i="20" s="1"/>
  <c r="A348" i="20" s="1"/>
  <c r="A349" i="20" s="1"/>
  <c r="A350" i="20" s="1"/>
  <c r="A351" i="20" s="1"/>
  <c r="A352" i="20" s="1"/>
  <c r="A353" i="20" s="1"/>
  <c r="A354" i="20" s="1"/>
  <c r="A355" i="20" s="1"/>
  <c r="A356" i="20" s="1"/>
  <c r="A357" i="20" s="1"/>
  <c r="A358" i="20" s="1"/>
  <c r="A359" i="20" s="1"/>
  <c r="A360" i="20" s="1"/>
  <c r="A361" i="20" s="1"/>
  <c r="A362" i="20" s="1"/>
  <c r="A363" i="20" s="1"/>
  <c r="A364" i="20" s="1"/>
  <c r="A365" i="20" s="1"/>
  <c r="A366" i="20" s="1"/>
  <c r="A367" i="20" s="1"/>
  <c r="A368" i="20" s="1"/>
  <c r="A369" i="20" s="1"/>
  <c r="A370" i="20" s="1"/>
  <c r="A371" i="20" s="1"/>
  <c r="A372" i="20" s="1"/>
  <c r="A373" i="20" s="1"/>
  <c r="A374" i="20" s="1"/>
  <c r="A375" i="20" s="1"/>
  <c r="A376" i="20" s="1"/>
  <c r="A377" i="20" s="1"/>
  <c r="A378" i="20" s="1"/>
  <c r="A379" i="20" s="1"/>
  <c r="A380" i="20" s="1"/>
  <c r="A381" i="20" s="1"/>
  <c r="A382" i="20" s="1"/>
  <c r="A383" i="20" s="1"/>
  <c r="A384" i="20" s="1"/>
  <c r="A385" i="20" s="1"/>
  <c r="A386" i="20" s="1"/>
  <c r="O2" i="1" l="1"/>
  <c r="AF1039814" i="1" l="1"/>
  <c r="AK2" i="1" l="1"/>
  <c r="A1" i="34" l="1" a="1"/>
  <c r="G2" i="1"/>
  <c r="H2" i="1" s="1"/>
  <c r="A1" i="34" l="1"/>
  <c r="AH2" i="1"/>
  <c r="AD2" i="1"/>
  <c r="E2" i="21" l="1" a="1"/>
  <c r="F26" i="21" l="1"/>
  <c r="F27" i="21"/>
  <c r="F28" i="21"/>
  <c r="F29" i="21"/>
  <c r="F30" i="21"/>
  <c r="F31" i="21"/>
  <c r="E2" i="21"/>
  <c r="F2" i="21" s="1"/>
  <c r="F3" i="21"/>
  <c r="F7" i="21"/>
  <c r="F11" i="21"/>
  <c r="F15" i="21"/>
  <c r="F19" i="21"/>
  <c r="F23" i="21"/>
  <c r="F4" i="21"/>
  <c r="F8" i="21"/>
  <c r="F12" i="21"/>
  <c r="F16" i="21"/>
  <c r="F20" i="21"/>
  <c r="F24" i="21"/>
  <c r="F9" i="21"/>
  <c r="F13" i="21"/>
  <c r="F17" i="21"/>
  <c r="F21" i="21"/>
  <c r="F25" i="21"/>
  <c r="F10" i="21"/>
  <c r="F14" i="21"/>
  <c r="F18" i="21"/>
  <c r="F22" i="21"/>
  <c r="F5" i="21"/>
  <c r="F6" i="21"/>
  <c r="AI2" i="1"/>
  <c r="B2" i="35" l="1" a="1"/>
  <c r="J71" i="35" l="1"/>
  <c r="I71" i="35"/>
  <c r="J70" i="35"/>
  <c r="I70" i="35"/>
  <c r="J69" i="35"/>
  <c r="I69" i="35"/>
  <c r="J68" i="35"/>
  <c r="I68" i="35"/>
  <c r="J67" i="35"/>
  <c r="I67" i="35"/>
  <c r="J66" i="35"/>
  <c r="I66" i="35"/>
  <c r="J65" i="35"/>
  <c r="I65" i="35"/>
  <c r="J64" i="35"/>
  <c r="I64" i="35"/>
  <c r="J63" i="35"/>
  <c r="I63" i="35"/>
  <c r="J62" i="35"/>
  <c r="I62" i="35"/>
  <c r="J61" i="35"/>
  <c r="I61" i="35"/>
  <c r="J60" i="35"/>
  <c r="I60" i="35"/>
  <c r="J59" i="35"/>
  <c r="I59" i="35"/>
  <c r="J58" i="35"/>
  <c r="I58" i="35"/>
  <c r="J57" i="35"/>
  <c r="I57" i="35"/>
  <c r="J40" i="35"/>
  <c r="J47" i="35"/>
  <c r="I36" i="35"/>
  <c r="I38" i="35"/>
  <c r="I40" i="35"/>
  <c r="I42" i="35"/>
  <c r="I44" i="35"/>
  <c r="I46" i="35"/>
  <c r="I48" i="35"/>
  <c r="I50" i="35"/>
  <c r="I52" i="35"/>
  <c r="I54" i="35"/>
  <c r="I56" i="35"/>
  <c r="J36" i="35"/>
  <c r="J38" i="35"/>
  <c r="J42" i="35"/>
  <c r="J44" i="35"/>
  <c r="J46" i="35"/>
  <c r="J48" i="35"/>
  <c r="J50" i="35"/>
  <c r="J52" i="35"/>
  <c r="J54" i="35"/>
  <c r="J56" i="35"/>
  <c r="I37" i="35"/>
  <c r="I39" i="35"/>
  <c r="I41" i="35"/>
  <c r="I43" i="35"/>
  <c r="I45" i="35"/>
  <c r="I47" i="35"/>
  <c r="I49" i="35"/>
  <c r="I51" i="35"/>
  <c r="I53" i="35"/>
  <c r="I55" i="35"/>
  <c r="J37" i="35"/>
  <c r="J39" i="35"/>
  <c r="J41" i="35"/>
  <c r="J43" i="35"/>
  <c r="J45" i="35"/>
  <c r="J49" i="35"/>
  <c r="J51" i="35"/>
  <c r="J53" i="35"/>
  <c r="J55" i="35"/>
  <c r="J12" i="35"/>
  <c r="I34" i="35"/>
  <c r="J34" i="35"/>
  <c r="I35" i="35"/>
  <c r="J35" i="35"/>
  <c r="I18" i="35"/>
  <c r="J30" i="35"/>
  <c r="J9" i="35"/>
  <c r="I32" i="35"/>
  <c r="J4" i="35"/>
  <c r="I22" i="35"/>
  <c r="J7" i="35"/>
  <c r="I19" i="35"/>
  <c r="I29" i="35"/>
  <c r="J10" i="35"/>
  <c r="I4" i="35"/>
  <c r="J15" i="35"/>
  <c r="B2" i="35"/>
  <c r="I2" i="35" s="1"/>
  <c r="I27" i="35"/>
  <c r="J16" i="35"/>
  <c r="J23" i="35"/>
  <c r="J13" i="35"/>
  <c r="J8" i="35"/>
  <c r="J21" i="35"/>
  <c r="J11" i="35"/>
  <c r="J33" i="35"/>
  <c r="J28" i="35"/>
  <c r="J18" i="35"/>
  <c r="J20" i="35"/>
  <c r="I5" i="35"/>
  <c r="I16" i="35"/>
  <c r="I23" i="35"/>
  <c r="J25" i="35"/>
  <c r="I8" i="35"/>
  <c r="J19" i="35"/>
  <c r="J17" i="35"/>
  <c r="I30" i="35"/>
  <c r="J3" i="35"/>
  <c r="J26" i="35"/>
  <c r="J6" i="35"/>
  <c r="I28" i="35"/>
  <c r="I26" i="35"/>
  <c r="J27" i="35"/>
  <c r="I17" i="35"/>
  <c r="I12" i="35"/>
  <c r="J14" i="35"/>
  <c r="I11" i="35"/>
  <c r="J22" i="35"/>
  <c r="I3" i="35"/>
  <c r="I25" i="35"/>
  <c r="I24" i="35"/>
  <c r="I10" i="35"/>
  <c r="I33" i="35"/>
  <c r="I31" i="35"/>
  <c r="I13" i="35"/>
  <c r="I9" i="35"/>
  <c r="J5" i="35"/>
  <c r="I7" i="35"/>
  <c r="I21" i="35"/>
  <c r="I15" i="35"/>
  <c r="I6" i="35"/>
  <c r="J29" i="35"/>
  <c r="I20" i="35"/>
  <c r="J31" i="35"/>
  <c r="J24" i="35"/>
  <c r="I14" i="35"/>
  <c r="J32" i="35"/>
  <c r="J2" i="35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7" i="1" l="1"/>
  <c r="A68" i="1" s="1"/>
  <c r="A66" i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6" i="1" l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95" i="1"/>
  <c r="A122" i="1" l="1"/>
  <c r="A124" i="1" s="1"/>
  <c r="A126" i="1" s="1"/>
  <c r="A121" i="1"/>
  <c r="A123" i="1" s="1"/>
  <c r="A125" i="1" l="1"/>
  <c r="A127" i="1" s="1"/>
  <c r="A128" i="1" s="1"/>
  <c r="A129" i="1" s="1"/>
  <c r="A130" i="1" s="1"/>
  <c r="U1052" i="1"/>
  <c r="AH1052" i="1"/>
  <c r="A132" i="1" l="1"/>
  <c r="A133" i="1" s="1"/>
  <c r="A134" i="1" s="1"/>
  <c r="A131" i="1"/>
  <c r="A136" i="1" l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35" i="1"/>
  <c r="A732" i="1" l="1"/>
  <c r="A102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<sst xmlns="http://schemas.openxmlformats.org/spreadsheetml/2006/main" count="11142" uniqueCount="2920">
  <si>
    <t>S.No.</t>
  </si>
  <si>
    <t>Invoice Date</t>
  </si>
  <si>
    <t>Purchase Value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</si>
  <si>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</si>
  <si>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</si>
  <si>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</si>
  <si>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</si>
  <si>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</si>
  <si>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</si>
  <si>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</si>
  <si>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</si>
  <si>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</si>
  <si>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</si>
  <si>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BioLegend</t>
  </si>
  <si>
    <t>Lifechem India</t>
  </si>
  <si>
    <t>Medlife</t>
  </si>
  <si>
    <t>Shri Mahant</t>
  </si>
  <si>
    <t>Miltenyi Biotech</t>
  </si>
  <si>
    <t>Nanogen Healthcare</t>
  </si>
  <si>
    <t>Narayan Netralay</t>
  </si>
  <si>
    <t>BTL</t>
  </si>
  <si>
    <t>Imtech</t>
  </si>
  <si>
    <t>Micro Vapi</t>
  </si>
  <si>
    <t>Labex</t>
  </si>
  <si>
    <t>Invitro</t>
  </si>
  <si>
    <t>Micro Delhi</t>
  </si>
  <si>
    <t>Bethyl</t>
  </si>
  <si>
    <t>Dharmacon</t>
  </si>
  <si>
    <t>Excell Biosolution</t>
  </si>
  <si>
    <t>Sun Pharma</t>
  </si>
  <si>
    <t>Arista</t>
  </si>
  <si>
    <t>BioXcell</t>
  </si>
  <si>
    <t>Bio Solution</t>
  </si>
  <si>
    <t>Abhilasha</t>
  </si>
  <si>
    <t>BPS</t>
  </si>
  <si>
    <t>Biotium</t>
  </si>
  <si>
    <t>SouthernBiotech</t>
  </si>
  <si>
    <t>Sai Life</t>
  </si>
  <si>
    <t>TargetMol</t>
  </si>
  <si>
    <t>Biogenics Lifecare</t>
  </si>
  <si>
    <t>Syngene</t>
  </si>
  <si>
    <t>MabTech</t>
  </si>
  <si>
    <t>Hkp Scientific</t>
  </si>
  <si>
    <t>Affinity</t>
  </si>
  <si>
    <t>4Axis</t>
  </si>
  <si>
    <t>Qty</t>
  </si>
  <si>
    <t>FOC</t>
  </si>
  <si>
    <t>MyBioSource</t>
  </si>
  <si>
    <t>Cytoskeleton</t>
  </si>
  <si>
    <t>PRIYANKA MADAM</t>
  </si>
  <si>
    <t>Cellogen</t>
  </si>
  <si>
    <t>Aurigine Service</t>
  </si>
  <si>
    <t>Customer name</t>
  </si>
  <si>
    <t>Track By Bluedart</t>
  </si>
  <si>
    <t>Misc</t>
  </si>
  <si>
    <t>NovaBiosys</t>
  </si>
  <si>
    <t>CELLA SOLUTION</t>
  </si>
  <si>
    <t>Mohan Sir</t>
  </si>
  <si>
    <t>Office Stock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</si>
  <si>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</si>
  <si>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</si>
  <si>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</si>
  <si>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</si>
  <si>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</si>
  <si>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</si>
  <si>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</si>
  <si>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</si>
  <si>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</si>
  <si>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</si>
  <si>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</si>
  <si>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</si>
  <si>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</si>
  <si>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</si>
  <si>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</si>
  <si>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</si>
  <si>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</si>
  <si>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</si>
  <si>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</si>
  <si>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 xml:space="preserve">North Campus , Neuro Depratment </t>
  </si>
  <si>
    <t>Kharagpur</t>
  </si>
  <si>
    <t>Pune</t>
  </si>
  <si>
    <t>Dehradoon</t>
  </si>
  <si>
    <t>Kanpur</t>
  </si>
  <si>
    <t>Hawrah, West Bengal</t>
  </si>
  <si>
    <t>Haridwar</t>
  </si>
  <si>
    <t>Pondicheri</t>
  </si>
  <si>
    <t>Odisha</t>
  </si>
  <si>
    <t xml:space="preserve">Gangaram </t>
  </si>
  <si>
    <t>Hinduja</t>
  </si>
  <si>
    <t>Farcast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</si>
  <si>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</si>
  <si>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</si>
  <si>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</si>
  <si>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</si>
  <si>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</si>
  <si>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</si>
  <si>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</si>
  <si>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</si>
  <si>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</si>
  <si>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</si>
  <si>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</si>
  <si>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</si>
  <si>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</si>
  <si>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</si>
  <si>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</si>
  <si>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</si>
  <si>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</si>
  <si>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</si>
  <si>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</si>
  <si>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</si>
  <si>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</si>
  <si>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</si>
  <si>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</si>
  <si>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</si>
  <si>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</si>
  <si>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</si>
  <si>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</si>
  <si>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</si>
  <si>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</si>
  <si>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</si>
  <si>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</si>
  <si>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</si>
  <si>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</si>
  <si>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</si>
  <si>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</si>
  <si>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</si>
  <si>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</si>
  <si>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</si>
  <si>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</si>
  <si>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</si>
  <si>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</si>
  <si>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</si>
  <si>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</si>
  <si>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</si>
  <si>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</si>
  <si>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</si>
  <si>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</si>
  <si>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</si>
  <si>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</si>
  <si>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</si>
  <si>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</si>
  <si>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</si>
  <si>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</si>
  <si>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</si>
  <si>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</si>
  <si>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</si>
  <si>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</si>
  <si>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</si>
  <si>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</si>
  <si>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</si>
  <si>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</si>
  <si>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</si>
  <si>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</si>
  <si>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</si>
  <si>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</si>
  <si>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</si>
  <si>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</si>
  <si>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</si>
  <si>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</si>
  <si>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</si>
  <si>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</si>
  <si>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</si>
  <si>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</si>
  <si>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</si>
  <si>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</si>
  <si>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</si>
  <si>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</si>
  <si>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</si>
  <si>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</si>
  <si>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</si>
  <si>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</si>
  <si>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</si>
  <si>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</si>
  <si>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</si>
  <si>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</si>
  <si>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</si>
  <si>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</si>
  <si>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</si>
  <si>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</si>
  <si>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</si>
  <si>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</si>
  <si>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</si>
  <si>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</si>
  <si>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</si>
  <si>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</si>
  <si>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</si>
  <si>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</si>
  <si>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</si>
  <si>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</si>
  <si>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</si>
  <si>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</si>
  <si>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</si>
  <si>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</si>
  <si>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</si>
  <si>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</si>
  <si>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</si>
  <si>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</si>
  <si>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</si>
  <si>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</si>
  <si>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</si>
  <si>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</si>
  <si>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</si>
  <si>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Scientific Jammu</t>
  </si>
  <si>
    <t>Invoice Number</t>
  </si>
  <si>
    <t>RGCB</t>
  </si>
  <si>
    <t>KOKILA</t>
  </si>
  <si>
    <t>NIMHANS</t>
  </si>
  <si>
    <t>BOSE</t>
  </si>
  <si>
    <t>Viganahar</t>
  </si>
  <si>
    <t>APEXBIO</t>
  </si>
  <si>
    <t>JNU</t>
  </si>
  <si>
    <t>Vishal</t>
  </si>
  <si>
    <t>DELHI</t>
  </si>
  <si>
    <t>CDRI</t>
  </si>
  <si>
    <t>Currency</t>
  </si>
  <si>
    <t>INR</t>
  </si>
  <si>
    <t>Local/Outstation</t>
  </si>
  <si>
    <t>Local</t>
  </si>
  <si>
    <t>OutStation</t>
  </si>
  <si>
    <t>Sales Person</t>
  </si>
  <si>
    <t>Revvity</t>
  </si>
  <si>
    <t>Track By DTDC</t>
  </si>
  <si>
    <t>Dispatch Day</t>
  </si>
  <si>
    <t>AWB Number</t>
  </si>
  <si>
    <t>Status</t>
  </si>
  <si>
    <t>bhopal</t>
  </si>
  <si>
    <t>Dispatch Date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</si>
  <si>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</si>
  <si>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</si>
  <si>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</si>
  <si>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</si>
  <si>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</si>
  <si>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</si>
  <si>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</si>
  <si>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</si>
  <si>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</si>
  <si>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</si>
  <si>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</si>
  <si>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</si>
  <si>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</si>
  <si>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HKP</t>
  </si>
  <si>
    <t>PHYTOAB</t>
  </si>
  <si>
    <t>Essence</t>
  </si>
  <si>
    <t>EDNA</t>
  </si>
  <si>
    <t>UPASNA ENTERPRISES</t>
  </si>
  <si>
    <t>JSS SCIENTIFIC</t>
  </si>
  <si>
    <t>SECUNDERABAD</t>
  </si>
  <si>
    <t>ATHENESE-DX</t>
  </si>
  <si>
    <t>LOCAL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</si>
  <si>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</si>
  <si>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</si>
  <si>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</si>
  <si>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</si>
  <si>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</si>
  <si>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</si>
  <si>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</si>
  <si>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</si>
  <si>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</si>
  <si>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Delivery Date</t>
  </si>
  <si>
    <t>Take time to Deliver</t>
  </si>
  <si>
    <t>Delivery Day</t>
  </si>
  <si>
    <t>Virocan</t>
  </si>
  <si>
    <t>Guntur</t>
  </si>
  <si>
    <t>Customer/Dealer</t>
  </si>
  <si>
    <t>Dealer</t>
  </si>
  <si>
    <t>Labpro</t>
  </si>
  <si>
    <t>DEALER</t>
  </si>
  <si>
    <t>ARAGEN</t>
  </si>
  <si>
    <t>PATEL CHEM</t>
  </si>
  <si>
    <t>Prospec</t>
  </si>
  <si>
    <t>MP Bio</t>
  </si>
  <si>
    <t>Sartorius</t>
  </si>
  <si>
    <t>dealer</t>
  </si>
  <si>
    <t>POOJA TRADERS</t>
  </si>
  <si>
    <t>PUNJAB</t>
  </si>
  <si>
    <t>MTOR</t>
  </si>
  <si>
    <t>HYDERABAD UNIVERSITY</t>
  </si>
  <si>
    <t>US Bio</t>
  </si>
  <si>
    <t>UTKARSH</t>
  </si>
  <si>
    <t>General Trading Company</t>
  </si>
  <si>
    <t>IIT-ROORKE</t>
  </si>
  <si>
    <t>SB BIOCHEM</t>
  </si>
  <si>
    <t>Cellin BIO</t>
  </si>
  <si>
    <t>Excell BIO</t>
  </si>
  <si>
    <t>ExcelL</t>
  </si>
  <si>
    <t>ROORKE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</si>
  <si>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</si>
  <si>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</si>
  <si>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</si>
  <si>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</si>
  <si>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</si>
  <si>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</si>
  <si>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</si>
  <si>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</si>
  <si>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</si>
  <si>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HOEFER</t>
  </si>
  <si>
    <t>Check</t>
  </si>
  <si>
    <t>TOPCLASS ENTERPRISES</t>
  </si>
  <si>
    <t>Agharkar</t>
  </si>
  <si>
    <t>Awb Number</t>
  </si>
  <si>
    <t>TIFR</t>
  </si>
  <si>
    <t>FORTUNE BIOSCIENCE</t>
  </si>
  <si>
    <t>Cella Solution</t>
  </si>
  <si>
    <t>CUSTOMER</t>
  </si>
  <si>
    <t>VISHAL</t>
  </si>
  <si>
    <t>US BIOLOGICAL</t>
  </si>
  <si>
    <t>BOSTER</t>
  </si>
  <si>
    <t>VIT</t>
  </si>
  <si>
    <t>OMNI PROTECT</t>
  </si>
  <si>
    <t>pune</t>
  </si>
  <si>
    <t>Vellore</t>
  </si>
  <si>
    <t>Sales Invoice No.</t>
  </si>
  <si>
    <t>SUPER MO BIO</t>
  </si>
  <si>
    <t>DOLLAR</t>
  </si>
  <si>
    <t>ADGYL</t>
  </si>
  <si>
    <t>TCG</t>
  </si>
  <si>
    <t>Scientific Solution Delhi</t>
  </si>
  <si>
    <t>IISER MOHALI</t>
  </si>
  <si>
    <t>MOHALI (PUNJAB)</t>
  </si>
  <si>
    <t>Genexis Biotech</t>
  </si>
  <si>
    <t>Sambhav</t>
  </si>
  <si>
    <t xml:space="preserve">Bareilly </t>
  </si>
  <si>
    <t>NDTL</t>
  </si>
  <si>
    <t>S.No</t>
  </si>
  <si>
    <t>Genei Lab</t>
  </si>
  <si>
    <t>RMC</t>
  </si>
  <si>
    <t>VPCI</t>
  </si>
  <si>
    <t>customer</t>
  </si>
  <si>
    <t>Goods Recd. Date</t>
  </si>
  <si>
    <t>Hansa Biomed</t>
  </si>
  <si>
    <t>Intron</t>
  </si>
  <si>
    <t>Nkure Therapeutic CCAMP</t>
  </si>
  <si>
    <t>Unit Price INR</t>
  </si>
  <si>
    <t>CHROMACHEMIE</t>
  </si>
  <si>
    <t>BHU</t>
  </si>
  <si>
    <t>VARANASI</t>
  </si>
  <si>
    <t>BHARAT BIOTECH</t>
  </si>
  <si>
    <t>SCI FI</t>
  </si>
  <si>
    <t>KPK</t>
  </si>
  <si>
    <t>sm</t>
  </si>
  <si>
    <t>Sample (PM)</t>
  </si>
  <si>
    <t>delhi</t>
  </si>
  <si>
    <t>pm</t>
  </si>
  <si>
    <t>JNCSAR</t>
  </si>
  <si>
    <t>NOVA</t>
  </si>
  <si>
    <t>BSP</t>
  </si>
  <si>
    <t>SOLUTION</t>
  </si>
  <si>
    <t>INSTEM</t>
  </si>
  <si>
    <t>SOMAIYA</t>
  </si>
  <si>
    <t>PUNE</t>
  </si>
  <si>
    <t>GOLDLAKE</t>
  </si>
  <si>
    <t>Unit Price dollar/INR</t>
  </si>
  <si>
    <t>BIO CHAIN</t>
  </si>
  <si>
    <t>SHUBH SALES</t>
  </si>
  <si>
    <t>JAIPUR</t>
  </si>
  <si>
    <t>BIO AID</t>
  </si>
  <si>
    <t>ARVIND MEDICAL</t>
  </si>
  <si>
    <t>MADURAI</t>
  </si>
  <si>
    <t>PIONEER</t>
  </si>
  <si>
    <t>NIIH</t>
  </si>
  <si>
    <t>BIONIFY</t>
  </si>
  <si>
    <t>NAGPUR</t>
  </si>
  <si>
    <t>IIT KHARAgPUR</t>
  </si>
  <si>
    <t>Scimax</t>
  </si>
  <si>
    <t>ANTHEM</t>
  </si>
  <si>
    <t>BANGLORE</t>
  </si>
  <si>
    <t>BIOLINK</t>
  </si>
  <si>
    <t>NIPGMR</t>
  </si>
  <si>
    <t>Unknown</t>
  </si>
  <si>
    <t>INFINITY</t>
  </si>
  <si>
    <t>IRIS</t>
  </si>
  <si>
    <t>CELLCURE</t>
  </si>
  <si>
    <t>AHMEDABAD</t>
  </si>
  <si>
    <t>Mishu Pharma</t>
  </si>
  <si>
    <t>KEMWELL</t>
  </si>
  <si>
    <t xml:space="preserve"> BANGLORE</t>
  </si>
  <si>
    <t>AMITY</t>
  </si>
  <si>
    <t>BITS PILANI</t>
  </si>
  <si>
    <t>ICT</t>
  </si>
  <si>
    <t>BECKMAN</t>
  </si>
  <si>
    <t>ILABKART</t>
  </si>
  <si>
    <t>MUMBAI</t>
  </si>
  <si>
    <t>Aiims Bhatinda</t>
  </si>
  <si>
    <t>Bhatinda</t>
  </si>
  <si>
    <t>XAVIERS</t>
  </si>
  <si>
    <t>IIT BOMBAY</t>
  </si>
  <si>
    <t>SUPRV</t>
  </si>
  <si>
    <t>IKESIA</t>
  </si>
  <si>
    <t>SUN PHARMACEUTICALS</t>
  </si>
  <si>
    <t>VADODARA</t>
  </si>
  <si>
    <t>Taxable Value</t>
  </si>
  <si>
    <t>LIFESENZ</t>
  </si>
  <si>
    <t>BHIWADI</t>
  </si>
  <si>
    <t>TopClass</t>
  </si>
  <si>
    <t>SAI LIFE pune</t>
  </si>
  <si>
    <t>Ashoka</t>
  </si>
  <si>
    <t>Sonipat</t>
  </si>
  <si>
    <t>Immuno ACT</t>
  </si>
  <si>
    <t>Ranjan</t>
  </si>
  <si>
    <t>patna</t>
  </si>
  <si>
    <t>ABCEPTA</t>
  </si>
  <si>
    <t>FMD</t>
  </si>
  <si>
    <t>FMD REGIONAL CENTRE</t>
  </si>
  <si>
    <t>NIVEDI</t>
  </si>
  <si>
    <t>PROTEOGEN</t>
  </si>
  <si>
    <t>ASSAM</t>
  </si>
  <si>
    <t>LuxMatra</t>
  </si>
  <si>
    <t>DEMO</t>
  </si>
  <si>
    <t>OPNED ITEM</t>
  </si>
  <si>
    <t>PROTOGINIX</t>
  </si>
  <si>
    <t>SYMBIO SCIENTIFIC</t>
  </si>
  <si>
    <t>immunocon</t>
  </si>
  <si>
    <t>allahabad</t>
  </si>
  <si>
    <t>Hycosmid</t>
  </si>
  <si>
    <t>IIT ROORKE</t>
  </si>
  <si>
    <t>ADVANCED ANZYME</t>
  </si>
  <si>
    <t>THANE</t>
  </si>
  <si>
    <t>SAM SIR</t>
  </si>
  <si>
    <t>GENES2ME</t>
  </si>
  <si>
    <t>KPK SCIENTIFIC</t>
  </si>
  <si>
    <t>JHARKHAND</t>
  </si>
  <si>
    <t>GGN</t>
  </si>
  <si>
    <t>BellBrook</t>
  </si>
  <si>
    <t>COIMBATORE KIDNEY</t>
  </si>
  <si>
    <t>DY PATIL</t>
  </si>
  <si>
    <t>BUGWORKS</t>
  </si>
  <si>
    <t>CCMB</t>
  </si>
  <si>
    <t>CREYON</t>
  </si>
  <si>
    <t>Nextgene Bio</t>
  </si>
  <si>
    <t>CELLGEN</t>
  </si>
  <si>
    <t>LAURAS BIO</t>
  </si>
  <si>
    <t>ABHISHEK</t>
  </si>
  <si>
    <t>ACBR</t>
  </si>
  <si>
    <t>SHARMA BROS</t>
  </si>
  <si>
    <t>MANIPUR</t>
  </si>
  <si>
    <t>GENEFUSION</t>
  </si>
  <si>
    <t>COSMO FELIX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</si>
  <si>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</si>
  <si>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</si>
  <si>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</si>
  <si>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</si>
  <si>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</si>
  <si>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</si>
  <si>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</si>
  <si>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</si>
  <si>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ANKUR</t>
  </si>
  <si>
    <t>PRESUDE Delhi</t>
  </si>
  <si>
    <t>ELK</t>
  </si>
  <si>
    <t>AMERICAN INSTITUTE</t>
  </si>
  <si>
    <t>JNCAR</t>
  </si>
  <si>
    <t>Eurofins banglore</t>
  </si>
  <si>
    <t>AVAMMUNE</t>
  </si>
  <si>
    <t>IIT MADRAS</t>
  </si>
  <si>
    <t>Labcentrics</t>
  </si>
  <si>
    <t>NIRAV</t>
  </si>
  <si>
    <t>ONYX</t>
  </si>
  <si>
    <t>MADRAS</t>
  </si>
  <si>
    <t>HARIOM</t>
  </si>
  <si>
    <t>MOHALI</t>
  </si>
  <si>
    <t>MEDOX</t>
  </si>
  <si>
    <t>3A LIFE</t>
  </si>
  <si>
    <t>AMBIKA</t>
  </si>
  <si>
    <t>SANMEDICO</t>
  </si>
  <si>
    <t>KONARK</t>
  </si>
  <si>
    <t>DRITU</t>
  </si>
  <si>
    <t>General Trading</t>
  </si>
  <si>
    <t>odisha</t>
  </si>
  <si>
    <t>karnatka</t>
  </si>
  <si>
    <t>Rajpur</t>
  </si>
  <si>
    <t>AIIMS NAGPUR</t>
  </si>
  <si>
    <t>MIRANDA HOUSE</t>
  </si>
  <si>
    <t>RT LIFE</t>
  </si>
  <si>
    <t>POLAR</t>
  </si>
  <si>
    <t>TRANA LAB</t>
  </si>
  <si>
    <t>PRAMUK</t>
  </si>
  <si>
    <t>Aurigine Onco Stock</t>
  </si>
  <si>
    <t>Biogene Stock</t>
  </si>
  <si>
    <t>SHOBHIT</t>
  </si>
  <si>
    <t>MEERUT</t>
  </si>
  <si>
    <t>Meril</t>
  </si>
  <si>
    <t>Vapi</t>
  </si>
  <si>
    <t>Metabiosys</t>
  </si>
  <si>
    <t>dELHI</t>
  </si>
  <si>
    <t>Advance Lab</t>
  </si>
  <si>
    <t>ONCOGENOMICS</t>
  </si>
  <si>
    <t>AZOOKA LABS</t>
  </si>
  <si>
    <t>UNI OF CULCUTTA</t>
  </si>
  <si>
    <t>BI BIOTECH</t>
  </si>
  <si>
    <t>LVPEI</t>
  </si>
  <si>
    <t>HELIOS</t>
  </si>
  <si>
    <t>BIOMAC</t>
  </si>
  <si>
    <t>ASHISH ASSOCIATE</t>
  </si>
  <si>
    <t>WBSU (MOHAN SIR)</t>
  </si>
  <si>
    <t>PROGEN BIO</t>
  </si>
  <si>
    <t>HARYANA</t>
  </si>
  <si>
    <t>MOHAN SIR</t>
  </si>
  <si>
    <t>RESEARCH EMPORIUM</t>
  </si>
  <si>
    <t>ADROIT SERVICE</t>
  </si>
  <si>
    <t>SWASTIK</t>
  </si>
  <si>
    <t>SONIPAT</t>
  </si>
  <si>
    <t>Invivogen</t>
  </si>
  <si>
    <t>UPES</t>
  </si>
  <si>
    <t>LABDOSE</t>
  </si>
  <si>
    <t>JAMMU</t>
  </si>
  <si>
    <t>UNI OF JAMMU</t>
  </si>
  <si>
    <t>AlpVHHs</t>
  </si>
  <si>
    <t>ACTORIOUS</t>
  </si>
  <si>
    <t>Biogenuix</t>
  </si>
  <si>
    <t>GLOBAL BIOTECH</t>
  </si>
  <si>
    <t>Varanasi</t>
  </si>
  <si>
    <t>Obexo</t>
  </si>
  <si>
    <t>Himachal</t>
  </si>
  <si>
    <t>SARSAUG</t>
  </si>
  <si>
    <t>VELLORE</t>
  </si>
  <si>
    <t>CELLKRAFT</t>
  </si>
  <si>
    <t>ADDEXBIO</t>
  </si>
  <si>
    <t>BIO BHARTI</t>
  </si>
  <si>
    <t>RENWIK</t>
  </si>
  <si>
    <t>BESTENZYMES</t>
  </si>
  <si>
    <t>NM SCIENTIFIC</t>
  </si>
  <si>
    <t>SR CHEMICALS</t>
  </si>
  <si>
    <t>Full Name</t>
  </si>
  <si>
    <t>Address</t>
  </si>
  <si>
    <t>NORTH CAMPUS</t>
  </si>
  <si>
    <t>SCIENTIFIC MEDICAL</t>
  </si>
  <si>
    <t>SPM</t>
  </si>
  <si>
    <t>SHRINAGAR</t>
  </si>
  <si>
    <t>INVITRO SCIENCE</t>
  </si>
  <si>
    <t>DEEP SCIENTIFIC</t>
  </si>
  <si>
    <t>IIT BHILAI</t>
  </si>
  <si>
    <t>BHILAI</t>
  </si>
  <si>
    <t>Hyderabad Eye Research</t>
  </si>
  <si>
    <t>SCIENCE HOUSE</t>
  </si>
  <si>
    <t>IIT JODHPUR</t>
  </si>
  <si>
    <t>DR LAL KOLKATA</t>
  </si>
  <si>
    <t>OMNI</t>
  </si>
  <si>
    <t>SINGORI</t>
  </si>
  <si>
    <t>MIRUS</t>
  </si>
  <si>
    <t>KODO LIFE SCIENCE</t>
  </si>
  <si>
    <t>SHIVEN BIOTECH</t>
  </si>
  <si>
    <t>Purchase Invoice No.</t>
  </si>
  <si>
    <t>MEDOX BIOTECH</t>
  </si>
  <si>
    <t>BSV</t>
  </si>
  <si>
    <t>BHARAT SERUMS</t>
  </si>
  <si>
    <t>CHEMNOVA BIOSCIENCE</t>
  </si>
  <si>
    <t>BIO HELIX</t>
  </si>
  <si>
    <t>INVITROGEN</t>
  </si>
  <si>
    <t>MA BIOTECH</t>
  </si>
  <si>
    <t>BIOPHLOX</t>
  </si>
  <si>
    <t>HCG-TRIESTA</t>
  </si>
  <si>
    <t>KAJAY REMEDIES</t>
  </si>
  <si>
    <t>SHUBHAM TRADER</t>
  </si>
  <si>
    <t>AIIMS JODHPUR</t>
  </si>
  <si>
    <t>GLOBAL ACCESS</t>
  </si>
  <si>
    <t>SRI MAHALASA</t>
  </si>
  <si>
    <t>Manglore</t>
  </si>
  <si>
    <t>IVRI</t>
  </si>
  <si>
    <t>BIOCHEM</t>
  </si>
  <si>
    <t>FARIDABAD</t>
  </si>
  <si>
    <t>ADGL</t>
  </si>
  <si>
    <t>DIPONED</t>
  </si>
  <si>
    <t>MEDICARE</t>
  </si>
  <si>
    <t>Other Charge</t>
  </si>
  <si>
    <t>Invoice Total</t>
  </si>
  <si>
    <t>Batch Number</t>
  </si>
  <si>
    <t>Cat No.</t>
  </si>
  <si>
    <t>Expiry Date</t>
  </si>
  <si>
    <t>Tax</t>
  </si>
  <si>
    <t>Tax %</t>
  </si>
  <si>
    <t>Date</t>
  </si>
  <si>
    <t>EED116107</t>
  </si>
  <si>
    <t>MP/LS/25-26/0906</t>
  </si>
  <si>
    <t>EED117403</t>
  </si>
  <si>
    <t>2025-2026/850MFG</t>
  </si>
  <si>
    <t>251519301930</t>
  </si>
  <si>
    <t>EED118009</t>
  </si>
  <si>
    <t>MP/LS/25-26/1034</t>
  </si>
  <si>
    <t>int-250811-11</t>
  </si>
  <si>
    <t>Invoice Not Available</t>
  </si>
  <si>
    <t>MP/LS/25-26/1109</t>
  </si>
  <si>
    <t>25-3391</t>
  </si>
  <si>
    <t>EED118806</t>
  </si>
  <si>
    <t>MP/LS/25-26/1297</t>
  </si>
  <si>
    <t>MP/LS/25-26/1351</t>
  </si>
  <si>
    <t>MP/LS/25-26/1352</t>
  </si>
  <si>
    <t>EED119537</t>
  </si>
  <si>
    <t>O092325IN3313857G</t>
  </si>
  <si>
    <t>MP/L2526/327</t>
  </si>
  <si>
    <t>EED120223</t>
  </si>
  <si>
    <t>EXTRA RECEIVED</t>
  </si>
  <si>
    <t>MP/LS/25-26/1507</t>
  </si>
  <si>
    <t>INV251107-003</t>
  </si>
  <si>
    <t>EED120656</t>
  </si>
  <si>
    <t>EED121200</t>
  </si>
  <si>
    <t>MP/LS/25-26/1752</t>
  </si>
  <si>
    <t>251519303535</t>
  </si>
  <si>
    <t>251519303536</t>
  </si>
  <si>
    <t>251519303788</t>
  </si>
  <si>
    <t>251519304101</t>
  </si>
  <si>
    <t>MP/LS/25-26/1990</t>
  </si>
  <si>
    <t>D121825IN3305902G</t>
  </si>
  <si>
    <t>EED122032</t>
  </si>
  <si>
    <t>EED122103</t>
  </si>
  <si>
    <t>EED122144</t>
  </si>
  <si>
    <t>2025-26/2091MFG</t>
  </si>
  <si>
    <t>2025-26/2092MFG</t>
  </si>
  <si>
    <t>I248060-IN</t>
  </si>
  <si>
    <t>251519304306</t>
  </si>
  <si>
    <t>EED122103 - Ret. From IGIB</t>
  </si>
  <si>
    <t>EED122144 - Ret. From IGIB</t>
  </si>
  <si>
    <t>BSM20260204001</t>
  </si>
  <si>
    <t>MP/LS/25-26/2401</t>
  </si>
  <si>
    <t>INV260219-003</t>
  </si>
  <si>
    <t>MP/LS/25-26/2466</t>
  </si>
  <si>
    <t>CI Not Available</t>
  </si>
  <si>
    <t>MP/LS/25-26/2452</t>
  </si>
  <si>
    <t>D021926IN3348980G</t>
  </si>
  <si>
    <t>EED123530</t>
  </si>
  <si>
    <t>MP/LS/25-26/2526</t>
  </si>
  <si>
    <t>I252634-IN</t>
  </si>
  <si>
    <t>EED124262</t>
  </si>
  <si>
    <t>EED124276</t>
  </si>
  <si>
    <t>INV260321-003</t>
  </si>
  <si>
    <t>MP/LS/25-26/2726</t>
  </si>
  <si>
    <t>251519305684</t>
  </si>
  <si>
    <t>EED124492</t>
  </si>
  <si>
    <t>n/a</t>
  </si>
  <si>
    <t>15407-47-MIN</t>
  </si>
  <si>
    <t>J-004924-06-0010</t>
  </si>
  <si>
    <t>RU-187978-00-0020</t>
  </si>
  <si>
    <t>VS04T01</t>
  </si>
  <si>
    <t>VS15T21</t>
  </si>
  <si>
    <t>TM125-220</t>
  </si>
  <si>
    <t>TM-125-220-05</t>
  </si>
  <si>
    <t>2662070501730</t>
  </si>
  <si>
    <t>2662670501730</t>
  </si>
  <si>
    <t>LSM 1077</t>
  </si>
  <si>
    <t>HBM-EXP-B2.5</t>
  </si>
  <si>
    <t>SE211A-10-1.5</t>
  </si>
  <si>
    <t>SE2619T-2-1.5</t>
  </si>
  <si>
    <t>092913726</t>
  </si>
  <si>
    <t>11TRIMPR01</t>
  </si>
  <si>
    <t>B-003000-WB-100</t>
  </si>
  <si>
    <t>T-2001-02</t>
  </si>
  <si>
    <t>T-0928</t>
  </si>
  <si>
    <t>T1408</t>
  </si>
  <si>
    <t>3010-1K</t>
  </si>
  <si>
    <t>3025-1K</t>
  </si>
  <si>
    <t>AR1065</t>
  </si>
  <si>
    <t>092910149</t>
  </si>
  <si>
    <t>180E05---E</t>
  </si>
  <si>
    <t>A301-862A-T</t>
  </si>
  <si>
    <t>VS0121</t>
  </si>
  <si>
    <t>LH-729674</t>
  </si>
  <si>
    <t>B-002000-UB-100</t>
  </si>
  <si>
    <t>T-2001-03</t>
  </si>
  <si>
    <t>2600505001730</t>
  </si>
  <si>
    <t>3110492501730</t>
  </si>
  <si>
    <t>Sartobind</t>
  </si>
  <si>
    <t>VS0192</t>
  </si>
  <si>
    <t>PM008</t>
  </si>
  <si>
    <t>SAF-1000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</si>
  <si>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</si>
  <si>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</si>
  <si>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</si>
  <si>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</si>
  <si>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</si>
  <si>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</si>
  <si>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</si>
  <si>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</si>
  <si>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</si>
  <si>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</si>
  <si>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</si>
  <si>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</si>
  <si>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T1974</t>
  </si>
  <si>
    <t>T36675</t>
  </si>
  <si>
    <t>D-001830-01-05</t>
  </si>
  <si>
    <t>PMX10-0500S</t>
  </si>
  <si>
    <t>PMX11-0500S</t>
  </si>
  <si>
    <t>PMX12-0500S</t>
  </si>
  <si>
    <t>PMX13-0500S</t>
  </si>
  <si>
    <t>TMPY-02134</t>
  </si>
  <si>
    <t>0210313301</t>
  </si>
  <si>
    <t>0216006925</t>
  </si>
  <si>
    <t>VS0101</t>
  </si>
  <si>
    <t>VS0191</t>
  </si>
  <si>
    <t>MiniSart High Flow 0.22 µm</t>
  </si>
  <si>
    <t>MiniSart High Flow 0.45 µm</t>
  </si>
  <si>
    <t>Spark NIR™ 685 anti-mouse CD3 Antibody</t>
  </si>
  <si>
    <t>Ammonium Sulfate, Technical Pure 500 GM</t>
  </si>
  <si>
    <t xml:space="preserve">PerCP/Cyanine5.5 anti-mouse Ly-6A/E </t>
  </si>
  <si>
    <t>Sodium Carbonate Monohydrate, ACS 500 GM</t>
  </si>
  <si>
    <t>Chloroform, Molecular Biology Reagent</t>
  </si>
  <si>
    <t>Purified anti-human β2-microglobulin Antibody</t>
  </si>
  <si>
    <t xml:space="preserve">Purified anti-human CD274 </t>
  </si>
  <si>
    <t xml:space="preserve">Intracellular Staining Permeabilization Wash Buffer </t>
  </si>
  <si>
    <t xml:space="preserve">Recombinant Mouse IL-9 </t>
  </si>
  <si>
    <t xml:space="preserve">Recombinant Human IL-6 </t>
  </si>
  <si>
    <t>Acrylamide, Ultra Pure 500 KG</t>
  </si>
  <si>
    <t>Phosphate Buffered Sline, Dulbecco's Formula, without Magnesium and Calcium 500 ML</t>
  </si>
  <si>
    <t>Polyethersulfone 0.22 µm</t>
  </si>
  <si>
    <t>ON-TARGETplus Human ACVR1 siRNA</t>
  </si>
  <si>
    <t>Lincode Human MALAT1 (378938) siRNA - Set of 4</t>
  </si>
  <si>
    <t>VivaSpin Turbo 4 10000 MWCO</t>
  </si>
  <si>
    <t>VivaSpin Turbo 15 30000 MWCO</t>
  </si>
  <si>
    <t>Purified anti-MAP2 Antibody</t>
  </si>
  <si>
    <t>Purified anti-Nestin Antibody</t>
  </si>
  <si>
    <t xml:space="preserve">Purified anti-SNAP-25 Antibody </t>
  </si>
  <si>
    <t>Omni Tissue Master 220V with 7</t>
  </si>
  <si>
    <t>Omni Tissue Master 220V with 5</t>
  </si>
  <si>
    <t>APC anti-human CD3 Antibody</t>
  </si>
  <si>
    <t>SPINeasy Plasmid Midiprep Kit</t>
  </si>
  <si>
    <t>SPINeasy RNA Kit for Tissue (Without Lysing Matrix)</t>
  </si>
  <si>
    <t xml:space="preserve">SPINeasy DNA Kit for Blood  </t>
  </si>
  <si>
    <t>PE anti-human CD3 Antibody</t>
  </si>
  <si>
    <t>GelRed® Nucleic Acid Stain, 10,000X in water (trial size): (0.1mL)</t>
  </si>
  <si>
    <t>Lysing Matrix A, 10 X 2ML</t>
  </si>
  <si>
    <t>(StepUp 1 Kb DNA Ladder RTU, 50 µg)</t>
  </si>
  <si>
    <t>RMBD13 (StepUp 100 Bp DNA Ladder RTU, 50 µg)</t>
  </si>
  <si>
    <t>ELISA MAX™ Deluxe Set Mouse IFN-γ</t>
  </si>
  <si>
    <t>ELISA MAX™ Deluxe Set Mouse IL-17A</t>
  </si>
  <si>
    <t>LSM™ lymphocyte separation medium 100ml</t>
  </si>
  <si>
    <t>i-Taq (W/O dNTP) DNA Polymerase</t>
  </si>
  <si>
    <t>Alcian Blue 8Gx</t>
  </si>
  <si>
    <t>Test-Exosomes one step isolation from plasma and serum 2.5ml</t>
  </si>
  <si>
    <t>LEGENDplex™ Human Inflammation Panel 1 Standard  1 vial</t>
  </si>
  <si>
    <t>LEGENDplex™ Buffer Set A3  100tests</t>
  </si>
  <si>
    <t>TMB substrate set  110mlx2</t>
  </si>
  <si>
    <t>Adult Bovine Serum, Sterile Filtered, New Zealand Origin 1kg (970ML)</t>
  </si>
  <si>
    <t>LEGENDplex™ Buffer Set A2  100 tests</t>
  </si>
  <si>
    <t>Molecular Grade RNase-free water  100ml</t>
  </si>
  <si>
    <t>DharmaFECT 1 Transfection Reagent  0.75 mL</t>
  </si>
  <si>
    <t>RPMI 1640, 1x, w/o glutamine, 500 mL</t>
  </si>
  <si>
    <t>V-bottom Plate for LEGENDplex™ Assay</t>
  </si>
  <si>
    <t>anti-Brevican</t>
  </si>
  <si>
    <t>Poly-L-Lysine Coated Slides</t>
  </si>
  <si>
    <t>Fixation Buffer</t>
  </si>
  <si>
    <t xml:space="preserve">Cell Activation Cocktail </t>
  </si>
  <si>
    <t>Annexin V Apoptosis Detection Kit with PI</t>
  </si>
  <si>
    <t>anti-human CD63</t>
  </si>
  <si>
    <t>Zombie Violet™ Fixable Viability Kit</t>
  </si>
  <si>
    <t>True-Nuclear™ Transcription Factor Buffer Set</t>
  </si>
  <si>
    <t>anti-c-Myc</t>
  </si>
  <si>
    <t xml:space="preserve">ON-TARGETplus GAPD Control
siRNA (Human), 5 nmol
</t>
  </si>
  <si>
    <t>anti-human CD4</t>
  </si>
  <si>
    <t>anti-human CD14</t>
  </si>
  <si>
    <t>anti-human/mouse Granzyme B Recombinant</t>
  </si>
  <si>
    <t>anti-human CD69</t>
  </si>
  <si>
    <t>anti-mouse Ly-6C</t>
  </si>
  <si>
    <t>anti-human CD3</t>
  </si>
  <si>
    <t>anti-human CD16</t>
  </si>
  <si>
    <t>anti-human CD25</t>
  </si>
  <si>
    <t>anti-human HLA-DR</t>
  </si>
  <si>
    <t>anti-human FOXP3</t>
  </si>
  <si>
    <t>anti-human CD138 (Syndecan-1)</t>
  </si>
  <si>
    <t>anti-human CD45</t>
  </si>
  <si>
    <t>CD Low DMSO Cryopreservation, GMP</t>
  </si>
  <si>
    <t>anti-human IL-17F</t>
  </si>
  <si>
    <t>anti-RORγt</t>
  </si>
  <si>
    <t>anti-mouse CD3</t>
  </si>
  <si>
    <t>anti-mouse CD23</t>
  </si>
  <si>
    <t>anti-mouse CD107a (LAMP-1)</t>
  </si>
  <si>
    <t>anti-rat CD4</t>
  </si>
  <si>
    <t>anti-human CD8a</t>
  </si>
  <si>
    <t>anti-human CD19</t>
  </si>
  <si>
    <t>anti-human CD20</t>
  </si>
  <si>
    <t>anti-human CD27</t>
  </si>
  <si>
    <t>anti-human CD38</t>
  </si>
  <si>
    <t>anti-human TCR α/β</t>
  </si>
  <si>
    <t>anti-human CD200 (OX2)</t>
  </si>
  <si>
    <t>anti-human CD244 (2B4)</t>
  </si>
  <si>
    <t>anti-human CD79a (Igα)</t>
  </si>
  <si>
    <t>anti-human HLA-E</t>
  </si>
  <si>
    <t>anti-human CD8</t>
  </si>
  <si>
    <t>anti-human MPO</t>
  </si>
  <si>
    <t>anti-human CD86</t>
  </si>
  <si>
    <t>anti-human CD277 (BTN3A) Recombinant</t>
  </si>
  <si>
    <t>anti-human Folate Receptors α and β (FR-αβ)</t>
  </si>
  <si>
    <t>Goat anti-rat IgG (minimal x-reactivity)</t>
  </si>
  <si>
    <t>Donkey anti-rabbit IgG (min. x-reactivity)</t>
  </si>
  <si>
    <t>anti-rat IgG2a</t>
  </si>
  <si>
    <t>Human IFN-γ</t>
  </si>
  <si>
    <t>Human IL-2</t>
  </si>
  <si>
    <t>anti-mouse IFN-γ</t>
  </si>
  <si>
    <t>anti-mouse IL-17A</t>
  </si>
  <si>
    <t>anti-mouse IL-22</t>
  </si>
  <si>
    <t>FLAER</t>
  </si>
  <si>
    <t>anti-STAT3 Phospho (Tyr705)</t>
  </si>
  <si>
    <t>anti-SARS-CoV-2 S Protein S1</t>
  </si>
  <si>
    <t>Stock</t>
  </si>
  <si>
    <t>UNKNOWN</t>
  </si>
  <si>
    <t>SOUTH CAMPUS</t>
  </si>
  <si>
    <t>AIIMS</t>
  </si>
  <si>
    <t>ICGEB</t>
  </si>
  <si>
    <t>biogene Stock</t>
  </si>
  <si>
    <t>FARCAST</t>
  </si>
  <si>
    <t>Aiims Jodhpur</t>
  </si>
  <si>
    <t>NII</t>
  </si>
  <si>
    <t>SAMPLE (PM)</t>
  </si>
  <si>
    <t>NCBS</t>
  </si>
  <si>
    <t>IGIB</t>
  </si>
  <si>
    <t>ACTREC</t>
  </si>
  <si>
    <t>NCCS</t>
  </si>
  <si>
    <t>THSTI</t>
  </si>
  <si>
    <t>KIDNEY</t>
  </si>
  <si>
    <t>INVITRO</t>
  </si>
  <si>
    <t>HELIX</t>
  </si>
  <si>
    <t>MICRO DELHI</t>
  </si>
  <si>
    <t>RT</t>
  </si>
  <si>
    <t>rt</t>
  </si>
  <si>
    <t>Mp Bio</t>
  </si>
  <si>
    <t>Biocon Order Cancelled</t>
  </si>
  <si>
    <t>Extra Item Purchased (Informed by Dharmendra Sir)</t>
  </si>
  <si>
    <t>Set of 4 item code (N-187978-01-0020, N-187978-02-0020, N-187978-03-0020, N-187978-04-0020)</t>
  </si>
  <si>
    <t>FOC Informed By Priya Madam and informed to SM Sir</t>
  </si>
  <si>
    <t>MACHINE (PRIYANKA MADAM)</t>
  </si>
  <si>
    <t>Return From Bio Health (Extra Purchase infromed by Priynka Madam)</t>
  </si>
  <si>
    <t>Extra Purchase By Priya Madam</t>
  </si>
  <si>
    <t>One Piece Damaged received (Replacement received)</t>
  </si>
  <si>
    <t>Extra Received</t>
  </si>
  <si>
    <t>Sample Received (Priyanka madam)</t>
  </si>
  <si>
    <t>Priyanka Madam</t>
  </si>
  <si>
    <t>Demo Kit Mohan Sir (740811, 741146) 2 pcs Kit</t>
  </si>
  <si>
    <t>Mohn Sir (Sample) Aurigine Onco</t>
  </si>
  <si>
    <t>Biolegend</t>
  </si>
  <si>
    <t>(20 SLIDES AT NII DC NO. 222 AND 223 DATED 10-12-25)</t>
  </si>
  <si>
    <t>Checked by Dharmendra Sir</t>
  </si>
  <si>
    <t>Return From IGIB by Deepak</t>
  </si>
  <si>
    <t>Old Stock</t>
  </si>
  <si>
    <t>Priyanka Madam-Sample</t>
  </si>
  <si>
    <t>Mohan Sir, (Demo)</t>
  </si>
  <si>
    <t>Mohan sir,(Sample) Aurigine Onco</t>
  </si>
  <si>
    <t>Priyanka Madam - FOC</t>
  </si>
  <si>
    <t>Farcast Stock (On Hold)</t>
  </si>
  <si>
    <t>PO Pending</t>
  </si>
  <si>
    <t>T-2895/25-26</t>
  </si>
  <si>
    <t>T-2900/25-26</t>
  </si>
  <si>
    <t>T-2914/25-26</t>
  </si>
  <si>
    <t>T-2918/25-26</t>
  </si>
  <si>
    <t>T-2910/25-26</t>
  </si>
  <si>
    <t>T-2886/25-26</t>
  </si>
  <si>
    <t>T-2920/25-26</t>
  </si>
  <si>
    <t>T-2896/25-26</t>
  </si>
  <si>
    <t>T-2888/25-26</t>
  </si>
  <si>
    <t>T-2901/25-26</t>
  </si>
  <si>
    <t>TPC/25-26/00960</t>
  </si>
  <si>
    <t>AG-1478</t>
  </si>
  <si>
    <t>ILS</t>
  </si>
  <si>
    <t>NA</t>
  </si>
  <si>
    <t>B435729</t>
  </si>
  <si>
    <t>B437070</t>
  </si>
  <si>
    <t>B429038</t>
  </si>
  <si>
    <t>B203790</t>
  </si>
  <si>
    <t>B440799</t>
  </si>
  <si>
    <t>B392682</t>
  </si>
  <si>
    <t>B415209</t>
  </si>
  <si>
    <t>B431375</t>
  </si>
  <si>
    <t>B323311</t>
  </si>
  <si>
    <t>B363231</t>
  </si>
  <si>
    <t>B380537</t>
  </si>
  <si>
    <t>B459844</t>
  </si>
  <si>
    <t>B418522</t>
  </si>
  <si>
    <t>B432280</t>
  </si>
  <si>
    <t>B450118</t>
  </si>
  <si>
    <t>B465045</t>
  </si>
  <si>
    <t>B475533</t>
  </si>
  <si>
    <t>B425033</t>
  </si>
  <si>
    <t>B436936</t>
  </si>
  <si>
    <t>B451468</t>
  </si>
  <si>
    <t>B476032</t>
  </si>
  <si>
    <t>B476298</t>
  </si>
  <si>
    <t>B464448</t>
  </si>
  <si>
    <t>B461878</t>
  </si>
  <si>
    <t>B476300</t>
  </si>
  <si>
    <t>B476061</t>
  </si>
  <si>
    <t>B472205 (B447961 - 03-02-2027)</t>
  </si>
  <si>
    <t>B473762</t>
  </si>
  <si>
    <t>B476296</t>
  </si>
  <si>
    <t>B472598</t>
  </si>
  <si>
    <t>B473472</t>
  </si>
  <si>
    <t>B474287</t>
  </si>
  <si>
    <t>B462794</t>
  </si>
  <si>
    <t>B478751</t>
  </si>
  <si>
    <t>BE0036</t>
  </si>
  <si>
    <t>BE0146</t>
  </si>
  <si>
    <t>BE0256</t>
  </si>
  <si>
    <t>Hoefer</t>
  </si>
  <si>
    <t>Targetmol</t>
  </si>
  <si>
    <t>Bellbrook</t>
  </si>
  <si>
    <t>Boster</t>
  </si>
  <si>
    <t>Bestenzymes</t>
  </si>
  <si>
    <t>Bio Helix</t>
  </si>
  <si>
    <t>Topclass</t>
  </si>
  <si>
    <t>Bioxcell</t>
  </si>
  <si>
    <t>Topclass Enterprises</t>
  </si>
  <si>
    <t>LABEX</t>
  </si>
  <si>
    <t>By Hand</t>
  </si>
  <si>
    <t>RAHUL NEOG</t>
  </si>
  <si>
    <t>Mabtech</t>
  </si>
  <si>
    <t>3120-3-1000</t>
  </si>
  <si>
    <t>3120-6-1000</t>
  </si>
  <si>
    <t>3124-72-100T</t>
  </si>
  <si>
    <t>BIO SOLUTION</t>
  </si>
  <si>
    <t>MABTECH</t>
  </si>
  <si>
    <t>251519305439</t>
  </si>
  <si>
    <t>EED124716</t>
  </si>
  <si>
    <t>B484381</t>
  </si>
  <si>
    <t>B489085</t>
  </si>
  <si>
    <t>B481221</t>
  </si>
  <si>
    <t>B447174</t>
  </si>
  <si>
    <t>B448466</t>
  </si>
  <si>
    <t>anti-mouse CD4</t>
  </si>
  <si>
    <t>B484534</t>
  </si>
  <si>
    <t>B465762</t>
  </si>
  <si>
    <t>B478411</t>
  </si>
  <si>
    <t>anti-mouse CD8a</t>
  </si>
  <si>
    <t>B479232</t>
  </si>
  <si>
    <t>anti-mouse/human CD11b</t>
  </si>
  <si>
    <t>B480387</t>
  </si>
  <si>
    <t>anti-mouse CD25</t>
  </si>
  <si>
    <t>B487247</t>
  </si>
  <si>
    <t>anti-mouse CD45</t>
  </si>
  <si>
    <t>B488277</t>
  </si>
  <si>
    <t>B467766</t>
  </si>
  <si>
    <t>anti-mouse CD69</t>
  </si>
  <si>
    <t>B475856</t>
  </si>
  <si>
    <t>anti-mouse TLR4 (CD284)/MD2 Complex</t>
  </si>
  <si>
    <t>B405641</t>
  </si>
  <si>
    <t>anti-mouse CD223 (LAG-3)</t>
  </si>
  <si>
    <t>B486575</t>
  </si>
  <si>
    <t>anti-mouse CD8b (Ly-3)</t>
  </si>
  <si>
    <t>B480248</t>
  </si>
  <si>
    <t>anti-mouse CD366 (Tim-3)</t>
  </si>
  <si>
    <t>B483730</t>
  </si>
  <si>
    <t>anti-mouse CD279 (PD-1)</t>
  </si>
  <si>
    <t>B474041</t>
  </si>
  <si>
    <t>anti-mouse LAP (TGF-β1)</t>
  </si>
  <si>
    <t>B305023</t>
  </si>
  <si>
    <t>anti-mouse H-2Kb bound to SIINFEKL</t>
  </si>
  <si>
    <t>B473886</t>
  </si>
  <si>
    <t>anti-mouse/human CD324 (E-Cadherin)</t>
  </si>
  <si>
    <t>B463467</t>
  </si>
  <si>
    <t>anti-mouse CD45 Recombinant</t>
  </si>
  <si>
    <t>B398991</t>
  </si>
  <si>
    <t>anti-rat CD45</t>
  </si>
  <si>
    <t>B459817</t>
  </si>
  <si>
    <t>B478286</t>
  </si>
  <si>
    <t>B472294</t>
  </si>
  <si>
    <t>anti-human CD11c</t>
  </si>
  <si>
    <t>B444917</t>
  </si>
  <si>
    <t>B485075</t>
  </si>
  <si>
    <t>B459417</t>
  </si>
  <si>
    <t>B482785</t>
  </si>
  <si>
    <t>B488489</t>
  </si>
  <si>
    <t>B479555</t>
  </si>
  <si>
    <t>B460588</t>
  </si>
  <si>
    <t>B483935</t>
  </si>
  <si>
    <t>anti-human CD28</t>
  </si>
  <si>
    <t>B462172</t>
  </si>
  <si>
    <t>anti-human CD33</t>
  </si>
  <si>
    <t>B450671</t>
  </si>
  <si>
    <t>B450416</t>
  </si>
  <si>
    <t>B477653</t>
  </si>
  <si>
    <t>B472364</t>
  </si>
  <si>
    <t>B454596</t>
  </si>
  <si>
    <t>anti-human CD45RA</t>
  </si>
  <si>
    <t>B472464</t>
  </si>
  <si>
    <t>B438165</t>
  </si>
  <si>
    <t>B465240</t>
  </si>
  <si>
    <t>anti-human CD66b</t>
  </si>
  <si>
    <t>B466523</t>
  </si>
  <si>
    <t>B467307</t>
  </si>
  <si>
    <t>B453363</t>
  </si>
  <si>
    <t>B483535</t>
  </si>
  <si>
    <t>B458988</t>
  </si>
  <si>
    <t>B465181</t>
  </si>
  <si>
    <t>anti-human HLA-A,B,C</t>
  </si>
  <si>
    <t>B480625</t>
  </si>
  <si>
    <t>B481280</t>
  </si>
  <si>
    <t>anti-human/mouse/rat CD278 (ICOS)</t>
  </si>
  <si>
    <t>B474659</t>
  </si>
  <si>
    <t>B465881</t>
  </si>
  <si>
    <t>B460967</t>
  </si>
  <si>
    <t>B488330</t>
  </si>
  <si>
    <t>B429431</t>
  </si>
  <si>
    <t>B460287</t>
  </si>
  <si>
    <t>B479156</t>
  </si>
  <si>
    <t>anti-human CD56 (NCAM)</t>
  </si>
  <si>
    <t>B458636</t>
  </si>
  <si>
    <t>anti-HU CD2 RecAb SF</t>
  </si>
  <si>
    <t>B465918</t>
  </si>
  <si>
    <t>anti-human CD182 (CXCR2)</t>
  </si>
  <si>
    <t>B467752</t>
  </si>
  <si>
    <t>B483983</t>
  </si>
  <si>
    <t>anti-human CD39</t>
  </si>
  <si>
    <t>B471098</t>
  </si>
  <si>
    <t>anti-human CD279 (PD-1)</t>
  </si>
  <si>
    <t>B451509</t>
  </si>
  <si>
    <t>anti-human TCR γ/δ</t>
  </si>
  <si>
    <t>B474073</t>
  </si>
  <si>
    <t>B486748</t>
  </si>
  <si>
    <t>B466004</t>
  </si>
  <si>
    <t>B482962</t>
  </si>
  <si>
    <t>B469913</t>
  </si>
  <si>
    <t>B484585</t>
  </si>
  <si>
    <t>B458066</t>
  </si>
  <si>
    <t>anti-human CD127 (IL-7Rα)</t>
  </si>
  <si>
    <t>B402457</t>
  </si>
  <si>
    <t>B475666</t>
  </si>
  <si>
    <t>anti-human CD197 (CCR7)</t>
  </si>
  <si>
    <t>B483344</t>
  </si>
  <si>
    <t>B455449</t>
  </si>
  <si>
    <t>B477771</t>
  </si>
  <si>
    <t>B480922</t>
  </si>
  <si>
    <t>anti-human CD185 (CXCR5)</t>
  </si>
  <si>
    <t>B394410</t>
  </si>
  <si>
    <t>B471566</t>
  </si>
  <si>
    <t>anti-human TACSTD2 (TROP2)</t>
  </si>
  <si>
    <t>B459474</t>
  </si>
  <si>
    <t>anti-human CD5</t>
  </si>
  <si>
    <t>B464908</t>
  </si>
  <si>
    <t>anti-human CD366 (Tim-3)</t>
  </si>
  <si>
    <t>B460904</t>
  </si>
  <si>
    <t>anti-human LY6G6D (C6orf23)</t>
  </si>
  <si>
    <t>B474920</t>
  </si>
  <si>
    <t>B460887</t>
  </si>
  <si>
    <t>B442132</t>
  </si>
  <si>
    <t>B462008</t>
  </si>
  <si>
    <t>anti-human CD223 (LAG-3)</t>
  </si>
  <si>
    <t>B461228</t>
  </si>
  <si>
    <t>B449530</t>
  </si>
  <si>
    <t>B444083</t>
  </si>
  <si>
    <t>Mouse IgG1, κ Isotype Ctrl (FC)</t>
  </si>
  <si>
    <t>B473609</t>
  </si>
  <si>
    <t>Mouse IgG1, κ Isotype Ctrl</t>
  </si>
  <si>
    <t>B444439</t>
  </si>
  <si>
    <t>B455114</t>
  </si>
  <si>
    <t>Mouse IgG2a, κ Isotype Ctrl (FC)</t>
  </si>
  <si>
    <t>B474306</t>
  </si>
  <si>
    <t>Goat anti-mouse IgG (minimal x-reactivity)</t>
  </si>
  <si>
    <t>B460106</t>
  </si>
  <si>
    <t>anti-mouse IgM</t>
  </si>
  <si>
    <t>B483131</t>
  </si>
  <si>
    <t>anti-mouse IgG1</t>
  </si>
  <si>
    <t>B467325</t>
  </si>
  <si>
    <t>B487673</t>
  </si>
  <si>
    <t>anti-human IgG Fc</t>
  </si>
  <si>
    <t>B441499</t>
  </si>
  <si>
    <t>Cell Staining Buffer</t>
  </si>
  <si>
    <t>B480699</t>
  </si>
  <si>
    <t>RBC Lysis Buffer (10X)</t>
  </si>
  <si>
    <t>B474247</t>
  </si>
  <si>
    <t>Human TruStain FcX™</t>
  </si>
  <si>
    <t>B474952</t>
  </si>
  <si>
    <t>B485644</t>
  </si>
  <si>
    <t>Zombie NIR™ Fixable Viability Kit</t>
  </si>
  <si>
    <t>B488399</t>
  </si>
  <si>
    <t>Zombie UV™ Fixable Viability Kit</t>
  </si>
  <si>
    <t>B482204</t>
  </si>
  <si>
    <t>Tag-it Violet™ Proliferation and Cell Tracking Dye</t>
  </si>
  <si>
    <t>B482930</t>
  </si>
  <si>
    <t>Mouse IL-9</t>
  </si>
  <si>
    <t>B402477</t>
  </si>
  <si>
    <t>Mouse CD4 T Cell Isolation Kit</t>
  </si>
  <si>
    <t>B487317</t>
  </si>
  <si>
    <t>Mouse CD8 T Cell Isolation Kit</t>
  </si>
  <si>
    <t>B460951</t>
  </si>
  <si>
    <t>Mouse Neutrophil Isolation Kit</t>
  </si>
  <si>
    <t>B477371</t>
  </si>
  <si>
    <t>B483338</t>
  </si>
  <si>
    <t>anti-mouse TNF-α</t>
  </si>
  <si>
    <t>B463851</t>
  </si>
  <si>
    <t>anti-human CCL22</t>
  </si>
  <si>
    <t>B394012</t>
  </si>
  <si>
    <t>B478149</t>
  </si>
  <si>
    <t>anti-β-actin</t>
  </si>
  <si>
    <t>B465903</t>
  </si>
  <si>
    <t>anti-His Tag</t>
  </si>
  <si>
    <t>B489548</t>
  </si>
  <si>
    <t>anti-STAT5</t>
  </si>
  <si>
    <t>B414804</t>
  </si>
  <si>
    <t>Human Growth Factor Panel (13-plex) w/ VbP V02</t>
  </si>
  <si>
    <t>B467878</t>
  </si>
  <si>
    <t>anti-Pax-6</t>
  </si>
  <si>
    <t>B480624</t>
  </si>
  <si>
    <t>anti-HA.11 Epitope Tag</t>
  </si>
  <si>
    <t>B483309</t>
  </si>
  <si>
    <t>anti-STAT5 Phospho (Tyr694)</t>
  </si>
  <si>
    <t>B487406</t>
  </si>
  <si>
    <t>fndr</t>
  </si>
  <si>
    <t>IIT Kanpur</t>
  </si>
  <si>
    <t>Spectra lab</t>
  </si>
  <si>
    <t>RCB</t>
  </si>
  <si>
    <t>Era</t>
  </si>
  <si>
    <t>ILBS</t>
  </si>
  <si>
    <t>Mtor</t>
  </si>
  <si>
    <t>Kokila</t>
  </si>
  <si>
    <t>Ankur</t>
  </si>
  <si>
    <t>FNDR</t>
  </si>
  <si>
    <t>IIT Kharagpur</t>
  </si>
  <si>
    <t>aurigine Onco</t>
  </si>
  <si>
    <t>PI Health</t>
  </si>
  <si>
    <t>SPECTRA LAB</t>
  </si>
  <si>
    <t>THIRUVANANTPURAM</t>
  </si>
  <si>
    <t>era</t>
  </si>
  <si>
    <t>PORTER</t>
  </si>
  <si>
    <t>DC-8</t>
  </si>
  <si>
    <t>D3007383929</t>
  </si>
  <si>
    <t>D3007383928</t>
  </si>
  <si>
    <t>M BIOTECH</t>
  </si>
  <si>
    <t>IMMUNEEL</t>
  </si>
  <si>
    <t>IIT KANPUR</t>
  </si>
  <si>
    <t>Delivered</t>
  </si>
  <si>
    <t>Back Order</t>
  </si>
  <si>
    <t>Payment Issue</t>
  </si>
  <si>
    <t>T-2878/25-26</t>
  </si>
  <si>
    <t>DEEPAK</t>
  </si>
  <si>
    <t>DC-9</t>
  </si>
  <si>
    <t>To be Billed Later</t>
  </si>
  <si>
    <t>DC-10</t>
  </si>
  <si>
    <t>BY HAND</t>
  </si>
  <si>
    <t>BILL NO. T-1587/25-26 DT 04-11-2025</t>
  </si>
  <si>
    <t>INV260402-001</t>
  </si>
  <si>
    <t>T81400</t>
  </si>
  <si>
    <t>T35528</t>
  </si>
  <si>
    <t>INV260402-002</t>
  </si>
  <si>
    <t>T0584</t>
  </si>
  <si>
    <t>INV260402-003</t>
  </si>
  <si>
    <t>T36466</t>
  </si>
  <si>
    <t>INV260402-004</t>
  </si>
  <si>
    <t>T3640</t>
  </si>
  <si>
    <t>C0057</t>
  </si>
  <si>
    <t>AFFIGINIX</t>
  </si>
  <si>
    <t>NUMEX</t>
  </si>
  <si>
    <t>NABI</t>
  </si>
  <si>
    <t>Pritumumab 499212-74-7 Spec 1 mg</t>
  </si>
  <si>
    <t>TD52 1798328-24-1 Spec 2 mg</t>
  </si>
  <si>
    <t>Maltose 69-79-4 Spec 10 g</t>
  </si>
  <si>
    <t xml:space="preserve"> Chlorin E6 19660-77-6 Spec 100 mg</t>
  </si>
  <si>
    <t>GW4869 6823-69-4 Spec 1 mg</t>
  </si>
  <si>
    <t xml:space="preserve"> Protease and Phosphatase Inhibitor Cocktail, MS-safe (10×) SPEC 1ML</t>
  </si>
  <si>
    <t>P25012700001</t>
  </si>
  <si>
    <t>NEEV RESEARCH PRODUCTS</t>
  </si>
  <si>
    <t>58164049602 </t>
  </si>
  <si>
    <t>58164048600 </t>
  </si>
  <si>
    <t>CMDL</t>
  </si>
  <si>
    <t>COIMBATORE</t>
  </si>
  <si>
    <t>58164050836 </t>
  </si>
  <si>
    <t>POPVAX</t>
  </si>
  <si>
    <t>58164051702 </t>
  </si>
  <si>
    <t>Shubh Sales</t>
  </si>
  <si>
    <t>MBS825075</t>
  </si>
  <si>
    <t>MBS8244680</t>
  </si>
  <si>
    <t>MBS9718203</t>
  </si>
  <si>
    <t>MBS8244697</t>
  </si>
  <si>
    <t>MBS2606099</t>
  </si>
  <si>
    <t>MBS705186</t>
  </si>
  <si>
    <t>MBS269992</t>
  </si>
  <si>
    <t>MBS762108</t>
  </si>
  <si>
    <t>Mouse TNF alpha ELISA Kit; 96 Tests</t>
  </si>
  <si>
    <t>Mouse IL-6 ELISA Kit; 96 Tests</t>
  </si>
  <si>
    <t>Mouse Dopamine (DA) ELISA Kit; 96 Tests</t>
  </si>
  <si>
    <t>Mouse IL-1 beta ELISA Kit; 96 Tests</t>
  </si>
  <si>
    <t>Rat Niemann-Pick C1-like protein 1 (NPC1L1) ELISA Kit; 96-_x000D_
Strip-Wells</t>
  </si>
  <si>
    <t>Mouse Hyaluronic acid, HA ELISA Kit; 96-Strip-Wells</t>
  </si>
  <si>
    <t>Human soluble Human leucocyte antigen G1 (sHLA-G) ELISA_x000D_
Kit; 96-Strip-Wells</t>
  </si>
  <si>
    <t>Rat Amyloid Beta 42 ELISA Kit; 96-Strip-Wells</t>
  </si>
  <si>
    <t>CK7E88C</t>
  </si>
  <si>
    <t>ATZC23023</t>
  </si>
  <si>
    <t>CK5E65C</t>
  </si>
  <si>
    <t>FN260319</t>
  </si>
  <si>
    <t>CK7E85B</t>
  </si>
  <si>
    <t>EED124916</t>
  </si>
  <si>
    <t>B446478</t>
  </si>
  <si>
    <t>anti-mouse CD3ε</t>
  </si>
  <si>
    <t>B458080</t>
  </si>
  <si>
    <t>B478375</t>
  </si>
  <si>
    <t>B464962</t>
  </si>
  <si>
    <t>B469254</t>
  </si>
  <si>
    <t>anti-mouse CD16/32</t>
  </si>
  <si>
    <t>B473160</t>
  </si>
  <si>
    <t>anti-mouse CD36</t>
  </si>
  <si>
    <t>B394444</t>
  </si>
  <si>
    <t>anti-mouse/human CD45R/B220</t>
  </si>
  <si>
    <t>BT000823</t>
  </si>
  <si>
    <t>anti-mouse CD48</t>
  </si>
  <si>
    <t>B470370</t>
  </si>
  <si>
    <t>anti-mouse CD62L</t>
  </si>
  <si>
    <t>B466873</t>
  </si>
  <si>
    <t>anti-mouse CD117 (c-kit)</t>
  </si>
  <si>
    <t>B459266</t>
  </si>
  <si>
    <t>anti-mouse CD217 (IL-17RA)</t>
  </si>
  <si>
    <t>B457257</t>
  </si>
  <si>
    <t>anti-mouse Ly-6A/E (Sca-1)</t>
  </si>
  <si>
    <t>B471976</t>
  </si>
  <si>
    <t>anti-mouse Ly-6G/Ly-6C (Gr-1)</t>
  </si>
  <si>
    <t>B444911</t>
  </si>
  <si>
    <t>anti-mouse NK-1.1</t>
  </si>
  <si>
    <t>B460114</t>
  </si>
  <si>
    <t>B480273</t>
  </si>
  <si>
    <t>anti-mouse CD45.2</t>
  </si>
  <si>
    <t>B460591</t>
  </si>
  <si>
    <t>anti-mouse CD150 (SLAM)</t>
  </si>
  <si>
    <t>B458760</t>
  </si>
  <si>
    <t>anti-mouse FOXP3</t>
  </si>
  <si>
    <t>B481856</t>
  </si>
  <si>
    <t>anti-mouse Ly-6G</t>
  </si>
  <si>
    <t>B485222</t>
  </si>
  <si>
    <t>B458657</t>
  </si>
  <si>
    <t>B451308</t>
  </si>
  <si>
    <t>anti-mouse CD34</t>
  </si>
  <si>
    <t>B447454</t>
  </si>
  <si>
    <t>B483837</t>
  </si>
  <si>
    <t>anti-mouse CD135</t>
  </si>
  <si>
    <t>B463012</t>
  </si>
  <si>
    <t>anti-mouse CD115 (CSF-1R)</t>
  </si>
  <si>
    <t>B465419</t>
  </si>
  <si>
    <t>B443252</t>
  </si>
  <si>
    <t>anti-mouse CD90.2 (Thy1.2)</t>
  </si>
  <si>
    <t>B477635</t>
  </si>
  <si>
    <t>anti-mouse CD184 (CXCR4)</t>
  </si>
  <si>
    <t>B469323</t>
  </si>
  <si>
    <t>anti-mouse CD182 (CXCR2)</t>
  </si>
  <si>
    <t>B460414</t>
  </si>
  <si>
    <t>B443262</t>
  </si>
  <si>
    <t>anti-mouse CD170 (Siglec-F)</t>
  </si>
  <si>
    <t>B474387</t>
  </si>
  <si>
    <t>B491099</t>
  </si>
  <si>
    <t>B482475</t>
  </si>
  <si>
    <t>B468747</t>
  </si>
  <si>
    <t>B439522</t>
  </si>
  <si>
    <t>anti-human CD22</t>
  </si>
  <si>
    <t>B488476</t>
  </si>
  <si>
    <t>B446397</t>
  </si>
  <si>
    <t>anti-human CD137 (4-1BB)</t>
  </si>
  <si>
    <t>B458336</t>
  </si>
  <si>
    <t>anti-human CD9</t>
  </si>
  <si>
    <t>B444799</t>
  </si>
  <si>
    <t>anti-human CD284 (TLR4)</t>
  </si>
  <si>
    <t>B471961</t>
  </si>
  <si>
    <t>anti-human CD117 (c-kit)</t>
  </si>
  <si>
    <t>B483038</t>
  </si>
  <si>
    <t>anti-human IgM</t>
  </si>
  <si>
    <t>B485064</t>
  </si>
  <si>
    <t>anti-human CD177</t>
  </si>
  <si>
    <t>B426027</t>
  </si>
  <si>
    <t>B476608</t>
  </si>
  <si>
    <t>B364701</t>
  </si>
  <si>
    <t>anti-human CD215 (IL-15Rα)</t>
  </si>
  <si>
    <t>B391059</t>
  </si>
  <si>
    <t>anti-human CD36</t>
  </si>
  <si>
    <t>B463887</t>
  </si>
  <si>
    <t>B462967</t>
  </si>
  <si>
    <t>anti-human IgD</t>
  </si>
  <si>
    <t>B468813</t>
  </si>
  <si>
    <t>anti-human Siglec-9</t>
  </si>
  <si>
    <t>B481715</t>
  </si>
  <si>
    <t>anti-human CD370 (CLEC9A/DNGR1)</t>
  </si>
  <si>
    <t>B462585</t>
  </si>
  <si>
    <t>B490725</t>
  </si>
  <si>
    <t>anti-human XCR1</t>
  </si>
  <si>
    <t>B487122</t>
  </si>
  <si>
    <t>B474636</t>
  </si>
  <si>
    <t>anti-S100A8</t>
  </si>
  <si>
    <t>B466660</t>
  </si>
  <si>
    <t>B484904</t>
  </si>
  <si>
    <t>Mouse IgG1, κ Isotype Ctrl (ICFC)</t>
  </si>
  <si>
    <t>B443561</t>
  </si>
  <si>
    <t>Rat IgG2a, κ Isotype Ctrl</t>
  </si>
  <si>
    <t>B474909</t>
  </si>
  <si>
    <t>B471498</t>
  </si>
  <si>
    <t>Rat IgG2b, κ Isotype Ctrl</t>
  </si>
  <si>
    <t>B487509</t>
  </si>
  <si>
    <t>B471628</t>
  </si>
  <si>
    <t>B487386</t>
  </si>
  <si>
    <t>TMB Substrate Set</t>
  </si>
  <si>
    <t>B490574</t>
  </si>
  <si>
    <t>B488518</t>
  </si>
  <si>
    <t>Compensation Beads</t>
  </si>
  <si>
    <t>B491816</t>
  </si>
  <si>
    <t>B486967</t>
  </si>
  <si>
    <t>B472120</t>
  </si>
  <si>
    <t>anti-H2A.X Phospho (Ser139)</t>
  </si>
  <si>
    <t>B484586</t>
  </si>
  <si>
    <t>Human CXCL8 (IL-8) Capture Bead B4, 14X</t>
  </si>
  <si>
    <t>B382064</t>
  </si>
  <si>
    <t>Human CCL5 (RANTES) Capture Bead A7, 14X</t>
  </si>
  <si>
    <t>B448976</t>
  </si>
  <si>
    <t>anti-Neurofilament H (NF-H), Nonphosphorylated</t>
  </si>
  <si>
    <t>B448462</t>
  </si>
  <si>
    <t xml:space="preserve"> 08-10-2027</t>
  </si>
  <si>
    <t xml:space="preserve"> 08-05-2027</t>
  </si>
  <si>
    <t xml:space="preserve"> 24-10-2028</t>
  </si>
  <si>
    <t xml:space="preserve"> 15-04-2030</t>
  </si>
  <si>
    <t xml:space="preserve"> 02-07-2028</t>
  </si>
  <si>
    <t xml:space="preserve"> 04-06-2029</t>
  </si>
  <si>
    <t xml:space="preserve"> 20-04-2028</t>
  </si>
  <si>
    <t xml:space="preserve"> 28-05-2028</t>
  </si>
  <si>
    <t xml:space="preserve"> 03-12-2027</t>
  </si>
  <si>
    <t xml:space="preserve"> 04-02-2028</t>
  </si>
  <si>
    <t xml:space="preserve"> 24-02-2028</t>
  </si>
  <si>
    <t xml:space="preserve"> 07-02-2030</t>
  </si>
  <si>
    <t xml:space="preserve"> 05-08-2029</t>
  </si>
  <si>
    <t xml:space="preserve"> 10-05-2027</t>
  </si>
  <si>
    <t xml:space="preserve"> 29-06-2027</t>
  </si>
  <si>
    <t xml:space="preserve"> 29-10-2028</t>
  </si>
  <si>
    <t xml:space="preserve"> 10-10-2027</t>
  </si>
  <si>
    <t xml:space="preserve"> 10-04-2030</t>
  </si>
  <si>
    <t xml:space="preserve"> 25-11-2030</t>
  </si>
  <si>
    <t xml:space="preserve"> 04-09-2030</t>
  </si>
  <si>
    <t xml:space="preserve"> 25-10-2029</t>
  </si>
  <si>
    <t xml:space="preserve"> 05-12-2027</t>
  </si>
  <si>
    <t xml:space="preserve"> 13-11-2028</t>
  </si>
  <si>
    <t xml:space="preserve"> 25-11-2029</t>
  </si>
  <si>
    <t xml:space="preserve"> 12-04-2029</t>
  </si>
  <si>
    <t xml:space="preserve"> 31-07-2028</t>
  </si>
  <si>
    <t xml:space="preserve"> 05-07-2029</t>
  </si>
  <si>
    <t xml:space="preserve"> 16-08-2027</t>
  </si>
  <si>
    <t xml:space="preserve"> 05-09-2029</t>
  </si>
  <si>
    <t xml:space="preserve"> 14-04-2028</t>
  </si>
  <si>
    <t xml:space="preserve"> 19-07-2028</t>
  </si>
  <si>
    <t xml:space="preserve"> 15-08-2029</t>
  </si>
  <si>
    <t xml:space="preserve"> 28-01-2029</t>
  </si>
  <si>
    <t xml:space="preserve"> 02-07-2027</t>
  </si>
  <si>
    <t xml:space="preserve"> 23-06-2028</t>
  </si>
  <si>
    <t xml:space="preserve"> 17-02-2031</t>
  </si>
  <si>
    <t xml:space="preserve"> 05-02-2030</t>
  </si>
  <si>
    <t xml:space="preserve"> 19-02-2030</t>
  </si>
  <si>
    <t xml:space="preserve"> 31-05-2031</t>
  </si>
  <si>
    <t xml:space="preserve"> 10-09-2027</t>
  </si>
  <si>
    <t xml:space="preserve"> 07-05-2029</t>
  </si>
  <si>
    <t xml:space="preserve"> 12-07-2029</t>
  </si>
  <si>
    <t xml:space="preserve"> 21-10-2027</t>
  </si>
  <si>
    <t xml:space="preserve"> 14-08-2029</t>
  </si>
  <si>
    <t xml:space="preserve"> 17-07-2029</t>
  </si>
  <si>
    <t xml:space="preserve"> 25-04-2028</t>
  </si>
  <si>
    <t xml:space="preserve"> 19-04-2031</t>
  </si>
  <si>
    <t xml:space="preserve"> 12-04-2027</t>
  </si>
  <si>
    <t xml:space="preserve"> 20-04-2027</t>
  </si>
  <si>
    <t xml:space="preserve"> 02-05-2030</t>
  </si>
  <si>
    <t xml:space="preserve"> 02-04-2028</t>
  </si>
  <si>
    <t xml:space="preserve"> 22-05-2030</t>
  </si>
  <si>
    <t xml:space="preserve"> 09-05-2032</t>
  </si>
  <si>
    <t xml:space="preserve"> 28-10-2027</t>
  </si>
  <si>
    <t xml:space="preserve"> 12-01-2029</t>
  </si>
  <si>
    <t xml:space="preserve"> 13-08-2029</t>
  </si>
  <si>
    <t xml:space="preserve"> 19-08-2030</t>
  </si>
  <si>
    <t xml:space="preserve"> 28-07-2028</t>
  </si>
  <si>
    <t xml:space="preserve"> 03-10-2029</t>
  </si>
  <si>
    <t xml:space="preserve"> 31-01-2028</t>
  </si>
  <si>
    <t xml:space="preserve"> 05-08-2028</t>
  </si>
  <si>
    <t xml:space="preserve"> 29-08-2028</t>
  </si>
  <si>
    <t xml:space="preserve"> 18-09-2027</t>
  </si>
  <si>
    <t xml:space="preserve"> 28-02-2028</t>
  </si>
  <si>
    <t xml:space="preserve"> 04-03-2027</t>
  </si>
  <si>
    <t xml:space="preserve"> 26-05-2030</t>
  </si>
  <si>
    <t xml:space="preserve"> 20-02-2029</t>
  </si>
  <si>
    <t xml:space="preserve"> 10-04-2028</t>
  </si>
  <si>
    <t xml:space="preserve"> 01-05-2030</t>
  </si>
  <si>
    <t xml:space="preserve"> 11-01-2032</t>
  </si>
  <si>
    <t>PREMAS</t>
  </si>
  <si>
    <t>MEDLIFE</t>
  </si>
  <si>
    <t>SOLAR</t>
  </si>
  <si>
    <t>CELLIN BIO</t>
  </si>
  <si>
    <t>ABHI BIO</t>
  </si>
  <si>
    <t>VECTOR</t>
  </si>
  <si>
    <t>RG SONS</t>
  </si>
  <si>
    <t>AURIGINE ONCO</t>
  </si>
  <si>
    <t>BIONOVA</t>
  </si>
  <si>
    <t>MP BIO</t>
  </si>
  <si>
    <t>MP/LS/26-27/0009</t>
  </si>
  <si>
    <t>ADULT BOVINE SERUM, STERILE FILTERED 1KG</t>
  </si>
  <si>
    <t>MP/LS/26-27/0021</t>
  </si>
  <si>
    <t>0216011050</t>
  </si>
  <si>
    <t>Dextran Sulfate 50gm</t>
  </si>
  <si>
    <t>Clear Capps (500 Pcs)</t>
  </si>
  <si>
    <t>DC-11</t>
  </si>
  <si>
    <t>Return From IGIB by Deepak (SEND AGAINST Bill No. T-2758/26-27 dt. 24.03.2026)</t>
  </si>
  <si>
    <t>DC-12</t>
  </si>
  <si>
    <t>DC-13</t>
  </si>
  <si>
    <t>T-2927/25-26</t>
  </si>
  <si>
    <t>DC-7</t>
  </si>
  <si>
    <t>FOC - SAMPLE</t>
  </si>
  <si>
    <t>DC-6</t>
  </si>
  <si>
    <t>BILL NO : T-2728/25-26 DT. 20.03.2026</t>
  </si>
  <si>
    <t>SAMPLE</t>
  </si>
  <si>
    <t>CONFERENCE</t>
  </si>
  <si>
    <t>D3007383976</t>
  </si>
  <si>
    <t>T-2925/25-26</t>
  </si>
  <si>
    <t>M07141502</t>
  </si>
  <si>
    <t>Sun Pharma Advanced</t>
  </si>
  <si>
    <t>Porter</t>
  </si>
  <si>
    <t>I254277-IN</t>
  </si>
  <si>
    <t>I254278-IN</t>
  </si>
  <si>
    <t>I254279-IN</t>
  </si>
  <si>
    <t>30133-T</t>
  </si>
  <si>
    <t>IIT GOA</t>
  </si>
  <si>
    <t>I254281-IN</t>
  </si>
  <si>
    <t>I254282-IN</t>
  </si>
  <si>
    <t>I254284-IN</t>
  </si>
  <si>
    <t>31000-T</t>
  </si>
  <si>
    <t>L2-010638-01-0010</t>
  </si>
  <si>
    <t>ON-TARGETplus 2.0 Human STAG1 (10274) siRNA - SMARTpool, 10 nmol</t>
  </si>
  <si>
    <t>L2-012398-01-0005</t>
  </si>
  <si>
    <t>ON-TARGETplus 2.0 Human ARL4C (10123) siRNA - SMARTpool, 5 nmol</t>
  </si>
  <si>
    <t>L2-010256-01-0005</t>
  </si>
  <si>
    <t>ON-TARGETplus 2.0 Human STARD13 (90627) siRNA - SMARTpool, 5 nmol</t>
  </si>
  <si>
    <t>D2-001810-10-05</t>
  </si>
  <si>
    <t>ON-TARGETplus 2.0 Non-targeting Pool, 5 nmol</t>
  </si>
  <si>
    <t>G-CUSTOM-1238822</t>
  </si>
  <si>
    <t>LP_207892, ON-TARGETplus 2.0, 0.5 nmol, 36 wells, 1 plate, plate type 96, Horizontal</t>
  </si>
  <si>
    <t>M-010988-01-0005</t>
  </si>
  <si>
    <t>siGENOME Human Agt (183) siRNA - SMARTpool, 5 nmol</t>
  </si>
  <si>
    <t>D-001210-01-05</t>
  </si>
  <si>
    <t>siGENOME Non-Targeting siRNA #1, 5 nmol</t>
  </si>
  <si>
    <t>T-2004-01</t>
  </si>
  <si>
    <t>DharmaFECT 4 Transfection Reagent, 0.2 mL</t>
  </si>
  <si>
    <t>IISC</t>
  </si>
  <si>
    <t>DHARMACON</t>
  </si>
  <si>
    <t>D032426IN3358034G</t>
  </si>
  <si>
    <t>GOA</t>
  </si>
  <si>
    <t>24E1204</t>
  </si>
  <si>
    <t>25T0830</t>
  </si>
  <si>
    <t>26F0316</t>
  </si>
  <si>
    <t>24C1003-1266142</t>
  </si>
  <si>
    <t>25C0328-1275148</t>
  </si>
  <si>
    <t>25C0508-1298047</t>
  </si>
  <si>
    <t>25C0304-1307076</t>
  </si>
  <si>
    <t>GST ISSUE</t>
  </si>
  <si>
    <t>Monday</t>
  </si>
  <si>
    <t>Wait for Other Materail</t>
  </si>
  <si>
    <t>BE0270</t>
  </si>
  <si>
    <t>BE0101</t>
  </si>
  <si>
    <t>BE0356</t>
  </si>
  <si>
    <t>GENERAL TRADING COMPANY</t>
  </si>
  <si>
    <t>BIOXCELL</t>
  </si>
  <si>
    <t>BE0003-1</t>
  </si>
  <si>
    <t>948224O1</t>
  </si>
  <si>
    <t>963825S1</t>
  </si>
  <si>
    <t>923124J1B</t>
  </si>
  <si>
    <t>828625M2</t>
  </si>
  <si>
    <t>926525A1</t>
  </si>
  <si>
    <t>BP0083</t>
  </si>
  <si>
    <t>BE0405</t>
  </si>
  <si>
    <t>BE0377</t>
  </si>
  <si>
    <t>823325S1</t>
  </si>
  <si>
    <t>956024A1</t>
  </si>
  <si>
    <t>851624F1</t>
  </si>
  <si>
    <t>SAI LIFE</t>
  </si>
  <si>
    <t>DC-14</t>
  </si>
  <si>
    <t>DC-15</t>
  </si>
  <si>
    <t>DC-16</t>
  </si>
  <si>
    <t>0008</t>
  </si>
  <si>
    <t>BILL TO IIT DELHI DISPATCH TO ILBS (606421, 406403 ALREADY BILLED)</t>
  </si>
  <si>
    <t>Expired</t>
  </si>
  <si>
    <t>Brands</t>
  </si>
  <si>
    <t>D3007383978</t>
  </si>
  <si>
    <t>EED124822</t>
  </si>
  <si>
    <t>B482729</t>
  </si>
  <si>
    <t>B475857</t>
  </si>
  <si>
    <t>B467921</t>
  </si>
  <si>
    <t>(anti-mouse CD16/32)</t>
  </si>
  <si>
    <t>B478861</t>
  </si>
  <si>
    <t>anti-mouse CD38</t>
  </si>
  <si>
    <t>B462904</t>
  </si>
  <si>
    <t>B464463</t>
  </si>
  <si>
    <t>B431880</t>
  </si>
  <si>
    <t>B473144</t>
  </si>
  <si>
    <t>anti-mouse I-A/I-E</t>
  </si>
  <si>
    <t>B458524</t>
  </si>
  <si>
    <t>anti-mouse CD49b (pan-NK cells)</t>
  </si>
  <si>
    <t>B481000</t>
  </si>
  <si>
    <t>anti-mouse CD71</t>
  </si>
  <si>
    <t>B484015</t>
  </si>
  <si>
    <t>anti-mouse CD19</t>
  </si>
  <si>
    <t>B470733</t>
  </si>
  <si>
    <t>anti-mouse CD54</t>
  </si>
  <si>
    <t>B489366</t>
  </si>
  <si>
    <t>anti-mouse H-2Kd</t>
  </si>
  <si>
    <t>B487767</t>
  </si>
  <si>
    <t>anti-mouse CD11c</t>
  </si>
  <si>
    <t>B487623</t>
  </si>
  <si>
    <t>anti-mouse CD326 (EpCAM)</t>
  </si>
  <si>
    <t>B473149</t>
  </si>
  <si>
    <t>anti-mouse CD83</t>
  </si>
  <si>
    <t>B476955</t>
  </si>
  <si>
    <t>B469839</t>
  </si>
  <si>
    <t>anti-mouse F4/80</t>
  </si>
  <si>
    <t>B480589</t>
  </si>
  <si>
    <t>B486009</t>
  </si>
  <si>
    <t>B392060</t>
  </si>
  <si>
    <t>anti-mouse Tim-4</t>
  </si>
  <si>
    <t>B378171</t>
  </si>
  <si>
    <t>B490639</t>
  </si>
  <si>
    <t>B488862</t>
  </si>
  <si>
    <t>anti-mouse CD206 (MMR)</t>
  </si>
  <si>
    <t>B455165</t>
  </si>
  <si>
    <t>anti-mouse CD169 (Siglec-1)</t>
  </si>
  <si>
    <t>B488427</t>
  </si>
  <si>
    <t>anti-mouse CD85k (gp49 Receptor)</t>
  </si>
  <si>
    <t>B466290</t>
  </si>
  <si>
    <t>anti-mouse/rat XCR1</t>
  </si>
  <si>
    <t>B465326</t>
  </si>
  <si>
    <t>anti-mouse CD204</t>
  </si>
  <si>
    <t>B491333</t>
  </si>
  <si>
    <t>anti-mouse CD163</t>
  </si>
  <si>
    <t>B463327</t>
  </si>
  <si>
    <t>anti-mouse CD338 (ABCG2)</t>
  </si>
  <si>
    <t>B369920</t>
  </si>
  <si>
    <t>B403394</t>
  </si>
  <si>
    <t>B402000</t>
  </si>
  <si>
    <t>B370193</t>
  </si>
  <si>
    <t>anti-human CD11b</t>
  </si>
  <si>
    <t>B473819</t>
  </si>
  <si>
    <t>B481020</t>
  </si>
  <si>
    <t>B482087</t>
  </si>
  <si>
    <t>B404459</t>
  </si>
  <si>
    <t>B480728</t>
  </si>
  <si>
    <t>B488994</t>
  </si>
  <si>
    <t>anti-human CD62L</t>
  </si>
  <si>
    <t>B489269</t>
  </si>
  <si>
    <t>B490357</t>
  </si>
  <si>
    <t>B474583</t>
  </si>
  <si>
    <t>B481924</t>
  </si>
  <si>
    <t>anti-human/mouse CD49f</t>
  </si>
  <si>
    <t>B485256</t>
  </si>
  <si>
    <t>B462079</t>
  </si>
  <si>
    <t>B487794</t>
  </si>
  <si>
    <t>B433221</t>
  </si>
  <si>
    <t>B488351</t>
  </si>
  <si>
    <t>anti-human CD206 (MMR)</t>
  </si>
  <si>
    <t>B458966</t>
  </si>
  <si>
    <t>anti-human CD54</t>
  </si>
  <si>
    <t>B491323</t>
  </si>
  <si>
    <t>anti-human CD90 (Thy1)</t>
  </si>
  <si>
    <t>B476091</t>
  </si>
  <si>
    <t>B472953</t>
  </si>
  <si>
    <t>B479541</t>
  </si>
  <si>
    <t>anti-human CD68</t>
  </si>
  <si>
    <t>B465849</t>
  </si>
  <si>
    <t>anti-human CD34</t>
  </si>
  <si>
    <t>B405269</t>
  </si>
  <si>
    <t>B422034</t>
  </si>
  <si>
    <t>B455455</t>
  </si>
  <si>
    <t>anti-human Lineage (CD3/14/16/19/20/56)</t>
  </si>
  <si>
    <t>B486470</t>
  </si>
  <si>
    <t>anti-human CD192 (CCR2)</t>
  </si>
  <si>
    <t>B486530</t>
  </si>
  <si>
    <t>anti-human CD57</t>
  </si>
  <si>
    <t>B490789</t>
  </si>
  <si>
    <t>anti-Puromycin</t>
  </si>
  <si>
    <t>B484350</t>
  </si>
  <si>
    <t>B479310</t>
  </si>
  <si>
    <t>anti-human TGF-β Receptor II</t>
  </si>
  <si>
    <t>B486410</t>
  </si>
  <si>
    <t>B481477</t>
  </si>
  <si>
    <t>7-AAD Viability Staining Solution</t>
  </si>
  <si>
    <t>B488578</t>
  </si>
  <si>
    <t>B483052</t>
  </si>
  <si>
    <t>Zombie Aqua™ Fixable Viability Kit</t>
  </si>
  <si>
    <t>B488516</t>
  </si>
  <si>
    <t>Nunc™ MaxiSorp™ ELISA Plates, Uncoated</t>
  </si>
  <si>
    <t>B489179</t>
  </si>
  <si>
    <t>B477869</t>
  </si>
  <si>
    <t>Cyto-Fast™ Fix/Perm Buffer Set</t>
  </si>
  <si>
    <t>Human IL-1β</t>
  </si>
  <si>
    <t>B424903</t>
  </si>
  <si>
    <t>anti-human IL-6</t>
  </si>
  <si>
    <t>B479261</t>
  </si>
  <si>
    <t>anti-human IFN-γ</t>
  </si>
  <si>
    <t>B435875</t>
  </si>
  <si>
    <t>B489311</t>
  </si>
  <si>
    <t>anti-human TNF-α</t>
  </si>
  <si>
    <t>B480960</t>
  </si>
  <si>
    <t>anti-human IL-17A</t>
  </si>
  <si>
    <t>B482461</t>
  </si>
  <si>
    <t>B484019</t>
  </si>
  <si>
    <t>anti-T-bet</t>
  </si>
  <si>
    <t>B459491</t>
  </si>
  <si>
    <t>anti-IDO1</t>
  </si>
  <si>
    <t>B400788</t>
  </si>
  <si>
    <t>HU Essential Immune Response Panel (13-plex) w/VbP</t>
  </si>
  <si>
    <t>B470346</t>
  </si>
  <si>
    <t>HU Th1/Th2 Panel (8-plex) w/ VbP V02</t>
  </si>
  <si>
    <t>B485785</t>
  </si>
  <si>
    <t>HU Th Panel Standard V02</t>
  </si>
  <si>
    <t>B368989</t>
  </si>
  <si>
    <t>anti-Nuclear Pore Complex Proteins</t>
  </si>
  <si>
    <t>B479335</t>
  </si>
  <si>
    <t>IIT DELHI</t>
  </si>
  <si>
    <t>RESEARCH WORLD</t>
  </si>
  <si>
    <t>SNU</t>
  </si>
  <si>
    <t>ASHOKA</t>
  </si>
  <si>
    <t>SUNNTHESIS</t>
  </si>
  <si>
    <t>SYNGENE</t>
  </si>
  <si>
    <t>MEDI HEALTH</t>
  </si>
  <si>
    <t>TECHWEST</t>
  </si>
  <si>
    <t>IMMUNITAS BIO</t>
  </si>
  <si>
    <t>LUDHIANA</t>
  </si>
  <si>
    <t>MICRO VAPI</t>
  </si>
  <si>
    <t>AURIGINE SERVICE</t>
  </si>
  <si>
    <t>DC-17</t>
  </si>
  <si>
    <t>DC-19</t>
  </si>
  <si>
    <t>BILL NO : T-2764/25-26 DT. 24.03.2026</t>
  </si>
  <si>
    <t>DC-18</t>
  </si>
  <si>
    <t>BILL NO : T-2760/25-26 DT 24.03.2026</t>
  </si>
  <si>
    <t>BILL NO : T-2759/25-26 DT 24.03.2026</t>
  </si>
  <si>
    <t>SARTORIUS</t>
  </si>
  <si>
    <t>261519300120</t>
  </si>
  <si>
    <t>180E04---E</t>
  </si>
  <si>
    <t>LH-747061</t>
  </si>
  <si>
    <t>Available in list</t>
  </si>
  <si>
    <t>DC-21</t>
  </si>
  <si>
    <t>DC-20</t>
  </si>
  <si>
    <t>I8450</t>
  </si>
  <si>
    <t>B1750-63</t>
  </si>
  <si>
    <t>DC-22</t>
  </si>
  <si>
    <t>BILL NO : T-0150/25-26, DT. 30-03-2026</t>
  </si>
  <si>
    <t>FINE TEST</t>
  </si>
  <si>
    <t>FN260323BG01J</t>
  </si>
  <si>
    <t>EH0944</t>
  </si>
  <si>
    <t>EH20046</t>
  </si>
  <si>
    <t>FN260323</t>
  </si>
  <si>
    <t>AMRITA</t>
  </si>
  <si>
    <t>T6500</t>
  </si>
  <si>
    <t>T1765</t>
  </si>
  <si>
    <t>T2301</t>
  </si>
  <si>
    <t>T39652</t>
  </si>
  <si>
    <t>T7020</t>
  </si>
  <si>
    <t>T5369</t>
  </si>
  <si>
    <t>T2970</t>
  </si>
  <si>
    <t>T13161</t>
  </si>
  <si>
    <t>T3015</t>
  </si>
  <si>
    <t>T2376</t>
  </si>
  <si>
    <t>T1847</t>
  </si>
  <si>
    <t>T20819</t>
  </si>
  <si>
    <t>T0078</t>
  </si>
  <si>
    <t>T0097L</t>
  </si>
  <si>
    <t>T1827</t>
  </si>
  <si>
    <t>T1785</t>
  </si>
  <si>
    <t>T1448L</t>
  </si>
  <si>
    <t>T2125</t>
  </si>
  <si>
    <t>T6117</t>
  </si>
  <si>
    <t>T1784</t>
  </si>
  <si>
    <t>T1703</t>
  </si>
  <si>
    <t>T0164</t>
  </si>
  <si>
    <t>T0373L</t>
  </si>
  <si>
    <t>T8399</t>
  </si>
  <si>
    <t>T1921</t>
  </si>
  <si>
    <t>T1583</t>
  </si>
  <si>
    <t>T8684</t>
  </si>
  <si>
    <t>T8369</t>
  </si>
  <si>
    <t>T0093L</t>
  </si>
  <si>
    <t>T1792</t>
  </si>
  <si>
    <t>T1903</t>
  </si>
  <si>
    <t>T1181</t>
  </si>
  <si>
    <t>T0374L</t>
  </si>
  <si>
    <t>T5691</t>
  </si>
  <si>
    <t>T7018</t>
  </si>
  <si>
    <t>T6S0139</t>
  </si>
  <si>
    <t>TN2027</t>
  </si>
  <si>
    <t>TargtetMol</t>
  </si>
  <si>
    <t>INV260414-002</t>
  </si>
  <si>
    <t>TARGETMOL</t>
  </si>
  <si>
    <t>MISHU PHARMA</t>
  </si>
  <si>
    <t>DC-24</t>
  </si>
  <si>
    <t>FOR SAMPLE (DEEPAK MENTIONED)</t>
  </si>
  <si>
    <t>0009</t>
  </si>
  <si>
    <t>D3007384169</t>
  </si>
  <si>
    <t>D3007384168</t>
  </si>
  <si>
    <t>D3007384171</t>
  </si>
  <si>
    <t>anti-mouse CD3 50UG</t>
  </si>
  <si>
    <t>B443564</t>
  </si>
  <si>
    <t>anti-mouse CD3 100UG</t>
  </si>
  <si>
    <t>B477813</t>
  </si>
  <si>
    <t>anti-mouse CD4 50UG</t>
  </si>
  <si>
    <t>B455112</t>
  </si>
  <si>
    <t>anti-mouse CD8a 125UL</t>
  </si>
  <si>
    <t>B487620</t>
  </si>
  <si>
    <t>anti-mouse/human CD11b 25UG</t>
  </si>
  <si>
    <t>B492062</t>
  </si>
  <si>
    <t>anti-mouse CD45 100UG</t>
  </si>
  <si>
    <t>B492128</t>
  </si>
  <si>
    <t>anti-mouse CD69 500UL</t>
  </si>
  <si>
    <t>B475395</t>
  </si>
  <si>
    <t>anti-mouse CD86 125UL</t>
  </si>
  <si>
    <t>B460598</t>
  </si>
  <si>
    <t>anti-mouse CD127 (IL-7Rα) 50UG</t>
  </si>
  <si>
    <t>B477592</t>
  </si>
  <si>
    <t>anti-mouse F4/80 100UG</t>
  </si>
  <si>
    <t>anti-mouse CD274 (B7-H1, PD-L1) 25UG</t>
  </si>
  <si>
    <t>B449707</t>
  </si>
  <si>
    <t>anti-mouse Ly-6G 50UG</t>
  </si>
  <si>
    <t>B450933</t>
  </si>
  <si>
    <t>anti-mouse CD170 (Siglec-F) 50UG</t>
  </si>
  <si>
    <t>B475791</t>
  </si>
  <si>
    <t>PLUS (anti-mouse CD16/32) 50UG</t>
  </si>
  <si>
    <t>B481354</t>
  </si>
  <si>
    <t>anti-human CD4 100T</t>
  </si>
  <si>
    <t>B472159</t>
  </si>
  <si>
    <t>anti-human CD5 25T</t>
  </si>
  <si>
    <t>B376791</t>
  </si>
  <si>
    <t>anti-human CD8a 100T</t>
  </si>
  <si>
    <t>B436939</t>
  </si>
  <si>
    <t>anti-human CD14 25T</t>
  </si>
  <si>
    <t>B480744</t>
  </si>
  <si>
    <t>anti-human CD19 100T</t>
  </si>
  <si>
    <t>anti-human CD41 100T</t>
  </si>
  <si>
    <t>B478574</t>
  </si>
  <si>
    <t>anti-human CD45 100UG</t>
  </si>
  <si>
    <t>anti-human CD45 100T</t>
  </si>
  <si>
    <t>B459833</t>
  </si>
  <si>
    <t>anti-human CD45RA 25T</t>
  </si>
  <si>
    <t>B486899</t>
  </si>
  <si>
    <t>anti-human CD123 100T</t>
  </si>
  <si>
    <t>B474452</t>
  </si>
  <si>
    <t>anti-human Perforin 100T</t>
  </si>
  <si>
    <t>B464300</t>
  </si>
  <si>
    <t>anti-human CD2 100T</t>
  </si>
  <si>
    <t>B479301</t>
  </si>
  <si>
    <t>anti-human CD9 25T</t>
  </si>
  <si>
    <t>B453133</t>
  </si>
  <si>
    <t>anti-human/mouse ZAP-70 100T</t>
  </si>
  <si>
    <t>B400961</t>
  </si>
  <si>
    <t>anti-human CD3 100T</t>
  </si>
  <si>
    <t>B481933</t>
  </si>
  <si>
    <t>anti-human CD56 (NCAM) 100T</t>
  </si>
  <si>
    <t>B467761</t>
  </si>
  <si>
    <t>anti-human CD15 (SSEA-1) 100T</t>
  </si>
  <si>
    <t>B464432</t>
  </si>
  <si>
    <t>anti-human CD326 (EpCAM) 100T</t>
  </si>
  <si>
    <t>B474195</t>
  </si>
  <si>
    <t>B450043</t>
  </si>
  <si>
    <t>anti-human CD203c (E-NPP3) 100T</t>
  </si>
  <si>
    <t>B471081</t>
  </si>
  <si>
    <t>anti-human CD90 (Thy1) 25T</t>
  </si>
  <si>
    <t>B478093</t>
  </si>
  <si>
    <t>anti-human CD274 (B7-H1, PD-L1) 25T</t>
  </si>
  <si>
    <t>B485402</t>
  </si>
  <si>
    <t>anti-human TCR γ/δ 25T</t>
  </si>
  <si>
    <t>B472548</t>
  </si>
  <si>
    <t>anti-human CD319 (CRACC) 100T</t>
  </si>
  <si>
    <t>B474317</t>
  </si>
  <si>
    <t>anti-human TCR Vβ13.2 100T</t>
  </si>
  <si>
    <t>B446680</t>
  </si>
  <si>
    <t>anti-human FcεRIα 25T</t>
  </si>
  <si>
    <t>B488656</t>
  </si>
  <si>
    <t>anti-human CD36 100T</t>
  </si>
  <si>
    <t>B366729</t>
  </si>
  <si>
    <t>anti-human CD48 100T</t>
  </si>
  <si>
    <t>B367166</t>
  </si>
  <si>
    <t>anti-human CD87 100T</t>
  </si>
  <si>
    <t>B443296</t>
  </si>
  <si>
    <t>anti-human CD79b (Igβ) 25T</t>
  </si>
  <si>
    <t>B485408</t>
  </si>
  <si>
    <t>anti-human PSMA (FOLH1) 100T</t>
  </si>
  <si>
    <t>B460151</t>
  </si>
  <si>
    <t>anti-human TCR Vα24-Jα18 (iNKT cell) 100T</t>
  </si>
  <si>
    <t>B443699</t>
  </si>
  <si>
    <t>B483043</t>
  </si>
  <si>
    <t>anti-human CD8 100T</t>
  </si>
  <si>
    <t>B457590</t>
  </si>
  <si>
    <t>B433189</t>
  </si>
  <si>
    <t>anti-human TCR Vα7.2 25T</t>
  </si>
  <si>
    <t>B437638</t>
  </si>
  <si>
    <t>B330512</t>
  </si>
  <si>
    <t>B479841</t>
  </si>
  <si>
    <t>anti-human CD36L1 (SCARB1, SR-BI) 100T</t>
  </si>
  <si>
    <t>B491256</t>
  </si>
  <si>
    <t>B453637</t>
  </si>
  <si>
    <t>anti-human CD204 100T</t>
  </si>
  <si>
    <t>B476229</t>
  </si>
  <si>
    <t>anti-human TNF-α 100T</t>
  </si>
  <si>
    <t>B480933</t>
  </si>
  <si>
    <t>anti-human CD7 100T</t>
  </si>
  <si>
    <t>B472230</t>
  </si>
  <si>
    <t>anti-human P2RY12 100T</t>
  </si>
  <si>
    <t>B462695</t>
  </si>
  <si>
    <t>Mouse IgG1, κ Isotype Ctrl 25UG</t>
  </si>
  <si>
    <t>B492253</t>
  </si>
  <si>
    <t>Mouse IgG1, κ Isotype Ctrl (ICFC) 25T</t>
  </si>
  <si>
    <t>B368999</t>
  </si>
  <si>
    <t>B434593</t>
  </si>
  <si>
    <t>Mouse IgG1, κ Isotype Ctrl (ICFC) 50UG</t>
  </si>
  <si>
    <t>B475274</t>
  </si>
  <si>
    <t>Mouse IgG1, κ Isotype Ctrl 100T</t>
  </si>
  <si>
    <t>B469920</t>
  </si>
  <si>
    <t>Mouse IgG2b, κ Isotype Ctrl 100T</t>
  </si>
  <si>
    <t>B474887</t>
  </si>
  <si>
    <t>Rat IgG2b, κ Isotype Ctrl 25UG</t>
  </si>
  <si>
    <t>Mouse IgG2b, κ Isotype Ctrl 25T</t>
  </si>
  <si>
    <t>B443582</t>
  </si>
  <si>
    <t>Human IgG1 Isotype Ctrl Recombinant 100UG</t>
  </si>
  <si>
    <t>B483465</t>
  </si>
  <si>
    <t>Human IgG4 Isotype Ctrl Recombinant 100UG</t>
  </si>
  <si>
    <t>B469278</t>
  </si>
  <si>
    <t>anti-mouse IgG2a 25UG</t>
  </si>
  <si>
    <t>B439695</t>
  </si>
  <si>
    <t>RBC Lysis Buffer (10X) 500ML</t>
  </si>
  <si>
    <t>B482305</t>
  </si>
  <si>
    <t>Human TruStain FcX™ 200T</t>
  </si>
  <si>
    <t>Zombie NIR™ Fixable Viability Kit 100T</t>
  </si>
  <si>
    <t>B490564</t>
  </si>
  <si>
    <t>Plate Sealers 1PK</t>
  </si>
  <si>
    <t>B482359</t>
  </si>
  <si>
    <t>CFSE Cell Division Tracker Kit KIT</t>
  </si>
  <si>
    <t>B468877</t>
  </si>
  <si>
    <t>Human TNF-α ELISA Kit 1CPL</t>
  </si>
  <si>
    <t>B401050</t>
  </si>
  <si>
    <t>Mouse CD4 T Cell Isolation Kit 100T</t>
  </si>
  <si>
    <t>B487318</t>
  </si>
  <si>
    <t>Mouse CD3 T Cell Isolation Kit 100T</t>
  </si>
  <si>
    <t>B478736</t>
  </si>
  <si>
    <t>Human CD3 T Cell Isolation Kit 100T</t>
  </si>
  <si>
    <t>B478738</t>
  </si>
  <si>
    <t>anti-human IFN-γ 100T</t>
  </si>
  <si>
    <t>B454443</t>
  </si>
  <si>
    <t>B481830</t>
  </si>
  <si>
    <t>B465618</t>
  </si>
  <si>
    <t>anti-mouse IL-4 25UG</t>
  </si>
  <si>
    <t>B486752</t>
  </si>
  <si>
    <t>anti-human IL-17A 100T</t>
  </si>
  <si>
    <t>B441287</t>
  </si>
  <si>
    <t>B464296</t>
  </si>
  <si>
    <t>anti-human Mesothelin 50UG</t>
  </si>
  <si>
    <t>B458565</t>
  </si>
  <si>
    <t>anti-human CD279 (PD-1) 25T</t>
  </si>
  <si>
    <t>B478257</t>
  </si>
  <si>
    <t>anti-c-Myc 100UG</t>
  </si>
  <si>
    <t>Human PLGF-2 (carrier-free) 10UG</t>
  </si>
  <si>
    <t>B300155</t>
  </si>
  <si>
    <t>anti-TMEM119 (Extracellular) 100T</t>
  </si>
  <si>
    <t>B487474</t>
  </si>
  <si>
    <t>Nova</t>
  </si>
  <si>
    <t>Abhi bio</t>
  </si>
  <si>
    <t>RG Sons</t>
  </si>
  <si>
    <t>Cellin Bio</t>
  </si>
  <si>
    <t>Medicare</t>
  </si>
  <si>
    <t>TIGS</t>
  </si>
  <si>
    <t>Genomid</t>
  </si>
  <si>
    <t>SUN PHARMA</t>
  </si>
  <si>
    <t>EED125143</t>
  </si>
  <si>
    <t>BIOLEGEND</t>
  </si>
  <si>
    <t>Company Person</t>
  </si>
  <si>
    <t>BIOTIUM</t>
  </si>
  <si>
    <t>I255319-IN</t>
  </si>
  <si>
    <t>26D0318</t>
  </si>
  <si>
    <t>21C0812-1165062</t>
  </si>
  <si>
    <t>25C0912-1298007</t>
  </si>
  <si>
    <t>24C0920-1266101</t>
  </si>
  <si>
    <t>I255321-IN</t>
  </si>
  <si>
    <t>33028-1</t>
  </si>
  <si>
    <t>DC-27</t>
  </si>
  <si>
    <t>DMSO, anhydrous</t>
  </si>
  <si>
    <t>CF®570 Succinimidyl Ester</t>
  </si>
  <si>
    <t>CF®660C Succinimidyl Ester</t>
  </si>
  <si>
    <t>CF®725 Succinimidyl Ester</t>
  </si>
  <si>
    <t>GloMeltâ„¢ Thermal Shift Protein Stability Kit 2.0 with ROX</t>
  </si>
  <si>
    <t>BILL NO : T2759/25-26 DT. 24.03.2026 (NII ITEM SENT TO ICGEB)</t>
  </si>
  <si>
    <t>D3007531065</t>
  </si>
  <si>
    <t>DC-29</t>
  </si>
  <si>
    <t>BILL NO: T-2745/25-26, DT. 23-03-2026</t>
  </si>
  <si>
    <t>0010</t>
  </si>
  <si>
    <t>Priyanka madam</t>
  </si>
  <si>
    <t>INV11422</t>
  </si>
  <si>
    <t>52009L</t>
  </si>
  <si>
    <t>INV11421</t>
  </si>
  <si>
    <t>TAQ BIOLOGISTICS</t>
  </si>
  <si>
    <t>261519300214</t>
  </si>
  <si>
    <t>16532---K</t>
  </si>
  <si>
    <t>261519300213</t>
  </si>
  <si>
    <t>VF20H2</t>
  </si>
  <si>
    <t>VF20P2</t>
  </si>
  <si>
    <t>165174---E</t>
  </si>
  <si>
    <t>DC-31</t>
  </si>
  <si>
    <t>FOC BY MOHAN SIR</t>
  </si>
  <si>
    <t>DC-30</t>
  </si>
  <si>
    <t>BILL NO : T-159/26-27 dt 21.04.2026</t>
  </si>
  <si>
    <t>FOC SAMPLE</t>
  </si>
  <si>
    <t>DEMO (CAT: 567903)</t>
  </si>
  <si>
    <t>22-4-2026</t>
  </si>
  <si>
    <t>260416IN-BI</t>
  </si>
  <si>
    <t>AF5384</t>
  </si>
  <si>
    <t>DF12049</t>
  </si>
  <si>
    <t>DF15131</t>
  </si>
  <si>
    <t>DF6655</t>
  </si>
  <si>
    <t>DF12360</t>
  </si>
  <si>
    <t>AFFINITY</t>
  </si>
  <si>
    <t>616416d</t>
  </si>
  <si>
    <t>616416h</t>
  </si>
  <si>
    <t>CP054</t>
  </si>
  <si>
    <t>SIM0010</t>
  </si>
  <si>
    <t>1043625A2</t>
  </si>
  <si>
    <t>957724M2</t>
  </si>
  <si>
    <t>SSCMP</t>
  </si>
  <si>
    <t>SI139828</t>
  </si>
  <si>
    <t>MIR 8000</t>
  </si>
  <si>
    <t>MIR 6270</t>
  </si>
  <si>
    <t>SI139827</t>
  </si>
  <si>
    <t>MIR 6000</t>
  </si>
  <si>
    <t>MIR 5910</t>
  </si>
  <si>
    <t>MIR 6210</t>
  </si>
  <si>
    <t>NALGEN</t>
  </si>
  <si>
    <t>ENZENE</t>
  </si>
  <si>
    <t>4,-20,RT</t>
  </si>
  <si>
    <t>SI139830</t>
  </si>
  <si>
    <t>MIR 2124</t>
  </si>
  <si>
    <t>MP/LS/26-27/0110</t>
  </si>
  <si>
    <t>091261254</t>
  </si>
  <si>
    <t>MP/LS/26-27/0109</t>
  </si>
  <si>
    <t>0219022801</t>
  </si>
  <si>
    <t>MP/LS/26-27/0108</t>
  </si>
  <si>
    <t>RevIT AAV Enhancer, 1.5 mL</t>
  </si>
  <si>
    <t>1.5ml TransIT-X2 System</t>
  </si>
  <si>
    <t>MiraCLEAN Endotoxin</t>
  </si>
  <si>
    <t>CHOgro High Yield Expression System</t>
  </si>
  <si>
    <t>CHOgro High
Yield Expression
System (PART 2 OF 2)</t>
  </si>
  <si>
    <t>CHOgro Complex Formation Soln</t>
  </si>
  <si>
    <t>0.4 mL TransITJurkat</t>
  </si>
  <si>
    <t>SI139829</t>
  </si>
  <si>
    <t>MIR 6230</t>
  </si>
  <si>
    <t>Poloxamer 188 Solution</t>
  </si>
  <si>
    <t>D3007531070</t>
  </si>
  <si>
    <t>SQSTM1/p62 Antibody</t>
  </si>
  <si>
    <t>NBR1 Antibody</t>
  </si>
  <si>
    <t>TAX1BP1 Antibody</t>
  </si>
  <si>
    <t>Optineurin Antibody</t>
  </si>
  <si>
    <t>CALCOCO2 Antibody</t>
  </si>
  <si>
    <t>RecombiMAb anti-mouse TNFa, XT3.11-CP054, 25 mg</t>
  </si>
  <si>
    <t>InVivoSIM anti-human PD-1 (Pembrolizumab Biosimilar), Pembrolizumab, 1 mg</t>
  </si>
  <si>
    <t>Vivaflow 200, 300kDa RC, 1pc</t>
  </si>
  <si>
    <t>Vivaflow 200 Cross cassette 0.5-2.5 L Sample Volume 30 kDa MWCO PES, 1pc</t>
  </si>
  <si>
    <t>Polycarbonate syringe filter holder 25mm</t>
  </si>
  <si>
    <t>MP/L2627/034</t>
  </si>
  <si>
    <t>IP0070</t>
  </si>
  <si>
    <t>CP189</t>
  </si>
  <si>
    <t>bill NO. 127, return back to office , delivery failed</t>
  </si>
  <si>
    <t>DC-28</t>
  </si>
  <si>
    <t>DC-26</t>
  </si>
  <si>
    <t>EXPIRED</t>
  </si>
  <si>
    <t>MY BIOSOURCE</t>
  </si>
  <si>
    <t>MBS8305397</t>
  </si>
  <si>
    <t>MBS850494</t>
  </si>
  <si>
    <t>MYBIOSOURCE</t>
  </si>
  <si>
    <t>INV260421-062</t>
  </si>
  <si>
    <t>T2099</t>
  </si>
  <si>
    <t>INV260421-063</t>
  </si>
  <si>
    <t>TMPS-00012</t>
  </si>
  <si>
    <t>SATYABHAMA</t>
  </si>
  <si>
    <t>INV2604021-64</t>
  </si>
  <si>
    <t>T37375</t>
  </si>
  <si>
    <t>T13962</t>
  </si>
  <si>
    <t>26-3822</t>
  </si>
  <si>
    <t>HBM-TFF/5</t>
  </si>
  <si>
    <t>HANSA BIOMED</t>
  </si>
  <si>
    <t>D040926IN3349480G</t>
  </si>
  <si>
    <t>TransIT-LT1 siRNA Transfection Kit with Calcium Phosphate (50 reactions, 50 nmol)</t>
  </si>
  <si>
    <t>L-019614-01-0005</t>
  </si>
  <si>
    <t>ON-TARGETplus Human GSPT1 siRNA SMARTpool (5 nmol)</t>
  </si>
  <si>
    <t>D-001810-10-05</t>
  </si>
  <si>
    <t>ON-TARGETplus Non-targeting Pool (5 nmol)</t>
  </si>
  <si>
    <t>ON-TARGETplus Human FOXA1 siRNA SMARTpool (10 nmol)</t>
  </si>
  <si>
    <t>M-017570-02-0005</t>
  </si>
  <si>
    <t>siGENOME Human NUP54 siRNA SMARTpool (5 nmol)</t>
  </si>
  <si>
    <t>L-004236-00-0005</t>
  </si>
  <si>
    <t>ON-TARGETplus Human USP18 siRNA SMARTpool (5 nmol)</t>
  </si>
  <si>
    <t>L-012453-00-0005</t>
  </si>
  <si>
    <t>ON-TARGETplus Human KEAP1 siRNA SMARTpool (5 nmol)</t>
  </si>
  <si>
    <t>L-001374-00-0005</t>
  </si>
  <si>
    <t>ON-TARGETplus Human ATG5 siRNA SMARTpool (5 nmol)</t>
  </si>
  <si>
    <t>YSC5849</t>
  </si>
  <si>
    <t>Yeast Interaction Collection, glycerol stock</t>
  </si>
  <si>
    <t>YSC6274-201925878</t>
  </si>
  <si>
    <t>Yeast Heterozygous Knockout Strain</t>
  </si>
  <si>
    <t>YSH7590-22603721</t>
  </si>
  <si>
    <t>SMARTvector Lentiviral Human FTH1 (hEF1a promoter)</t>
  </si>
  <si>
    <t>V3SH1125-22824267</t>
  </si>
  <si>
    <t>SMARTvector Inducible Human CAR8 Lentiviral shRNA</t>
  </si>
  <si>
    <t>RCE1181</t>
  </si>
  <si>
    <t>C. elegans RNAi Collection, glycerol stock</t>
  </si>
  <si>
    <t>YSC6273-201935824</t>
  </si>
  <si>
    <t>Yeast MATa Knock Out Strain (YDR135C)</t>
  </si>
  <si>
    <t>YSC6273-201935905</t>
  </si>
  <si>
    <t>Yeast MATa Knock Out Strain (YEL020W)</t>
  </si>
  <si>
    <t>Yeast MATa Knock Out Strain (YMR243C)</t>
  </si>
  <si>
    <t>VSC11657</t>
  </si>
  <si>
    <t>SMARTvector Inducible Non-targeting shRNA Lentiviral Particles</t>
  </si>
  <si>
    <t>SB-P-LV-101-10</t>
  </si>
  <si>
    <t>LentiBOOST Lentivirus Transduction Enhancer</t>
  </si>
  <si>
    <t>PMAPUO</t>
  </si>
  <si>
    <t>USB Plate map files OBS (with data files)</t>
  </si>
  <si>
    <t>IMTECH</t>
  </si>
  <si>
    <t>NIRRCH</t>
  </si>
  <si>
    <t>IISER BHOPAL</t>
  </si>
  <si>
    <t>AMITY-KOLKATA</t>
  </si>
  <si>
    <t>SAU</t>
  </si>
  <si>
    <t>TLP5913</t>
  </si>
  <si>
    <t>MP/L2627/038</t>
  </si>
  <si>
    <t>LYSING MATRIX D 100 X 2ML TUBE</t>
  </si>
  <si>
    <t>BE0032</t>
  </si>
  <si>
    <t>BE0117</t>
  </si>
  <si>
    <t>BE0090</t>
  </si>
  <si>
    <t>BE0089</t>
  </si>
  <si>
    <t>SOUTHERNBIOTECH</t>
  </si>
  <si>
    <t>2014-05</t>
  </si>
  <si>
    <t>L-010319-00-0005</t>
  </si>
  <si>
    <t>DEEP LIFE</t>
  </si>
  <si>
    <t>PO PENDING</t>
  </si>
  <si>
    <t>0011</t>
  </si>
  <si>
    <t>0012</t>
  </si>
  <si>
    <t>DC-34</t>
  </si>
  <si>
    <t>D3007531075</t>
  </si>
  <si>
    <t>D3007531074</t>
  </si>
  <si>
    <t>DC-32</t>
  </si>
  <si>
    <t>JUNIPER</t>
  </si>
  <si>
    <t>EED125402</t>
  </si>
  <si>
    <t>B493064</t>
  </si>
  <si>
    <t>21-03-2029</t>
  </si>
  <si>
    <t>anti-mouse CD8a 500UG</t>
  </si>
  <si>
    <t>B492378</t>
  </si>
  <si>
    <t>24-03-2033</t>
  </si>
  <si>
    <t>anti-mouse CD36 100UG</t>
  </si>
  <si>
    <t>B492695</t>
  </si>
  <si>
    <t>03-03-2028</t>
  </si>
  <si>
    <t>anti-mouse CD41 500UG</t>
  </si>
  <si>
    <t>B484770</t>
  </si>
  <si>
    <t>17-12-2031</t>
  </si>
  <si>
    <t>anti-mouse CD206 (MMR) 100UG</t>
  </si>
  <si>
    <t>10-01-2030</t>
  </si>
  <si>
    <t>B472297</t>
  </si>
  <si>
    <t>15-08-2029</t>
  </si>
  <si>
    <t>anti-human CD13 100T</t>
  </si>
  <si>
    <t>B483140</t>
  </si>
  <si>
    <t>30-10-2028</t>
  </si>
  <si>
    <t>anti-human CD18 100T</t>
  </si>
  <si>
    <t>B402230</t>
  </si>
  <si>
    <t>12-07-2027</t>
  </si>
  <si>
    <t>B453625</t>
  </si>
  <si>
    <t>13-11-2027</t>
  </si>
  <si>
    <t>anti-human CD25 100T</t>
  </si>
  <si>
    <t>B480573</t>
  </si>
  <si>
    <t>29-03-2029</t>
  </si>
  <si>
    <t>anti-human CD28 100T</t>
  </si>
  <si>
    <t>B468424</t>
  </si>
  <si>
    <t>15-07-2027</t>
  </si>
  <si>
    <t>B468658</t>
  </si>
  <si>
    <t>12-06-2028</t>
  </si>
  <si>
    <t>anti-human CD31 100T</t>
  </si>
  <si>
    <t>B460656</t>
  </si>
  <si>
    <t>10-11-2027</t>
  </si>
  <si>
    <t>anti-human CD45 25T</t>
  </si>
  <si>
    <t>B444964</t>
  </si>
  <si>
    <t>01-06-2027</t>
  </si>
  <si>
    <t>B465073</t>
  </si>
  <si>
    <t>23-08-2027</t>
  </si>
  <si>
    <t>anti-human CD45RA 100T</t>
  </si>
  <si>
    <t>B483351</t>
  </si>
  <si>
    <t>04-12-2028</t>
  </si>
  <si>
    <t>B492868</t>
  </si>
  <si>
    <t>25-03-2030</t>
  </si>
  <si>
    <t>B465736</t>
  </si>
  <si>
    <t>13-03-2028</t>
  </si>
  <si>
    <t>04-09-2028</t>
  </si>
  <si>
    <t>anti-human HLA-DR 100T</t>
  </si>
  <si>
    <t>B472401</t>
  </si>
  <si>
    <t>14-03-2027</t>
  </si>
  <si>
    <t>27-05-2028</t>
  </si>
  <si>
    <t>anti-human CD253 (TRAIL) 100T</t>
  </si>
  <si>
    <t>B468976</t>
  </si>
  <si>
    <t>13-05-2027</t>
  </si>
  <si>
    <t>anti-human CD193 (CCR3) 100T</t>
  </si>
  <si>
    <t>B487709</t>
  </si>
  <si>
    <t>01-08-2027</t>
  </si>
  <si>
    <t>anti-human CD69 100UG</t>
  </si>
  <si>
    <t>B463725</t>
  </si>
  <si>
    <t>08-02-2030</t>
  </si>
  <si>
    <t>anti-human CD117 (c-kit) 100T</t>
  </si>
  <si>
    <t>B457898</t>
  </si>
  <si>
    <t>23-01-2028</t>
  </si>
  <si>
    <t>11-12-2028</t>
  </si>
  <si>
    <t>06-02-2028</t>
  </si>
  <si>
    <t>anti-mouse/rat/human FOXP3 100UG</t>
  </si>
  <si>
    <t>B457116</t>
  </si>
  <si>
    <t>15-09-2033</t>
  </si>
  <si>
    <t>anti-human FOXP3 100T</t>
  </si>
  <si>
    <t>B397148</t>
  </si>
  <si>
    <t>30-01-2028</t>
  </si>
  <si>
    <t>B491480</t>
  </si>
  <si>
    <t>06-03-2029</t>
  </si>
  <si>
    <t>anti-human CD279 (PD-1) 100T</t>
  </si>
  <si>
    <t>B477487</t>
  </si>
  <si>
    <t>12-09-2029</t>
  </si>
  <si>
    <t>anti-human CD71 100T</t>
  </si>
  <si>
    <t>B462357</t>
  </si>
  <si>
    <t>05-05-2029</t>
  </si>
  <si>
    <t>anti-human HLA-G 25T</t>
  </si>
  <si>
    <t>B468338</t>
  </si>
  <si>
    <t>20-06-2027</t>
  </si>
  <si>
    <t>anti-human CD11c 100T</t>
  </si>
  <si>
    <t>B462252</t>
  </si>
  <si>
    <t>15-04-2028</t>
  </si>
  <si>
    <t>anti-human CD226 (DNAM-1) 100T</t>
  </si>
  <si>
    <t>B458916</t>
  </si>
  <si>
    <t>26-07-2027</t>
  </si>
  <si>
    <t>anti-human CD73 (Ecto-5'-nucleotidase) 25T</t>
  </si>
  <si>
    <t>B455006</t>
  </si>
  <si>
    <t>18-11-2031</t>
  </si>
  <si>
    <t>B460584</t>
  </si>
  <si>
    <t>anti-human CD271 (NGFR) 100T</t>
  </si>
  <si>
    <t>B488666</t>
  </si>
  <si>
    <t>06-09-2028</t>
  </si>
  <si>
    <t>anti-human IgD 100T</t>
  </si>
  <si>
    <t>B459416</t>
  </si>
  <si>
    <t>22-10-2027</t>
  </si>
  <si>
    <t>anti-human TCR Vβ9 100T</t>
  </si>
  <si>
    <t>B486993</t>
  </si>
  <si>
    <t>29-01-2031</t>
  </si>
  <si>
    <t>anti-human Ki-67 100T</t>
  </si>
  <si>
    <t>B487691</t>
  </si>
  <si>
    <t>26-11-2030</t>
  </si>
  <si>
    <t>anti-human CD63 100T</t>
  </si>
  <si>
    <t>B466516</t>
  </si>
  <si>
    <t>28-04-2030</t>
  </si>
  <si>
    <t>anti-human CD197 (CCR7) 100T</t>
  </si>
  <si>
    <t>B475815</t>
  </si>
  <si>
    <t>29-02-2028</t>
  </si>
  <si>
    <t>B455787</t>
  </si>
  <si>
    <t>07-10-2028</t>
  </si>
  <si>
    <t>anti-human CD183 (CXCR3) 100T</t>
  </si>
  <si>
    <t>B491434</t>
  </si>
  <si>
    <t>15-01-2029</t>
  </si>
  <si>
    <t>anti-human CD370 (CLEC9A/DNGR1) 100T</t>
  </si>
  <si>
    <t>B483215</t>
  </si>
  <si>
    <t>11-05-2028</t>
  </si>
  <si>
    <t>anti-human CD269 (BCMA) 100T</t>
  </si>
  <si>
    <t>B482403</t>
  </si>
  <si>
    <t>19-12-2030</t>
  </si>
  <si>
    <t>anti-human CD5 100T</t>
  </si>
  <si>
    <t>B491631</t>
  </si>
  <si>
    <t>10-03-2029</t>
  </si>
  <si>
    <t>B456169</t>
  </si>
  <si>
    <t>30-05-2027</t>
  </si>
  <si>
    <t>anti-human CD33 100T</t>
  </si>
  <si>
    <t>B475944</t>
  </si>
  <si>
    <t>18-09-2027</t>
  </si>
  <si>
    <t>B444916</t>
  </si>
  <si>
    <t>05-04-2028</t>
  </si>
  <si>
    <t>anti-human CD223 (LAG-3) 100T</t>
  </si>
  <si>
    <t>B477676</t>
  </si>
  <si>
    <t>27-10-2027</t>
  </si>
  <si>
    <t>anti-human CD34 25T</t>
  </si>
  <si>
    <t>B489252</t>
  </si>
  <si>
    <t>18-06-2030</t>
  </si>
  <si>
    <t>B480440</t>
  </si>
  <si>
    <t>02-09-2032</t>
  </si>
  <si>
    <t>anti-human/mouse Granzyme B Recombinant 100T</t>
  </si>
  <si>
    <t>17-10-2028</t>
  </si>
  <si>
    <t>anti-human CD14 100T</t>
  </si>
  <si>
    <t>B492227</t>
  </si>
  <si>
    <t>19-03-2031</t>
  </si>
  <si>
    <t>Mouse IgG2a, κ Isotype Ctrl (FC) 100T</t>
  </si>
  <si>
    <t>17-05-2029</t>
  </si>
  <si>
    <t>Avidin 1ML</t>
  </si>
  <si>
    <t>B454926</t>
  </si>
  <si>
    <t>04-09-2027</t>
  </si>
  <si>
    <t>Streptavidin 100UG</t>
  </si>
  <si>
    <t>B481195</t>
  </si>
  <si>
    <t>31-10-2029</t>
  </si>
  <si>
    <t>Donkey anti-rabbit IgG (min. x-reactivity) 500UL</t>
  </si>
  <si>
    <t>B491479</t>
  </si>
  <si>
    <t>22-07-2027</t>
  </si>
  <si>
    <t>Nunc™ MaxiSorp™ ELISA Plates, Uncoated 5PL</t>
  </si>
  <si>
    <t>18-03-2029</t>
  </si>
  <si>
    <t>Mouse IL-10 5PL</t>
  </si>
  <si>
    <t>B426043</t>
  </si>
  <si>
    <t>13-02-2027</t>
  </si>
  <si>
    <t>anti-IDO1 25UG</t>
  </si>
  <si>
    <t>B464726</t>
  </si>
  <si>
    <t>06-09-2029</t>
  </si>
  <si>
    <t>Mouse TGF-β1 (carrier-free) 25UG</t>
  </si>
  <si>
    <t>B465827</t>
  </si>
  <si>
    <t>19-07-2027</t>
  </si>
  <si>
    <t>anti-Tau Phospho (Thr231) 100UL</t>
  </si>
  <si>
    <t>B451105</t>
  </si>
  <si>
    <t>23-01-2033</t>
  </si>
  <si>
    <t>NEUBERG</t>
  </si>
  <si>
    <t>NNF</t>
  </si>
  <si>
    <t>PRIYANKA MADAM - FOC</t>
  </si>
  <si>
    <t>REPLACEMENT</t>
  </si>
  <si>
    <t>0013</t>
  </si>
  <si>
    <t>DC-35</t>
  </si>
  <si>
    <t>BSP DAIGNOSTICS</t>
  </si>
  <si>
    <t>D042326IN3366519G</t>
  </si>
  <si>
    <t>M-005050-02-0005</t>
  </si>
  <si>
    <t>J-004438-08-0020</t>
  </si>
  <si>
    <t>L2-004842-01-0010</t>
  </si>
  <si>
    <t>L-016269-00-0005</t>
  </si>
  <si>
    <t>L-003010-00-0020</t>
  </si>
  <si>
    <t>D-001910-10-20</t>
  </si>
  <si>
    <t>B-005000-100</t>
  </si>
  <si>
    <t>siGENOME Human WEE1 (7465)siRNA - SMARTpool, 5 nmol</t>
  </si>
  <si>
    <t>ON-TARGETplus Human PDCD4(27250) siRNA - Individual, 20 nmol</t>
  </si>
  <si>
    <t>ON-TARGETplus 2.0 Human CAMKK2 (10645) siRNA -SMARTpool, 10 nmol</t>
  </si>
  <si>
    <t>ON-TARGETplus Human OPTN(10133) siRNA - SMARTpool, 5 nmol</t>
  </si>
  <si>
    <t>ON-TARGETplus Human GSK3B(2932) siRNA - SMARTpool, 20 nmol</t>
  </si>
  <si>
    <t>Accell Non-targeting Pool, 20 nmol</t>
  </si>
  <si>
    <t>Accell siRNA Delivery Media, 100 mL</t>
  </si>
  <si>
    <t>AM30867955</t>
  </si>
  <si>
    <t>SE043614</t>
  </si>
  <si>
    <t>3421M-2AST-2</t>
  </si>
  <si>
    <t>ELISpot Pro: Monkey IFN-γ (ALP)</t>
  </si>
  <si>
    <t>3623-1</t>
  </si>
  <si>
    <t>PepPool: TB (EspC), scanning</t>
  </si>
  <si>
    <t>3624-1</t>
  </si>
  <si>
    <t>PepPool: TB (ESAT-6), scanning</t>
  </si>
  <si>
    <t>3625-1</t>
  </si>
  <si>
    <t>PepPool: TB (CFP-10) scanning</t>
  </si>
  <si>
    <t>3660-1</t>
  </si>
  <si>
    <t>StimPack: Memory B cells, human</t>
  </si>
  <si>
    <t>3617-1</t>
  </si>
  <si>
    <t>PepPool: CEFTA (CD4), human</t>
  </si>
  <si>
    <t>Anti-human Insulin mAb (E2-E3), unconjugated</t>
  </si>
  <si>
    <t>Anti-human Insulin mAb (2D11-H5), biotin</t>
  </si>
  <si>
    <t>3420-4APW-2</t>
  </si>
  <si>
    <t>ELISpot Plus: Human IFN-γ (ALP)</t>
  </si>
  <si>
    <t>3420-4AST-2</t>
  </si>
  <si>
    <t>NEUBERG SEHGAL</t>
  </si>
  <si>
    <t>D3007531118</t>
  </si>
  <si>
    <t>DC-38</t>
  </si>
  <si>
    <t>BILL NO : T-2671/25-26 DT. 06.03.2026</t>
  </si>
  <si>
    <t>0014</t>
  </si>
  <si>
    <t>DC-39</t>
  </si>
  <si>
    <t>BILL NO : T-53/26-27 DT. 09.04.2026</t>
  </si>
  <si>
    <t>Saturday</t>
  </si>
  <si>
    <t>Hyderabad Eye Research (Sample )</t>
  </si>
  <si>
    <t>Aiims Bilaspur</t>
  </si>
  <si>
    <t>Bilaspur</t>
  </si>
  <si>
    <t>Hold - discuss for Saturday</t>
  </si>
  <si>
    <t>Checked by Dharmendra Sir (Priya Madam took to Home and returned after 7-8 days)</t>
  </si>
  <si>
    <t>LOKESH ENTERPRISES</t>
  </si>
  <si>
    <t>DC-40</t>
  </si>
  <si>
    <t>BILL NO : T-2851/25-26 DT. 28.03.2026</t>
  </si>
  <si>
    <t>JAIN BROTHERS</t>
  </si>
  <si>
    <t>Samples FOC</t>
  </si>
  <si>
    <t>DC-41</t>
  </si>
  <si>
    <t>DC-42</t>
  </si>
  <si>
    <t>Customer Zydus , sent to Techwest FOC</t>
  </si>
  <si>
    <t xml:space="preserve"> </t>
  </si>
  <si>
    <t>DC-45</t>
  </si>
  <si>
    <t>BILL NO : T-2727/26-27 DT. 20.03.2026</t>
  </si>
  <si>
    <t>DC-43</t>
  </si>
  <si>
    <t>INV11730</t>
  </si>
  <si>
    <t>CTLA4:B7-1[Biotinylated] Inhibitor Screening Chemiluminescence Assay Kit</t>
  </si>
  <si>
    <t>260317-K</t>
  </si>
  <si>
    <t>79528-1</t>
  </si>
  <si>
    <t>Growth Medium 1A (500 ml)</t>
  </si>
  <si>
    <t>79544-1</t>
  </si>
  <si>
    <t>Growth Medium 1G (500 ml)</t>
  </si>
  <si>
    <t>60690-2</t>
  </si>
  <si>
    <t>ONE-Step™ Luciferase Assay
System</t>
  </si>
  <si>
    <t>A260318-B260318</t>
  </si>
  <si>
    <t>60187-1</t>
  </si>
  <si>
    <t>Thaw medium 1</t>
  </si>
  <si>
    <t>HDAC assay buffer</t>
  </si>
  <si>
    <t>HDAC developer (2X)</t>
  </si>
  <si>
    <t>HDAC1 Fluorogenic Assay Kit</t>
  </si>
  <si>
    <t>260407-K</t>
  </si>
  <si>
    <t>50076-1</t>
  </si>
  <si>
    <t>HDAC6 Fluorogenic Assay Kit</t>
  </si>
  <si>
    <t>INV11731</t>
  </si>
  <si>
    <t>INV11729</t>
  </si>
  <si>
    <t>INV260501-025</t>
  </si>
  <si>
    <t>TYD-04311</t>
  </si>
  <si>
    <t>INV260501-026</t>
  </si>
  <si>
    <t>T5745</t>
  </si>
  <si>
    <t>T60503</t>
  </si>
  <si>
    <t>TMPY-04180</t>
  </si>
  <si>
    <t>T8223</t>
  </si>
  <si>
    <t>INV260501-027</t>
  </si>
  <si>
    <t>TN6705</t>
  </si>
  <si>
    <t>JV OCTOPUS</t>
  </si>
  <si>
    <t>Biopixel</t>
  </si>
  <si>
    <t>COMPANY PERSON</t>
  </si>
  <si>
    <t>0021</t>
  </si>
  <si>
    <t>FOC - REPLACEMENT</t>
  </si>
  <si>
    <t>Opened for Sampling</t>
  </si>
  <si>
    <t>ApexBio</t>
  </si>
  <si>
    <t>K2241</t>
  </si>
  <si>
    <t>RT AND -20</t>
  </si>
  <si>
    <t>DR. REDDY (BIO SOLUTION)</t>
  </si>
  <si>
    <t>KIIT</t>
  </si>
  <si>
    <t>ODISHA</t>
  </si>
  <si>
    <t>4050-05</t>
  </si>
  <si>
    <t>C0125-T715C</t>
  </si>
  <si>
    <t>MANIPAL</t>
  </si>
  <si>
    <t>DC-46</t>
  </si>
  <si>
    <t>EED125630</t>
  </si>
  <si>
    <t>B484878</t>
  </si>
  <si>
    <t>anti-mouse CD36 500UG</t>
  </si>
  <si>
    <t>B476246</t>
  </si>
  <si>
    <t>anti-mouse/human CD45R/B220 500UG</t>
  </si>
  <si>
    <t>B472651</t>
  </si>
  <si>
    <t>anti-mouse I-A/I-E 100UG</t>
  </si>
  <si>
    <t>B478309</t>
  </si>
  <si>
    <t>anti-mouse CD45.2 100UG</t>
  </si>
  <si>
    <t>B492806</t>
  </si>
  <si>
    <t>anti-mouse CD28 (Superagonistic) Recombinant 100UG</t>
  </si>
  <si>
    <t>B486346</t>
  </si>
  <si>
    <t>anti-mouse CD11c 100UG</t>
  </si>
  <si>
    <t>B491621</t>
  </si>
  <si>
    <t>anti-mouse CD83 50UG</t>
  </si>
  <si>
    <t>B473639</t>
  </si>
  <si>
    <t>anti-mouse FOXP3 100UG</t>
  </si>
  <si>
    <t>B483336</t>
  </si>
  <si>
    <t>anti-mouse CD183 (CXCR3) 500UL</t>
  </si>
  <si>
    <t>B459548</t>
  </si>
  <si>
    <t>anti-mouse CD196 (CCR6) 50UG</t>
  </si>
  <si>
    <t>B483129</t>
  </si>
  <si>
    <t>anti-mouse CD335 (NKp46) 25UG</t>
  </si>
  <si>
    <t>B480588</t>
  </si>
  <si>
    <t>anti-mouse CD19 100UG</t>
  </si>
  <si>
    <t>B484927</t>
  </si>
  <si>
    <t>anti-mouse NK-1.1 25UG</t>
  </si>
  <si>
    <t>B492547</t>
  </si>
  <si>
    <t>anti-human CD16 100T</t>
  </si>
  <si>
    <t>B491997</t>
  </si>
  <si>
    <t>B488646</t>
  </si>
  <si>
    <t>anti-human CD27 100T</t>
  </si>
  <si>
    <t>B477904</t>
  </si>
  <si>
    <t>anti-human CD38 100T</t>
  </si>
  <si>
    <t>B464468</t>
  </si>
  <si>
    <t>anti-human CD62L 100T</t>
  </si>
  <si>
    <t>B484205</t>
  </si>
  <si>
    <t>anti-human CD184 (CXCR4) 100T</t>
  </si>
  <si>
    <t>B458845</t>
  </si>
  <si>
    <t>anti-human CD24 100T</t>
  </si>
  <si>
    <t>B459456</t>
  </si>
  <si>
    <t>B484034</t>
  </si>
  <si>
    <t>anti-human CD158b/j (KIR2DL2/L3/S2) 100T</t>
  </si>
  <si>
    <t>B435632</t>
  </si>
  <si>
    <t>anti-human CD158e1 (KIR3DL1, NKB1) 100T</t>
  </si>
  <si>
    <t>B439764</t>
  </si>
  <si>
    <t>anti-human IgM 100T</t>
  </si>
  <si>
    <t>anti-human CD43 100T</t>
  </si>
  <si>
    <t>B465248</t>
  </si>
  <si>
    <t>anti-human CD206 (MMR) 25T</t>
  </si>
  <si>
    <t>B444308</t>
  </si>
  <si>
    <t>anti-human CD336 (NKp44) 100T</t>
  </si>
  <si>
    <t>B395470</t>
  </si>
  <si>
    <t>B491169</t>
  </si>
  <si>
    <t>anti-human CD319 (CRACC) 25T</t>
  </si>
  <si>
    <t>B483676</t>
  </si>
  <si>
    <t>anti-human CD158 (KIR2DL1/S1/S3/S5) 100T</t>
  </si>
  <si>
    <t>B460449</t>
  </si>
  <si>
    <t>anti-human CD3 100UG</t>
  </si>
  <si>
    <t>B484547</t>
  </si>
  <si>
    <t>B492560</t>
  </si>
  <si>
    <t>anti-human CD127 (IL-7Rα) 100T</t>
  </si>
  <si>
    <t>B491880</t>
  </si>
  <si>
    <t>anti-human LOX-1 25T</t>
  </si>
  <si>
    <t>B493025</t>
  </si>
  <si>
    <t>anti-human CD57 Recombinant 25T</t>
  </si>
  <si>
    <t>B467730</t>
  </si>
  <si>
    <t>anti-human/mouse Granzyme B Recombinant 25T</t>
  </si>
  <si>
    <t>B463030</t>
  </si>
  <si>
    <t>B440721</t>
  </si>
  <si>
    <t>B485962</t>
  </si>
  <si>
    <t>Zombie NIR™ Fixable Viability Kit 500T</t>
  </si>
  <si>
    <t>B490565</t>
  </si>
  <si>
    <t>Swift-Click™ Green EdU Kit 100T</t>
  </si>
  <si>
    <t>Human CD4 T Cell Isolation Kit 100T</t>
  </si>
  <si>
    <t>B485667</t>
  </si>
  <si>
    <t>Human CD8 T Cell Isolation Kit 100T</t>
  </si>
  <si>
    <t>B492603</t>
  </si>
  <si>
    <t>Human NK Cell Isolation Kit 20T</t>
  </si>
  <si>
    <t>B488542</t>
  </si>
  <si>
    <t>anti-human IL-10 100T</t>
  </si>
  <si>
    <t>B488856</t>
  </si>
  <si>
    <t>B480358</t>
  </si>
  <si>
    <t>B414070</t>
  </si>
  <si>
    <t>B486318</t>
  </si>
  <si>
    <t>anti-mouse IL-6 25UG</t>
  </si>
  <si>
    <t>B492976</t>
  </si>
  <si>
    <t>anti-human IL-9 100T</t>
  </si>
  <si>
    <t>B465612</t>
  </si>
  <si>
    <t>Human TNF-α (carrier-free) 10UG</t>
  </si>
  <si>
    <t>B447994</t>
  </si>
  <si>
    <t>Human IFN-γ (carrier-free) 10UG</t>
  </si>
  <si>
    <t>B461333</t>
  </si>
  <si>
    <t>Human GM-CSF (carrier-free) 25UG</t>
  </si>
  <si>
    <t>B457416</t>
  </si>
  <si>
    <t>Human IL-4 (carrier-free) 25UG</t>
  </si>
  <si>
    <t>B476412</t>
  </si>
  <si>
    <t>Human IL-1β (carrier-free) 25UG</t>
  </si>
  <si>
    <t>B429894</t>
  </si>
  <si>
    <t>anti-STAT3 Phospho (Ser727) 100T</t>
  </si>
  <si>
    <t>B432488</t>
  </si>
  <si>
    <t>HU Immune Checkpoint Panel 1 Detection Antibodies 100T_3.3ML</t>
  </si>
  <si>
    <t>B345808</t>
  </si>
  <si>
    <t>HU Immune Checkpoint Panel 1 Standard 1VIAL</t>
  </si>
  <si>
    <t>B345809</t>
  </si>
  <si>
    <t>Human sCD25 (IL-2Ra) Capture Bead A4, 13X 100T_270UL</t>
  </si>
  <si>
    <t>B365195</t>
  </si>
  <si>
    <t>Buffer Set M 100T</t>
  </si>
  <si>
    <t>B482007</t>
  </si>
  <si>
    <t>HOMI BABA</t>
  </si>
  <si>
    <t>DR LAL</t>
  </si>
  <si>
    <t>SYNERGY</t>
  </si>
  <si>
    <t>4 AND -20</t>
  </si>
  <si>
    <t>MP/LS/26-27/0216</t>
  </si>
  <si>
    <t>0215878291</t>
  </si>
  <si>
    <t>CE04006</t>
  </si>
  <si>
    <t>U1126085278</t>
  </si>
  <si>
    <t>02160047.2</t>
  </si>
  <si>
    <t>MP/LS/26-27/0219</t>
  </si>
  <si>
    <t>EED125744</t>
  </si>
  <si>
    <t>anti-mouse CD317 (BST2, PDCA-1) 100UG</t>
  </si>
  <si>
    <t>B462134</t>
  </si>
  <si>
    <t>anti-mouse CD194 (CCR4) 100UG</t>
  </si>
  <si>
    <t>B494359</t>
  </si>
  <si>
    <t>anti-human CD4 100UG</t>
  </si>
  <si>
    <t>B494185</t>
  </si>
  <si>
    <t>anti-human CD8a 100UG</t>
  </si>
  <si>
    <t>B458513</t>
  </si>
  <si>
    <t>anti-human CD20 100T</t>
  </si>
  <si>
    <t>B458207</t>
  </si>
  <si>
    <t>anti-human CD335 (NKp46) 100T</t>
  </si>
  <si>
    <t>B384907</t>
  </si>
  <si>
    <t>B483268</t>
  </si>
  <si>
    <t>anti-human CD304 (Neuropilin-1) 25T</t>
  </si>
  <si>
    <t>B494171</t>
  </si>
  <si>
    <t>anti-human CD11a/CD18 (LFA-1) 25T</t>
  </si>
  <si>
    <t>B493674</t>
  </si>
  <si>
    <t>anti-human IgG Fc Recombinant 100T</t>
  </si>
  <si>
    <t>B488301</t>
  </si>
  <si>
    <t>B492751</t>
  </si>
  <si>
    <t>anti-human TIGIT (VSTM3) 100T</t>
  </si>
  <si>
    <t>B438262</t>
  </si>
  <si>
    <t>anti-human IgG Fc 100T</t>
  </si>
  <si>
    <t>B481053</t>
  </si>
  <si>
    <t>Annexin V Binding Buffer 100ML</t>
  </si>
  <si>
    <t>B484857</t>
  </si>
  <si>
    <t>B491386</t>
  </si>
  <si>
    <t>Human B Cell Panel Detection Antibodies 100T_3.3ML</t>
  </si>
  <si>
    <t>B485660</t>
  </si>
  <si>
    <t>Human B Cell Panel Standard 1VIAL</t>
  </si>
  <si>
    <t>B464126</t>
  </si>
  <si>
    <t>Human IL-12p70 Capture Beads B5, 13X 100T_270UL</t>
  </si>
  <si>
    <t>B464127</t>
  </si>
  <si>
    <t>Human BAFF Capture Beads B7, 13X 100T_270UL</t>
  </si>
  <si>
    <t>B339175</t>
  </si>
  <si>
    <t>HU Th Cytokine Panel (12-plex) w/ VbP V02 100T</t>
  </si>
  <si>
    <t>B494146</t>
  </si>
  <si>
    <t>Buffer Set A7 100T</t>
  </si>
  <si>
    <t>B471740</t>
  </si>
  <si>
    <t>Human IL-17A Capture Beads B4, 13X 100T_270UL</t>
  </si>
  <si>
    <t>B373187</t>
  </si>
  <si>
    <t>Human IL-13 Capture Bead A5, 13X 100T_270UL</t>
  </si>
  <si>
    <t>B373186</t>
  </si>
  <si>
    <t>Custom Human Panel 2655 100T</t>
  </si>
  <si>
    <t>B491607</t>
  </si>
  <si>
    <t>Item Missing from shipment complaint raised</t>
  </si>
  <si>
    <t>LV PRASAD</t>
  </si>
  <si>
    <t>I256347</t>
  </si>
  <si>
    <t>GENEI  LAB</t>
  </si>
  <si>
    <t>PROMEA</t>
  </si>
  <si>
    <t>PI HEALTH</t>
  </si>
  <si>
    <t>3416-1H-20</t>
  </si>
  <si>
    <t>3460-1H-20</t>
  </si>
  <si>
    <t>3512-1H-20</t>
  </si>
  <si>
    <t>3420-1H-20</t>
  </si>
  <si>
    <t>3445-1H-20</t>
  </si>
  <si>
    <t>3850-1H-20</t>
  </si>
  <si>
    <t>3560-1H-20</t>
  </si>
  <si>
    <t>3652-F10</t>
  </si>
  <si>
    <t>3652-D2</t>
  </si>
  <si>
    <t>3430-1H-20</t>
  </si>
  <si>
    <t>3420-4APT-10</t>
  </si>
  <si>
    <t>DC-53</t>
  </si>
  <si>
    <t>BILL NO. T-2729/25-26 DT. 20-03-2026</t>
  </si>
  <si>
    <t>SULTANPUR</t>
  </si>
  <si>
    <t>DC-52</t>
  </si>
  <si>
    <t>BILL NO. T-2760/25-26, DT. 24.03.2026</t>
  </si>
  <si>
    <t>261519300483</t>
  </si>
  <si>
    <t>D1016243205</t>
  </si>
  <si>
    <t>D1016243204</t>
  </si>
  <si>
    <t>BETHYL</t>
  </si>
  <si>
    <t>A300-301A</t>
  </si>
  <si>
    <t>A300-354A</t>
  </si>
  <si>
    <t>DC-47</t>
  </si>
  <si>
    <t>DC-48</t>
  </si>
  <si>
    <t>BILL NO : T-164/26-27 DT. 23.04.2026</t>
  </si>
  <si>
    <t>DC-49</t>
  </si>
  <si>
    <t>DC-50</t>
  </si>
  <si>
    <t>FOC AGAINST BILL NO : T-279/26-27 DT. 08.05.2026</t>
  </si>
  <si>
    <t>DC-51</t>
  </si>
  <si>
    <t>DC-54</t>
  </si>
  <si>
    <t>DC-55</t>
  </si>
  <si>
    <t xml:space="preserve">FOC BY PRIYNKA MADAM, PORTER TO GEETANJALI </t>
  </si>
  <si>
    <t>DC-56</t>
  </si>
  <si>
    <t>SHIKHAR ASSOCIATES</t>
  </si>
  <si>
    <t>HYDERABAD EYE RESEARCH</t>
  </si>
  <si>
    <t>RECEIVED FOR LV PRASAD</t>
  </si>
  <si>
    <t>MBS2702034</t>
  </si>
  <si>
    <t>MBS2020065</t>
  </si>
  <si>
    <t>L260414438</t>
  </si>
  <si>
    <t>L260414410</t>
  </si>
  <si>
    <t>ONYX TECHNOSERVE</t>
  </si>
  <si>
    <t>OTS/26-27/1150</t>
  </si>
  <si>
    <t>407-2069-42</t>
  </si>
  <si>
    <t>HYCOSMID</t>
  </si>
  <si>
    <t>926708A</t>
  </si>
  <si>
    <t>MBS1195746</t>
  </si>
  <si>
    <t>MBS355513</t>
  </si>
  <si>
    <t>PLANTERS</t>
  </si>
  <si>
    <t>GUWAHATI</t>
  </si>
  <si>
    <t>MIRUS BIO</t>
  </si>
  <si>
    <t>SI140196</t>
  </si>
  <si>
    <t>MIR6270</t>
  </si>
  <si>
    <t>RT, 4, -20</t>
  </si>
  <si>
    <t>SI140199</t>
  </si>
  <si>
    <t>MIR6700</t>
  </si>
  <si>
    <t>PART SHIPMENT PENDING</t>
  </si>
  <si>
    <t>BE0471</t>
  </si>
  <si>
    <t>InVivoMAb anti-mouse NKp46 (CD335), 29AI.4, 100mg (25mg x 4)</t>
  </si>
  <si>
    <t>1067126J1</t>
  </si>
  <si>
    <t>VIGANAHAR</t>
  </si>
  <si>
    <t>DC-57</t>
  </si>
  <si>
    <t>0022</t>
  </si>
  <si>
    <t>DC-58</t>
  </si>
  <si>
    <t>DC-59</t>
  </si>
  <si>
    <t>DC-60</t>
  </si>
  <si>
    <t>Samples</t>
  </si>
  <si>
    <t>MP/LS/26-27/0286</t>
  </si>
  <si>
    <t>Streptavidin</t>
  </si>
  <si>
    <t>anti-p53</t>
  </si>
  <si>
    <t>Buffer (5X)</t>
  </si>
  <si>
    <t>anti-human CD326 (EpCAM)</t>
  </si>
  <si>
    <t>anti-human HLA-F</t>
  </si>
  <si>
    <t>anti-human CD304 (Neuropilin-1)</t>
  </si>
  <si>
    <t>Streptavidin (High Concentration)</t>
  </si>
  <si>
    <t>anti-mouse CD205 (DEC-205)</t>
  </si>
  <si>
    <t>SHP0003987</t>
  </si>
  <si>
    <t>Batch Release not received (checked by dharmendra sir)_</t>
  </si>
  <si>
    <t>Checked By Tannu</t>
  </si>
  <si>
    <t>SI140325</t>
  </si>
  <si>
    <t>SI140326</t>
  </si>
  <si>
    <t>MIR6000</t>
  </si>
  <si>
    <t>TRANSIT-VIRUSGEN 1.5ML</t>
  </si>
  <si>
    <t>B477843</t>
  </si>
  <si>
    <t>B477805</t>
  </si>
  <si>
    <t>B425577</t>
  </si>
  <si>
    <t>B488158</t>
  </si>
  <si>
    <t>B454148</t>
  </si>
  <si>
    <t>B455823</t>
  </si>
  <si>
    <t>B476546</t>
  </si>
  <si>
    <t>B481143</t>
  </si>
  <si>
    <t>B459161</t>
  </si>
  <si>
    <t>BT001683</t>
  </si>
  <si>
    <t>B472661</t>
  </si>
  <si>
    <t>B490535</t>
  </si>
  <si>
    <t>B483301</t>
  </si>
  <si>
    <t>D1016243216</t>
  </si>
  <si>
    <t>D1016243217</t>
  </si>
  <si>
    <t>0023</t>
  </si>
  <si>
    <t>Extra Purchased by Priya Madam</t>
  </si>
  <si>
    <t>U1124264995</t>
  </si>
  <si>
    <t>261519300484</t>
  </si>
  <si>
    <t>VS0622</t>
  </si>
  <si>
    <t>VC1051</t>
  </si>
  <si>
    <t>VF-S050P0300-IV</t>
  </si>
  <si>
    <t>16553--K</t>
  </si>
  <si>
    <t>261519300552</t>
  </si>
  <si>
    <t>H2O-S-PACK</t>
  </si>
  <si>
    <t>5441307H4-CE</t>
  </si>
  <si>
    <t>H2O-CBS-5-S</t>
  </si>
  <si>
    <t>T0095807</t>
  </si>
  <si>
    <t>H2O-CPR</t>
  </si>
  <si>
    <t>H2O-MA-UV-T</t>
  </si>
  <si>
    <t>H2O-CUF</t>
  </si>
  <si>
    <t>PI250747</t>
  </si>
  <si>
    <t>INV260515-087</t>
  </si>
  <si>
    <t>T9410</t>
  </si>
  <si>
    <t>T36948</t>
  </si>
  <si>
    <t>T10692</t>
  </si>
  <si>
    <t>T39766</t>
  </si>
  <si>
    <t>INV260515-090</t>
  </si>
  <si>
    <t>T1894</t>
  </si>
  <si>
    <t>TMPY-02638</t>
  </si>
  <si>
    <t>T7064</t>
  </si>
  <si>
    <t>T7285</t>
  </si>
  <si>
    <t>TQ0198</t>
  </si>
  <si>
    <t>INV260515-092</t>
  </si>
  <si>
    <t>T1835</t>
  </si>
  <si>
    <t>INVICTUS</t>
  </si>
  <si>
    <t>INV260515-093</t>
  </si>
  <si>
    <t>T80025</t>
  </si>
  <si>
    <t>Sambhav Enterprises</t>
  </si>
  <si>
    <t>ELS/26-27/0258</t>
  </si>
  <si>
    <t>A300-665A-T</t>
  </si>
  <si>
    <t>EVERON LIFE SCIENCE</t>
  </si>
  <si>
    <t>NITTE</t>
  </si>
  <si>
    <t>3420-4APT-2</t>
  </si>
  <si>
    <t>O051526IN3360560G</t>
  </si>
  <si>
    <t>CTM-1252239</t>
  </si>
  <si>
    <r>
      <rPr>
        <sz val="11"/>
        <rFont val="Arial"/>
        <family val="2"/>
      </rPr>
      <t>RRM2 06 Invivo siSTABLE
: Custom siRNA, in vivo 10 µmol siSTABLE</t>
    </r>
  </si>
  <si>
    <t>CTM-1245420</t>
  </si>
  <si>
    <t>GG: Custom RNA, 1.0 µmol</t>
  </si>
  <si>
    <t>CTM-1245421</t>
  </si>
  <si>
    <t>GGG: Custom RNA, 1.0 µmol</t>
  </si>
  <si>
    <t>CTM-1245424</t>
  </si>
  <si>
    <r>
      <rPr>
        <sz val="11"/>
        <rFont val="Arial"/>
        <family val="2"/>
      </rPr>
      <t>GGGGGG: Custom RNA, 1.0
µmol</t>
    </r>
  </si>
  <si>
    <t>CTM-1245423</t>
  </si>
  <si>
    <t>GGGGG: Custom RNA, 1.0 µmol</t>
  </si>
  <si>
    <t>CTM-1245422</t>
  </si>
  <si>
    <t>GGGG: Custom RNA, 1.0 µmol</t>
  </si>
  <si>
    <t>TLP5912</t>
  </si>
  <si>
    <t>Trans-Lentiviral shRNA Packaging Kit with Calcium Phosphate (10 reactions), 10 rxn kit</t>
  </si>
  <si>
    <t>D24103101 PM250811 HB231129728 L20230130B</t>
  </si>
  <si>
    <t>L-012580-01-0010</t>
  </si>
  <si>
    <r>
      <rPr>
        <sz val="11"/>
        <rFont val="Arial"/>
        <family val="2"/>
      </rPr>
      <t>ON-TARGETplus Human BLOC1S1 (2647) siRNA -
SMARTpool, 10 nmol</t>
    </r>
  </si>
  <si>
    <t>D-001910-01-05</t>
  </si>
  <si>
    <t>Accell Non-targeting siRNA #1, 5 nmol</t>
  </si>
  <si>
    <t>A-017848-14-0005</t>
  </si>
  <si>
    <t>Accell Human NDUFB1 (4707) siRNA - Individual, 5 nmol</t>
  </si>
  <si>
    <t>A-017848-15-0005</t>
  </si>
  <si>
    <t>A-007943-17-0005</t>
  </si>
  <si>
    <t>Accell Human IL17RA (23765) siRNA - Individual, 5 nmol</t>
  </si>
  <si>
    <t>A-017848-13-0005</t>
  </si>
  <si>
    <t>A-007943-15-0005</t>
  </si>
  <si>
    <t>A-007943-16-0005</t>
  </si>
  <si>
    <t>L-004990-00-0010</t>
  </si>
  <si>
    <r>
      <rPr>
        <sz val="11"/>
        <rFont val="Arial"/>
        <family val="2"/>
      </rPr>
      <t>ON-TARGETplus Human AHR
(196) siRNA - SMARTpool, 10
nmol</t>
    </r>
  </si>
  <si>
    <t>CTM-1252834</t>
  </si>
  <si>
    <t>Control siRNA #1: Custom siRNA, Standard 0.025 µmol Regular</t>
  </si>
  <si>
    <t>L-012368-00-0010</t>
  </si>
  <si>
    <r>
      <rPr>
        <sz val="11"/>
        <rFont val="Arial"/>
        <family val="2"/>
      </rPr>
      <t>ON-TARGETplus Human GABARAP (11337) siRNA -
SMARTpool, 10 nmol</t>
    </r>
  </si>
  <si>
    <t>YSC1050</t>
  </si>
  <si>
    <t>Yeast Parental Strain BY4743 , glycerol stock</t>
  </si>
  <si>
    <t>Y20240109A</t>
  </si>
  <si>
    <t>YSC6274-201925380</t>
  </si>
  <si>
    <t>Yeast HetDip Knock Out Strain YLR113W, 1 each</t>
  </si>
  <si>
    <t>OEC4987-213605872</t>
  </si>
  <si>
    <t>ORF E. coli CloneId:JW3146, glycerol stock</t>
  </si>
  <si>
    <t>JW3146</t>
  </si>
  <si>
    <t>SB-P-LV-101-11</t>
  </si>
  <si>
    <t>LentiBOOST Lentivirus Transduction Enhancer, Pharma- Grade, 0.5 mL</t>
  </si>
  <si>
    <r>
      <rPr>
        <sz val="11"/>
        <rFont val="Arial"/>
        <family val="2"/>
      </rPr>
      <t>IP1525_338-
6_R_30</t>
    </r>
  </si>
  <si>
    <t>B-005000-500</t>
  </si>
  <si>
    <t>Accell siRNA Delivery Media, 500 mL</t>
  </si>
  <si>
    <t>T-2002-02</t>
  </si>
  <si>
    <r>
      <rPr>
        <sz val="11"/>
        <rFont val="Arial"/>
        <family val="2"/>
      </rPr>
      <t>DharmaFECT 2 Transfection
Reagent, 0.75 mL</t>
    </r>
  </si>
  <si>
    <t>IISER PUNE</t>
  </si>
  <si>
    <t>KRIC</t>
  </si>
  <si>
    <t>949225J3</t>
  </si>
  <si>
    <t>1096526A1</t>
  </si>
  <si>
    <t>ANTHOM</t>
  </si>
  <si>
    <t>EXTRA ITEM IN BILL SP007-0500 QTY 3</t>
  </si>
  <si>
    <t>10--10-27</t>
  </si>
  <si>
    <t>sent to Imtech chandigarh</t>
  </si>
  <si>
    <t>Genei</t>
  </si>
  <si>
    <t>2026-27/26MFG</t>
  </si>
  <si>
    <t>0602100031730</t>
  </si>
  <si>
    <t>0602100051730</t>
  </si>
  <si>
    <t>MME218046</t>
  </si>
  <si>
    <t>MME217026</t>
  </si>
  <si>
    <t>GENEI LAB</t>
  </si>
  <si>
    <t>Payment Pending</t>
  </si>
  <si>
    <t>Dispatch Details pending</t>
  </si>
  <si>
    <t>B488517</t>
  </si>
  <si>
    <t>B453657</t>
  </si>
  <si>
    <t>anti-human IL-2</t>
  </si>
  <si>
    <t>B431778</t>
  </si>
  <si>
    <t>B477977</t>
  </si>
  <si>
    <t>B460489</t>
  </si>
  <si>
    <t>anti-human CD183 (CXCR3)</t>
  </si>
  <si>
    <t>B436104</t>
  </si>
  <si>
    <t>anti-human Ki-67</t>
  </si>
  <si>
    <t>B491458</t>
  </si>
  <si>
    <t>B472143</t>
  </si>
  <si>
    <t>B468293</t>
  </si>
  <si>
    <t>B475575</t>
  </si>
  <si>
    <t>B487238</t>
  </si>
  <si>
    <t>B484046</t>
  </si>
  <si>
    <t>B477659</t>
  </si>
  <si>
    <t>B486508</t>
  </si>
  <si>
    <t>Rainbow Calibration Particles, 8 peaks, 3.0-3.4 µm</t>
  </si>
  <si>
    <t>B467570</t>
  </si>
  <si>
    <t>B438068</t>
  </si>
  <si>
    <t>anti-human CD196 (CCR6)</t>
  </si>
  <si>
    <t>B489696</t>
  </si>
  <si>
    <t>B493774</t>
  </si>
  <si>
    <t>B478195</t>
  </si>
  <si>
    <t>B491039</t>
  </si>
  <si>
    <t>B461910</t>
  </si>
  <si>
    <t>Cyto-Last™ Buffer</t>
  </si>
  <si>
    <t>B486511</t>
  </si>
  <si>
    <t>Mouse IL-4</t>
  </si>
  <si>
    <t>B443477</t>
  </si>
  <si>
    <t>Mouse IgE</t>
  </si>
  <si>
    <t>B458148</t>
  </si>
  <si>
    <t>B488185</t>
  </si>
  <si>
    <t>B487956</t>
  </si>
  <si>
    <t>anti-human CD107a (LAMP-1)</t>
  </si>
  <si>
    <t>B436581</t>
  </si>
  <si>
    <t>B472144</t>
  </si>
  <si>
    <t>anti-human HLA-A2</t>
  </si>
  <si>
    <t>B469613</t>
  </si>
  <si>
    <t>B441890</t>
  </si>
  <si>
    <t>anti-mouse CX3CR1</t>
  </si>
  <si>
    <t>B471514</t>
  </si>
  <si>
    <t>anti-mouse CD64 (FcγRI)</t>
  </si>
  <si>
    <t>B487451</t>
  </si>
  <si>
    <t>B457764</t>
  </si>
  <si>
    <t>B453674</t>
  </si>
  <si>
    <t>B494191</t>
  </si>
  <si>
    <t>anti-human CD64</t>
  </si>
  <si>
    <t>B445765</t>
  </si>
  <si>
    <t>anti-mouse IL-10</t>
  </si>
  <si>
    <t>B471312</t>
  </si>
  <si>
    <t>anti-mouse IL-9</t>
  </si>
  <si>
    <t>B465854</t>
  </si>
  <si>
    <t>B475859</t>
  </si>
  <si>
    <t>anti-mouse IL-4</t>
  </si>
  <si>
    <t>B455475</t>
  </si>
  <si>
    <t>B492356</t>
  </si>
  <si>
    <t>anti-mouse CD5</t>
  </si>
  <si>
    <t>B456518</t>
  </si>
  <si>
    <t>B471374</t>
  </si>
  <si>
    <t>anti-mouse CD1d (CD1.1, Ly-38)</t>
  </si>
  <si>
    <t>B389797</t>
  </si>
  <si>
    <t>B488453</t>
  </si>
  <si>
    <t>B480787</t>
  </si>
  <si>
    <t>B488821</t>
  </si>
  <si>
    <t>BT000261</t>
  </si>
  <si>
    <t>B489637</t>
  </si>
  <si>
    <t>anti-human CD104</t>
  </si>
  <si>
    <t>B456885</t>
  </si>
  <si>
    <t>B493974</t>
  </si>
  <si>
    <t>B453104</t>
  </si>
  <si>
    <t>B477425</t>
  </si>
  <si>
    <t>B487753</t>
  </si>
  <si>
    <t>B483887</t>
  </si>
  <si>
    <t>B473902</t>
  </si>
  <si>
    <t>B474147</t>
  </si>
  <si>
    <t>anti-mouse CD80</t>
  </si>
  <si>
    <t>B472805</t>
  </si>
  <si>
    <t>anti-mouse CD86</t>
  </si>
  <si>
    <t>B438619</t>
  </si>
  <si>
    <t>B480270</t>
  </si>
  <si>
    <t>anti-human CXCL10 (IP-10)</t>
  </si>
  <si>
    <t>B469306</t>
  </si>
  <si>
    <t>B494053</t>
  </si>
  <si>
    <t>B324796</t>
  </si>
  <si>
    <t>Avidin</t>
  </si>
  <si>
    <t>B483056</t>
  </si>
  <si>
    <t>B484635</t>
  </si>
  <si>
    <t>B483296</t>
  </si>
  <si>
    <t>Precision Count Beads™</t>
  </si>
  <si>
    <t>B492103</t>
  </si>
  <si>
    <t>B444639</t>
  </si>
  <si>
    <t>Apotracker™ Green</t>
  </si>
  <si>
    <t>B493992</t>
  </si>
  <si>
    <t>Mouse CD3 T Cell Isolation Kit</t>
  </si>
  <si>
    <t>B483423</t>
  </si>
  <si>
    <t>B472262</t>
  </si>
  <si>
    <t>B477342</t>
  </si>
  <si>
    <t>B489071</t>
  </si>
  <si>
    <t>B487780</t>
  </si>
  <si>
    <t>B477453</t>
  </si>
  <si>
    <t>B476267</t>
  </si>
  <si>
    <t>B469778</t>
  </si>
  <si>
    <t>B453786</t>
  </si>
  <si>
    <t>anti-mouse CD16</t>
  </si>
  <si>
    <t>B471572</t>
  </si>
  <si>
    <t>anti-mouse CD278 (ICOS)</t>
  </si>
  <si>
    <t>B466782</t>
  </si>
  <si>
    <t>B488638</t>
  </si>
  <si>
    <t>B466955</t>
  </si>
  <si>
    <t>anti-mouse CD274 (B7-H1, PD-L1)</t>
  </si>
  <si>
    <t>B490508</t>
  </si>
  <si>
    <t>anti-mouse CD24</t>
  </si>
  <si>
    <t>B482716</t>
  </si>
  <si>
    <t>anti-mouse CD47</t>
  </si>
  <si>
    <t>B484754</t>
  </si>
  <si>
    <t>Mouse IL-4 (carrier-free)</t>
  </si>
  <si>
    <t>B460794</t>
  </si>
  <si>
    <t>Mouse IFN-γ (carrier-free)</t>
  </si>
  <si>
    <t>B488746</t>
  </si>
  <si>
    <t>Monensin Solution (1,000X)</t>
  </si>
  <si>
    <t>B483400</t>
  </si>
  <si>
    <t>B452682</t>
  </si>
  <si>
    <t>B477454</t>
  </si>
  <si>
    <t>B492820</t>
  </si>
  <si>
    <t>B470815</t>
  </si>
  <si>
    <t>anti-mouse CD127 (IL-7Rα)</t>
  </si>
  <si>
    <t>B410059</t>
  </si>
  <si>
    <t>anti-mouse CD357 (GITR)</t>
  </si>
  <si>
    <t>B475154</t>
  </si>
  <si>
    <t>anti-mouse CD152</t>
  </si>
  <si>
    <t>B483463</t>
  </si>
  <si>
    <t>B486855</t>
  </si>
  <si>
    <t>B453082</t>
  </si>
  <si>
    <t>anti-mouse/human CD44</t>
  </si>
  <si>
    <t>B479581</t>
  </si>
  <si>
    <t>B478105</t>
  </si>
  <si>
    <t>B484064</t>
  </si>
  <si>
    <t>B459860</t>
  </si>
  <si>
    <t>B470782</t>
  </si>
  <si>
    <t>B464008</t>
  </si>
  <si>
    <t>B466621</t>
  </si>
  <si>
    <t>Human IL-7 (carrier-free)</t>
  </si>
  <si>
    <t>B478999</t>
  </si>
  <si>
    <t>Human IL-15 (carrier-free)</t>
  </si>
  <si>
    <t>B454362</t>
  </si>
  <si>
    <t>Human IL-2 (carrier-free)</t>
  </si>
  <si>
    <t>B474486</t>
  </si>
  <si>
    <t>anti-human CD11b (activated)</t>
  </si>
  <si>
    <t>B451752</t>
  </si>
  <si>
    <t>B453713</t>
  </si>
  <si>
    <t>anti-human CD163</t>
  </si>
  <si>
    <t>B458975</t>
  </si>
  <si>
    <t>B494369</t>
  </si>
  <si>
    <t>B363619</t>
  </si>
  <si>
    <t>Human M-CSF (carrier-free)</t>
  </si>
  <si>
    <t>B477541</t>
  </si>
  <si>
    <t>B494685</t>
  </si>
  <si>
    <t>B486794</t>
  </si>
  <si>
    <t>B491495</t>
  </si>
  <si>
    <t>anti-mouse IL-23R</t>
  </si>
  <si>
    <t>B443443</t>
  </si>
  <si>
    <t>B483333</t>
  </si>
  <si>
    <t>B468509</t>
  </si>
  <si>
    <t>anti-STAT3</t>
  </si>
  <si>
    <t>B482804</t>
  </si>
  <si>
    <t>B454308</t>
  </si>
  <si>
    <t>B489229</t>
  </si>
  <si>
    <t>B457173</t>
  </si>
  <si>
    <t>B462504</t>
  </si>
  <si>
    <t>B472652</t>
  </si>
  <si>
    <t>B469667</t>
  </si>
  <si>
    <t>B474251</t>
  </si>
  <si>
    <t>anti-mouse Ly-6G (Maxpar® Ready)</t>
  </si>
  <si>
    <t>B343793</t>
  </si>
  <si>
    <t>B393349</t>
  </si>
  <si>
    <t>anti-human HLA-DR, DP, DQ</t>
  </si>
  <si>
    <t>B343418</t>
  </si>
  <si>
    <t>B486467</t>
  </si>
  <si>
    <t>B466417</t>
  </si>
  <si>
    <t>B478206</t>
  </si>
  <si>
    <t>B448242</t>
  </si>
  <si>
    <t>B484159</t>
  </si>
  <si>
    <t>B462992</t>
  </si>
  <si>
    <t>B482687</t>
  </si>
  <si>
    <t>B470296</t>
  </si>
  <si>
    <t>B477765</t>
  </si>
  <si>
    <t>B448535</t>
  </si>
  <si>
    <t>anti-mouse Arginase 1</t>
  </si>
  <si>
    <t>B461713</t>
  </si>
  <si>
    <t>anti-Nos2 (iNOS)</t>
  </si>
  <si>
    <t>B489070</t>
  </si>
  <si>
    <t>B490316</t>
  </si>
  <si>
    <t>Intas</t>
  </si>
  <si>
    <t>global access</t>
  </si>
  <si>
    <t>GK Bio</t>
  </si>
  <si>
    <t>farcast</t>
  </si>
  <si>
    <t>imtech</t>
  </si>
  <si>
    <t>IIT Bombay</t>
  </si>
  <si>
    <t>actrec</t>
  </si>
  <si>
    <t>NIAB</t>
  </si>
  <si>
    <t>miranda house</t>
  </si>
  <si>
    <t>neuberg</t>
  </si>
  <si>
    <t>aragen</t>
  </si>
  <si>
    <t>abhi bio</t>
  </si>
  <si>
    <t>bionova</t>
  </si>
  <si>
    <t>Bio Chain</t>
  </si>
  <si>
    <t>jubilant</t>
  </si>
  <si>
    <t>SHP0005963</t>
  </si>
  <si>
    <t>DC-63</t>
  </si>
  <si>
    <t>DC-64</t>
  </si>
  <si>
    <t>DC-65</t>
  </si>
  <si>
    <t>PACK SIZE DIFFRENCE TOTAL 8 QTY ON INOVOICE</t>
  </si>
  <si>
    <t>CYTOSCKELETON</t>
  </si>
  <si>
    <t>BE0328</t>
  </si>
  <si>
    <t>792223J3</t>
  </si>
  <si>
    <t>CYTOSKELETON</t>
  </si>
  <si>
    <t>MG04-02</t>
  </si>
  <si>
    <t>PROGEN BIOLAB</t>
  </si>
  <si>
    <t>BE0174</t>
  </si>
  <si>
    <t>848523S1</t>
  </si>
  <si>
    <t>porter</t>
  </si>
  <si>
    <t>Global Access</t>
  </si>
  <si>
    <t>GK BIO</t>
  </si>
  <si>
    <t>D1016675404</t>
  </si>
  <si>
    <t>DELIVERED</t>
  </si>
  <si>
    <t>D1016675405</t>
  </si>
  <si>
    <t>on bill T12240 item code mentioned</t>
  </si>
  <si>
    <t>APEX BIO</t>
  </si>
  <si>
    <t>300089416, 300089415</t>
  </si>
  <si>
    <t>F1639-.1</t>
  </si>
  <si>
    <t>B8131-.1</t>
  </si>
  <si>
    <t>K2841-100</t>
  </si>
  <si>
    <t>K2843-100</t>
  </si>
  <si>
    <t>K2844-100</t>
  </si>
  <si>
    <t>K2846-500</t>
  </si>
  <si>
    <t>CM1014-100</t>
  </si>
  <si>
    <t>Anti-Albumin Antibody (Numab patent anti-HSA)_x000D_
100ug</t>
  </si>
  <si>
    <t>3'-dATP 100ul (100 mM)</t>
  </si>
  <si>
    <t>Tissue Dissociation Solution 100mL</t>
  </si>
  <si>
    <t>Organoid Dissociation Solution 100mL</t>
  </si>
  <si>
    <t>Organoid Cryopreservation Medium 100mL</t>
  </si>
  <si>
    <t>Organoid Wash Buffer 500mL</t>
  </si>
  <si>
    <t>Human Gallbladder Cancer Organoid Growth_x000D_
Medium 100mL</t>
  </si>
  <si>
    <t>ABD BIOTECH</t>
  </si>
  <si>
    <t>0024</t>
  </si>
  <si>
    <t>;0025</t>
  </si>
  <si>
    <t>DC-66</t>
  </si>
  <si>
    <t>FOC AGAINST BILL NO : T-393/26-27 DT. 26.05.2026</t>
  </si>
  <si>
    <t>DC-67</t>
  </si>
  <si>
    <t>WILL BE BILLED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</si>
</sst>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0\°"/>
    <numFmt numFmtId="165" formatCode="_(&quot;$&quot;* #,##0.00_);_(&quot;$&quot;* \(#,##0.00\);_(&quot;$&quot;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4"/>
      <color theme="1" tint="4.9989318521683403E-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Bookman Old Style"/>
      <family val="1"/>
    </font>
    <font>
      <sz val="11"/>
      <name val="Bookman Old Style"/>
      <family val="1"/>
    </font>
    <font>
      <sz val="11"/>
      <color rgb="FF000000"/>
      <name val="Calibri"/>
      <family val="2"/>
      <scheme val="minor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5" fontId="5" fillId="0" borderId="0" applyFont="0" applyFill="0" applyBorder="0" applyAlignment="0" applyProtection="0"/>
    <xf numFmtId="0" fontId="6" fillId="0" borderId="0"/>
  </cellStyleXfs>
  <cellXfs count="81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0" borderId="1" xfId="0" applyFont="1" applyBorder="1"/>
    <xf numFmtId="14" fontId="1" fillId="0" borderId="1" xfId="0" applyNumberFormat="1" applyFont="1" applyBorder="1"/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44" fontId="1" fillId="0" borderId="1" xfId="0" applyNumberFormat="1" applyFont="1" applyBorder="1"/>
    <xf numFmtId="44" fontId="0" fillId="0" borderId="1" xfId="0" applyNumberFormat="1" applyBorder="1"/>
    <xf numFmtId="44" fontId="0" fillId="0" borderId="0" xfId="0" applyNumberFormat="1"/>
    <xf numFmtId="44" fontId="0" fillId="0" borderId="1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4" fontId="0" fillId="2" borderId="1" xfId="0" applyNumberFormat="1" applyFill="1" applyBorder="1" applyAlignment="1">
      <alignment horizontal="center" vertical="center"/>
    </xf>
    <xf numFmtId="44" fontId="0" fillId="2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/>
    </xf>
    <xf numFmtId="44" fontId="0" fillId="2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1" xfId="0" quotePrefix="1" applyFill="1" applyBorder="1" applyAlignment="1">
      <alignment horizontal="center" vertical="center"/>
    </xf>
    <xf numFmtId="14" fontId="0" fillId="2" borderId="1" xfId="0" quotePrefix="1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/>
    </xf>
    <xf numFmtId="1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4" fontId="0" fillId="3" borderId="1" xfId="0" applyNumberFormat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14" fontId="0" fillId="3" borderId="1" xfId="0" quotePrefix="1" applyNumberFormat="1" applyFill="1" applyBorder="1" applyAlignment="1">
      <alignment horizontal="center" vertical="center"/>
    </xf>
    <xf numFmtId="0" fontId="0" fillId="3" borderId="1" xfId="0" applyFill="1" applyBorder="1"/>
    <xf numFmtId="10" fontId="0" fillId="0" borderId="0" xfId="0" applyNumberFormat="1"/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0" borderId="2" xfId="0" applyBorder="1" applyAlignment="1">
      <alignment horizontal="center"/>
    </xf>
    <xf numFmtId="14" fontId="0" fillId="0" borderId="2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3" xfId="0" applyBorder="1"/>
  </cellXfs>
  <cellStyles count="3">
    <cellStyle name="Currency 2" xfId="1" xr:uid="{9495EBAD-E760-4963-B02B-62B2693B6EB8}"/>
    <cellStyle name="Normal" xfId="0" builtinId="0"/>
    <cellStyle name="Normal 2" xfId="2" xr:uid="{9074AB1B-092A-4409-88C6-1BE89EE13E62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K1039814"/>
  <sheetViews>
    <sheetView topLeftCell="U1" zoomScaleNormal="100" workbookViewId="0">
      <pane ySplit="1" topLeftCell="A1051" activePane="bottomLeft" state="frozen"/>
      <selection activeCell="A28" sqref="A28"/>
      <selection pane="bottomLeft" activeCell="X1283" sqref="X1283"/>
    </sheetView>
  </sheetViews>
  <sheetFormatPr defaultColWidth="7.140625" defaultRowHeight="15" x14ac:dyDescent="0.25"/>
  <cols>
    <col min="1" max="1" width="7.28515625" style="7" bestFit="1" customWidth="1"/>
    <col min="2" max="2" width="20.140625" style="7" hidden="1" customWidth="1"/>
    <col min="3" max="3" width="24.85546875" style="7" hidden="1" customWidth="1"/>
    <col min="4" max="4" width="15.5703125" style="11" hidden="1" customWidth="1"/>
    <col min="5" max="5" width="21.7109375" style="11" hidden="1" customWidth="1"/>
    <col min="6" max="6" width="25.28515625" style="29" hidden="1" customWidth="1"/>
    <col min="7" max="7" width="18.5703125" style="30" hidden="1" customWidth="1"/>
    <col min="8" max="8" width="20" style="23" hidden="1" customWidth="1"/>
    <col min="9" max="9" width="18.5703125" style="7" bestFit="1" customWidth="1"/>
    <col min="10" max="10" width="80.42578125" style="7" hidden="1" customWidth="1"/>
    <col min="11" max="11" width="43" style="7" hidden="1" customWidth="1"/>
    <col min="12" max="12" width="14.42578125" style="11" hidden="1" customWidth="1"/>
    <col min="13" max="13" width="8.140625" style="7" bestFit="1" customWidth="1"/>
    <col min="14" max="14" width="10.28515625" style="7" bestFit="1" customWidth="1"/>
    <col min="15" max="15" width="19.140625" style="7" bestFit="1" customWidth="1"/>
    <col min="16" max="16" width="20.7109375" bestFit="1" customWidth="1"/>
    <col min="17" max="17" width="15.5703125" bestFit="1" customWidth="1"/>
    <col min="18" max="18" width="17.28515625" bestFit="1" customWidth="1"/>
    <col min="19" max="19" width="18.42578125" bestFit="1" customWidth="1"/>
    <col min="20" max="20" width="8.85546875" style="23" bestFit="1" customWidth="1"/>
    <col min="21" max="21" width="13.28515625" style="23" bestFit="1" customWidth="1"/>
    <col min="22" max="22" width="17.85546875" style="23" bestFit="1" customWidth="1"/>
    <col min="23" max="23" width="17" style="23" bestFit="1" customWidth="1"/>
    <col min="24" max="24" width="27.5703125" style="7" bestFit="1" customWidth="1"/>
    <col min="25" max="25" width="16.42578125" style="31" bestFit="1" customWidth="1"/>
    <col min="26" max="26" width="18" style="31" bestFit="1" customWidth="1"/>
    <col min="27" max="27" width="10.7109375" style="7" bestFit="1" customWidth="1"/>
    <col min="28" max="28" width="52.85546875" style="7" bestFit="1" customWidth="1"/>
    <col min="29" max="29" width="19.42578125" style="7" bestFit="1" customWidth="1"/>
    <col min="30" max="30" width="20.85546875" style="7" bestFit="1" customWidth="1"/>
    <col min="31" max="31" width="24.5703125" style="7" bestFit="1" customWidth="1"/>
    <col min="32" max="32" width="17" style="11" bestFit="1" customWidth="1"/>
    <col min="33" max="33" width="24.7109375" style="7" bestFit="1" customWidth="1"/>
    <col min="34" max="34" width="16.140625" style="7" bestFit="1" customWidth="1"/>
    <col min="35" max="35" width="15.85546875" style="7" bestFit="1" customWidth="1"/>
    <col min="36" max="36" width="11.42578125" style="7" bestFit="1" customWidth="1"/>
    <col min="37" max="37" width="10.5703125" style="7" bestFit="1" customWidth="1"/>
    <col min="38" max="16384" width="7.140625" style="7"/>
  </cols>
  <sheetData>
    <row r="1" spans="1:37" s="32" customFormat="1" ht="18.75" x14ac:dyDescent="0.25">
      <c r="A1" s="27" t="s">
        <v>0</v>
      </c>
      <c r="B1" s="27" t="s">
        <v>255</v>
      </c>
      <c r="C1" s="27" t="s">
        <v>203</v>
      </c>
      <c r="D1" s="27" t="s">
        <v>1</v>
      </c>
      <c r="E1" s="27" t="s">
        <v>328</v>
      </c>
      <c r="F1" s="27" t="s">
        <v>351</v>
      </c>
      <c r="G1" s="28" t="s">
        <v>332</v>
      </c>
      <c r="H1" s="28" t="s">
        <v>2</v>
      </c>
      <c r="I1" s="27" t="s">
        <v>565</v>
      </c>
      <c r="J1" s="27" t="s">
        <v>3</v>
      </c>
      <c r="K1" s="27" t="s">
        <v>564</v>
      </c>
      <c r="L1" s="33" t="s">
        <v>566</v>
      </c>
      <c r="M1" s="27" t="s">
        <v>4</v>
      </c>
      <c r="N1" s="27" t="s">
        <v>5</v>
      </c>
      <c r="O1" s="27" t="s">
        <v>6</v>
      </c>
      <c r="P1" s="27" t="s">
        <v>311</v>
      </c>
      <c r="Q1" s="27" t="s">
        <v>1</v>
      </c>
      <c r="R1" s="27" t="s">
        <v>226</v>
      </c>
      <c r="S1" s="28" t="s">
        <v>390</v>
      </c>
      <c r="T1" s="28" t="s">
        <v>568</v>
      </c>
      <c r="U1" s="28" t="s">
        <v>567</v>
      </c>
      <c r="V1" s="28" t="s">
        <v>562</v>
      </c>
      <c r="W1" s="28" t="s">
        <v>563</v>
      </c>
      <c r="X1" s="27" t="s">
        <v>7</v>
      </c>
      <c r="Y1" s="27" t="s">
        <v>299</v>
      </c>
      <c r="Z1" s="27" t="s">
        <v>8</v>
      </c>
      <c r="AA1" s="27" t="s">
        <v>9</v>
      </c>
      <c r="AB1" s="27" t="s">
        <v>10</v>
      </c>
      <c r="AC1" s="27" t="s">
        <v>11</v>
      </c>
      <c r="AD1" s="27" t="s">
        <v>77</v>
      </c>
      <c r="AE1" s="27" t="s">
        <v>251</v>
      </c>
      <c r="AF1" s="33" t="s">
        <v>258</v>
      </c>
      <c r="AG1" s="27" t="s">
        <v>259</v>
      </c>
      <c r="AH1" s="27" t="s">
        <v>222</v>
      </c>
      <c r="AI1" s="27" t="s">
        <v>260</v>
      </c>
      <c r="AJ1" s="27" t="s">
        <v>214</v>
      </c>
      <c r="AK1" s="27" t="s">
        <v>296</v>
      </c>
    </row>
    <row r="2" spans="1:37" hidden="1" x14ac:dyDescent="0.25">
      <c r="A2" s="62">
        <v>1</v>
      </c>
      <c r="B2" s="62" t="s">
        <v>271</v>
      </c>
      <c r="C2" s="62" t="s">
        <v>12</v>
      </c>
      <c r="D2" s="6">
        <v>45808</v>
      </c>
      <c r="E2" s="6">
        <v>45808</v>
      </c>
      <c r="F2" s="63">
        <v>2350</v>
      </c>
      <c r="G2" s="64">
        <f t="shared" ref="G2:G67" si="0">IF(AJ2="DOLLAR",F2*88,F2)</f>
        <v>2350</v>
      </c>
      <c r="H2" s="64">
        <f t="shared" ref="H2:H67" si="1">G2*M2</f>
        <v>2350</v>
      </c>
      <c r="I2" s="62" t="s">
        <v>1869</v>
      </c>
      <c r="J2" s="62" t="s">
        <v>686</v>
      </c>
      <c r="K2" s="8"/>
      <c r="L2" s="10"/>
      <c r="M2" s="62">
        <v>1</v>
      </c>
      <c r="N2" s="8"/>
      <c r="O2" s="62">
        <f t="shared" ref="O2:O67" si="2">M2-N2</f>
        <v>1</v>
      </c>
      <c r="P2" s="62"/>
      <c r="Q2" s="62"/>
      <c r="R2" s="6"/>
      <c r="S2" s="64"/>
      <c r="T2" s="22">
        <v>5</v>
      </c>
      <c r="U2" s="64">
        <f t="shared" ref="U2:U67" si="3">S2*T2%</f>
        <v>0</v>
      </c>
      <c r="V2" s="22"/>
      <c r="W2" s="22"/>
      <c r="X2" s="62" t="s">
        <v>789</v>
      </c>
      <c r="Y2" s="62"/>
      <c r="Z2" s="62"/>
      <c r="AA2" s="65" t="s">
        <v>808</v>
      </c>
      <c r="AB2" s="66"/>
      <c r="AC2" s="62" t="s">
        <v>271</v>
      </c>
      <c r="AD2" s="62" t="str">
        <f>VLOOKUP(X2,'Customer List'!B:C,2,)</f>
        <v>STOCK</v>
      </c>
      <c r="AE2" s="67" t="s">
        <v>828</v>
      </c>
      <c r="AF2" s="6"/>
      <c r="AG2" s="62" t="str">
        <f t="shared" ref="AG2:AG67" si="4">IF(AF2="", "", AF2-R2)</f>
        <v/>
      </c>
      <c r="AH2" s="62" t="str">
        <f t="shared" ref="AH2:AH67" si="5">IF(S2="", "", TEXT(S2, "dddd"))</f>
        <v/>
      </c>
      <c r="AI2" s="62" t="str">
        <f t="shared" ref="AI2:AI35" si="6">IF(AF2="", "", TEXT(AF2, "dddd"))</f>
        <v/>
      </c>
      <c r="AJ2" s="62" t="str">
        <f>VLOOKUP(AC2,'Currency Sheet'!A:C,3,)</f>
        <v>INR</v>
      </c>
      <c r="AK2" s="62" t="str">
        <f>VLOOKUP(X2,'Customer List'!B:D,3,)</f>
        <v>STOCK</v>
      </c>
    </row>
    <row r="3" spans="1:37" hidden="1" x14ac:dyDescent="0.25">
      <c r="A3" s="62">
        <v>1</v>
      </c>
      <c r="B3" s="62" t="s">
        <v>271</v>
      </c>
      <c r="C3" s="62" t="s">
        <v>12</v>
      </c>
      <c r="D3" s="6">
        <v>45808</v>
      </c>
      <c r="E3" s="6">
        <v>45808</v>
      </c>
      <c r="F3" s="63">
        <v>2350</v>
      </c>
      <c r="G3" s="64">
        <f t="shared" ref="G3" si="7">IF(AJ3="DOLLAR",F3*88,F3)</f>
        <v>2350</v>
      </c>
      <c r="H3" s="64">
        <f t="shared" ref="H3" si="8">G3*M3</f>
        <v>2350</v>
      </c>
      <c r="I3" s="62" t="s">
        <v>1869</v>
      </c>
      <c r="J3" s="62" t="s">
        <v>686</v>
      </c>
      <c r="K3" s="8"/>
      <c r="L3" s="10"/>
      <c r="M3" s="62">
        <v>1</v>
      </c>
      <c r="N3" s="8">
        <v>1</v>
      </c>
      <c r="O3" s="62">
        <f t="shared" ref="O3" si="9">M3-N3</f>
        <v>0</v>
      </c>
      <c r="P3" s="62" t="s">
        <v>2916</v>
      </c>
      <c r="Q3" s="6">
        <v>46168</v>
      </c>
      <c r="R3" s="6">
        <v>46168</v>
      </c>
      <c r="S3" s="64">
        <v>0</v>
      </c>
      <c r="T3" s="22">
        <v>5</v>
      </c>
      <c r="U3" s="64">
        <f t="shared" ref="U3" si="10">S3*T3%</f>
        <v>0</v>
      </c>
      <c r="V3" s="22">
        <v>0</v>
      </c>
      <c r="W3" s="22">
        <v>0</v>
      </c>
      <c r="X3" s="62" t="s">
        <v>800</v>
      </c>
      <c r="Y3" s="62" t="s">
        <v>1120</v>
      </c>
      <c r="Z3" s="62" t="s">
        <v>821</v>
      </c>
      <c r="AA3" s="65" t="s">
        <v>808</v>
      </c>
      <c r="AB3" s="66" t="s">
        <v>2917</v>
      </c>
      <c r="AC3" s="62" t="s">
        <v>271</v>
      </c>
      <c r="AD3" s="62" t="str">
        <f>VLOOKUP(X3,'Customer List'!B:C,2,)</f>
        <v>Delhi</v>
      </c>
      <c r="AE3" s="67" t="s">
        <v>828</v>
      </c>
      <c r="AF3" s="6"/>
      <c r="AG3" s="62" t="str">
        <f t="shared" ref="AG3" si="11">IF(AF3="", "", AF3-R3)</f>
        <v/>
      </c>
      <c r="AH3" s="62" t="str">
        <f t="shared" ref="AH3" si="12">IF(S3="", "", TEXT(S3, "dddd"))</f>
        <v>Saturday</v>
      </c>
      <c r="AI3" s="62" t="str">
        <f t="shared" ref="AI3" si="13">IF(AF3="", "", TEXT(AF3, "dddd"))</f>
        <v/>
      </c>
      <c r="AJ3" s="62" t="str">
        <f>VLOOKUP(AC3,'Currency Sheet'!A:C,3,)</f>
        <v>INR</v>
      </c>
      <c r="AK3" s="62" t="str">
        <f>VLOOKUP(X3,'Customer List'!B:D,3,)</f>
        <v>Local</v>
      </c>
    </row>
    <row r="4" spans="1:37" hidden="1" x14ac:dyDescent="0.25">
      <c r="A4" s="62">
        <v>1</v>
      </c>
      <c r="B4" s="62" t="s">
        <v>271</v>
      </c>
      <c r="C4" s="62" t="s">
        <v>12</v>
      </c>
      <c r="D4" s="6">
        <v>45808</v>
      </c>
      <c r="E4" s="6">
        <v>45808</v>
      </c>
      <c r="F4" s="63">
        <v>2350</v>
      </c>
      <c r="G4" s="64">
        <f t="shared" ref="G4" si="14">IF(AJ4="DOLLAR",F4*88,F4)</f>
        <v>2350</v>
      </c>
      <c r="H4" s="64">
        <f t="shared" ref="H4" si="15">G4*M4</f>
        <v>4700</v>
      </c>
      <c r="I4" s="62" t="s">
        <v>1869</v>
      </c>
      <c r="J4" s="62" t="s">
        <v>686</v>
      </c>
      <c r="K4" s="8"/>
      <c r="L4" s="10"/>
      <c r="M4" s="62">
        <v>2</v>
      </c>
      <c r="N4" s="8">
        <v>2</v>
      </c>
      <c r="O4" s="62">
        <f t="shared" ref="O4" si="16">M4-N4</f>
        <v>0</v>
      </c>
      <c r="P4" s="62">
        <v>395</v>
      </c>
      <c r="Q4" s="6">
        <v>46168</v>
      </c>
      <c r="R4" s="6">
        <v>46168</v>
      </c>
      <c r="S4" s="64">
        <v>10926</v>
      </c>
      <c r="T4" s="22">
        <v>18</v>
      </c>
      <c r="U4" s="64">
        <f t="shared" ref="U4" si="17">S4*T4%</f>
        <v>1966.6799999999998</v>
      </c>
      <c r="V4" s="22">
        <v>0</v>
      </c>
      <c r="W4" s="22">
        <v>29213.88</v>
      </c>
      <c r="X4" s="62" t="s">
        <v>800</v>
      </c>
      <c r="Y4" s="62" t="s">
        <v>1120</v>
      </c>
      <c r="Z4" s="62" t="s">
        <v>821</v>
      </c>
      <c r="AA4" s="65" t="s">
        <v>808</v>
      </c>
      <c r="AB4" s="66"/>
      <c r="AC4" s="62" t="s">
        <v>271</v>
      </c>
      <c r="AD4" s="62" t="str">
        <f>VLOOKUP(X4,'Customer List'!B:C,2,)</f>
        <v>Delhi</v>
      </c>
      <c r="AE4" s="67" t="s">
        <v>828</v>
      </c>
      <c r="AF4" s="6"/>
      <c r="AG4" s="62" t="str">
        <f t="shared" ref="AG4" si="18">IF(AF4="", "", AF4-R4)</f>
        <v/>
      </c>
      <c r="AH4" s="62" t="str">
        <f t="shared" ref="AH4" si="19">IF(S4="", "", TEXT(S4, "dddd"))</f>
        <v>Friday</v>
      </c>
      <c r="AI4" s="62" t="str">
        <f t="shared" ref="AI4" si="20">IF(AF4="", "", TEXT(AF4, "dddd"))</f>
        <v/>
      </c>
      <c r="AJ4" s="62" t="str">
        <f>VLOOKUP(AC4,'Currency Sheet'!A:C,3,)</f>
        <v>INR</v>
      </c>
      <c r="AK4" s="62" t="str">
        <f>VLOOKUP(X4,'Customer List'!B:D,3,)</f>
        <v>Local</v>
      </c>
    </row>
    <row r="5" spans="1:37" s="56" customFormat="1" hidden="1" x14ac:dyDescent="0.25">
      <c r="A5" s="48">
        <f>A2+1</f>
        <v>2</v>
      </c>
      <c r="B5" s="48" t="s">
        <v>271</v>
      </c>
      <c r="C5" s="48" t="s">
        <v>12</v>
      </c>
      <c r="D5" s="50">
        <v>45808</v>
      </c>
      <c r="E5" s="50">
        <v>45808</v>
      </c>
      <c r="F5" s="57">
        <v>2350</v>
      </c>
      <c r="G5" s="51">
        <f t="shared" si="0"/>
        <v>2350</v>
      </c>
      <c r="H5" s="51">
        <f t="shared" si="1"/>
        <v>2350</v>
      </c>
      <c r="I5" s="48" t="s">
        <v>1869</v>
      </c>
      <c r="J5" s="48" t="s">
        <v>686</v>
      </c>
      <c r="K5" s="47"/>
      <c r="L5" s="49"/>
      <c r="M5" s="48">
        <v>1</v>
      </c>
      <c r="N5" s="47">
        <v>1</v>
      </c>
      <c r="O5" s="48">
        <f t="shared" si="2"/>
        <v>0</v>
      </c>
      <c r="P5" s="48" t="s">
        <v>1385</v>
      </c>
      <c r="Q5" s="48" t="s">
        <v>1385</v>
      </c>
      <c r="R5" s="50">
        <v>46147</v>
      </c>
      <c r="S5" s="51">
        <v>0</v>
      </c>
      <c r="T5" s="52">
        <v>18</v>
      </c>
      <c r="U5" s="51">
        <f t="shared" si="3"/>
        <v>0</v>
      </c>
      <c r="V5" s="52">
        <v>0</v>
      </c>
      <c r="W5" s="52">
        <v>0</v>
      </c>
      <c r="X5" s="48" t="s">
        <v>340</v>
      </c>
      <c r="Y5" s="48" t="s">
        <v>1120</v>
      </c>
      <c r="Z5" s="48" t="s">
        <v>821</v>
      </c>
      <c r="AA5" s="53" t="s">
        <v>808</v>
      </c>
      <c r="AB5" s="54" t="s">
        <v>2285</v>
      </c>
      <c r="AC5" s="48" t="s">
        <v>271</v>
      </c>
      <c r="AD5" s="48" t="str">
        <f>VLOOKUP(X5,'Customer List'!B:C,2,)</f>
        <v>delhi</v>
      </c>
      <c r="AE5" s="55" t="s">
        <v>828</v>
      </c>
      <c r="AF5" s="50"/>
      <c r="AG5" s="48" t="str">
        <f t="shared" si="4"/>
        <v/>
      </c>
      <c r="AH5" s="48" t="str">
        <f t="shared" si="5"/>
        <v>Saturday</v>
      </c>
      <c r="AI5" s="48" t="str">
        <f t="shared" si="6"/>
        <v/>
      </c>
      <c r="AJ5" s="48" t="str">
        <f>VLOOKUP(AC5,'Currency Sheet'!A:C,3,)</f>
        <v>INR</v>
      </c>
      <c r="AK5" s="48" t="str">
        <f>VLOOKUP(X5,'Customer List'!B:D,3,)</f>
        <v>Local</v>
      </c>
    </row>
    <row r="6" spans="1:37" s="56" customFormat="1" hidden="1" x14ac:dyDescent="0.25">
      <c r="A6" s="48">
        <f t="shared" ref="A6:A36" si="21">A5+1</f>
        <v>3</v>
      </c>
      <c r="B6" s="48" t="s">
        <v>271</v>
      </c>
      <c r="C6" s="48" t="s">
        <v>12</v>
      </c>
      <c r="D6" s="50">
        <v>45808</v>
      </c>
      <c r="E6" s="50">
        <v>45808</v>
      </c>
      <c r="F6" s="57">
        <v>2350</v>
      </c>
      <c r="G6" s="51">
        <f t="shared" si="0"/>
        <v>2350</v>
      </c>
      <c r="H6" s="51">
        <f t="shared" si="1"/>
        <v>4700</v>
      </c>
      <c r="I6" s="48" t="s">
        <v>1869</v>
      </c>
      <c r="J6" s="48" t="s">
        <v>686</v>
      </c>
      <c r="K6" s="47"/>
      <c r="L6" s="49"/>
      <c r="M6" s="48">
        <v>2</v>
      </c>
      <c r="N6" s="47">
        <v>2</v>
      </c>
      <c r="O6" s="48">
        <f t="shared" si="2"/>
        <v>0</v>
      </c>
      <c r="P6" s="48">
        <v>208</v>
      </c>
      <c r="Q6" s="50">
        <v>46139</v>
      </c>
      <c r="R6" s="50">
        <v>46142</v>
      </c>
      <c r="S6" s="51">
        <v>7000</v>
      </c>
      <c r="T6" s="52">
        <v>18</v>
      </c>
      <c r="U6" s="51">
        <f t="shared" si="3"/>
        <v>1260</v>
      </c>
      <c r="V6" s="52">
        <v>0</v>
      </c>
      <c r="W6" s="52">
        <v>8260</v>
      </c>
      <c r="X6" s="48" t="s">
        <v>2242</v>
      </c>
      <c r="Y6" s="48" t="s">
        <v>1120</v>
      </c>
      <c r="Z6" s="48" t="s">
        <v>821</v>
      </c>
      <c r="AA6" s="53" t="s">
        <v>808</v>
      </c>
      <c r="AB6" s="54"/>
      <c r="AC6" s="48" t="s">
        <v>271</v>
      </c>
      <c r="AD6" s="48" t="str">
        <f>VLOOKUP(X6,'Customer List'!B:C,2,)</f>
        <v>DELHI</v>
      </c>
      <c r="AE6" s="55" t="s">
        <v>828</v>
      </c>
      <c r="AF6" s="50"/>
      <c r="AG6" s="48" t="str">
        <f t="shared" si="4"/>
        <v/>
      </c>
      <c r="AH6" s="48" t="str">
        <f t="shared" si="5"/>
        <v>Saturday</v>
      </c>
      <c r="AI6" s="48" t="str">
        <f t="shared" si="6"/>
        <v/>
      </c>
      <c r="AJ6" s="48" t="str">
        <f>VLOOKUP(AC6,'Currency Sheet'!A:C,3,)</f>
        <v>INR</v>
      </c>
      <c r="AK6" s="48" t="str">
        <f>VLOOKUP(X6,'Customer List'!B:D,3,)</f>
        <v>Local</v>
      </c>
    </row>
    <row r="7" spans="1:37" s="56" customFormat="1" hidden="1" x14ac:dyDescent="0.25">
      <c r="A7" s="48">
        <f t="shared" si="21"/>
        <v>4</v>
      </c>
      <c r="B7" s="48" t="s">
        <v>271</v>
      </c>
      <c r="C7" s="48" t="s">
        <v>12</v>
      </c>
      <c r="D7" s="50">
        <v>45808</v>
      </c>
      <c r="E7" s="50">
        <v>45808</v>
      </c>
      <c r="F7" s="57">
        <v>2350</v>
      </c>
      <c r="G7" s="51">
        <f t="shared" si="0"/>
        <v>2350</v>
      </c>
      <c r="H7" s="64">
        <f t="shared" si="1"/>
        <v>2350</v>
      </c>
      <c r="I7" s="58" t="s">
        <v>1869</v>
      </c>
      <c r="J7" s="48" t="s">
        <v>686</v>
      </c>
      <c r="K7" s="48"/>
      <c r="L7" s="50"/>
      <c r="M7" s="48">
        <v>1</v>
      </c>
      <c r="N7" s="48">
        <v>1</v>
      </c>
      <c r="O7" s="48">
        <f t="shared" si="2"/>
        <v>0</v>
      </c>
      <c r="P7" s="48" t="s">
        <v>1385</v>
      </c>
      <c r="Q7" s="48" t="s">
        <v>1385</v>
      </c>
      <c r="R7" s="50">
        <v>46121</v>
      </c>
      <c r="S7" s="51">
        <v>0</v>
      </c>
      <c r="T7" s="51">
        <v>0</v>
      </c>
      <c r="U7" s="51">
        <f t="shared" si="3"/>
        <v>0</v>
      </c>
      <c r="V7" s="51">
        <v>0</v>
      </c>
      <c r="W7" s="51">
        <v>0</v>
      </c>
      <c r="X7" s="48" t="s">
        <v>793</v>
      </c>
      <c r="Y7" s="48" t="s">
        <v>1120</v>
      </c>
      <c r="Z7" s="48" t="s">
        <v>821</v>
      </c>
      <c r="AA7" s="53" t="s">
        <v>808</v>
      </c>
      <c r="AB7" s="54" t="s">
        <v>1386</v>
      </c>
      <c r="AC7" s="48" t="s">
        <v>271</v>
      </c>
      <c r="AD7" s="48" t="str">
        <f>VLOOKUP(X7,'Customer List'!B:C,2,)</f>
        <v>Delhi</v>
      </c>
      <c r="AE7" s="55" t="s">
        <v>828</v>
      </c>
      <c r="AF7" s="50"/>
      <c r="AG7" s="48" t="str">
        <f t="shared" si="4"/>
        <v/>
      </c>
      <c r="AH7" s="48" t="str">
        <f t="shared" si="5"/>
        <v>Saturday</v>
      </c>
      <c r="AI7" s="48" t="str">
        <f t="shared" si="6"/>
        <v/>
      </c>
      <c r="AJ7" s="48" t="str">
        <f>VLOOKUP(AC7,'Currency Sheet'!A:C,3,)</f>
        <v>INR</v>
      </c>
      <c r="AK7" s="48" t="str">
        <f>VLOOKUP(X7,'Customer List'!B:D,3,)</f>
        <v>Local</v>
      </c>
    </row>
    <row r="8" spans="1:37" hidden="1" x14ac:dyDescent="0.25">
      <c r="A8" s="62">
        <f t="shared" si="21"/>
        <v>5</v>
      </c>
      <c r="B8" s="62" t="s">
        <v>271</v>
      </c>
      <c r="C8" s="62" t="s">
        <v>12</v>
      </c>
      <c r="D8" s="6">
        <v>45808</v>
      </c>
      <c r="E8" s="6">
        <v>45808</v>
      </c>
      <c r="F8" s="63">
        <v>2350</v>
      </c>
      <c r="G8" s="64">
        <f t="shared" si="0"/>
        <v>2350</v>
      </c>
      <c r="H8" s="64">
        <f t="shared" si="1"/>
        <v>11750</v>
      </c>
      <c r="I8" s="62">
        <v>16533</v>
      </c>
      <c r="J8" s="62" t="s">
        <v>687</v>
      </c>
      <c r="K8" s="8"/>
      <c r="L8" s="10"/>
      <c r="M8" s="62">
        <v>5</v>
      </c>
      <c r="N8" s="8"/>
      <c r="O8" s="62">
        <f t="shared" si="2"/>
        <v>5</v>
      </c>
      <c r="P8" s="62"/>
      <c r="Q8" s="62"/>
      <c r="R8" s="6"/>
      <c r="S8" s="64"/>
      <c r="T8" s="22">
        <v>5</v>
      </c>
      <c r="U8" s="64">
        <f t="shared" si="3"/>
        <v>0</v>
      </c>
      <c r="V8" s="22"/>
      <c r="W8" s="22"/>
      <c r="X8" s="62" t="s">
        <v>789</v>
      </c>
      <c r="Y8" s="62"/>
      <c r="Z8" s="62"/>
      <c r="AA8" s="65" t="s">
        <v>808</v>
      </c>
      <c r="AB8" s="66"/>
      <c r="AC8" s="62" t="s">
        <v>271</v>
      </c>
      <c r="AD8" s="62" t="str">
        <f>VLOOKUP(X8,'Customer List'!B:C,2,)</f>
        <v>STOCK</v>
      </c>
      <c r="AE8" s="67" t="s">
        <v>828</v>
      </c>
      <c r="AF8" s="6"/>
      <c r="AG8" s="62" t="str">
        <f t="shared" si="4"/>
        <v/>
      </c>
      <c r="AH8" s="62" t="str">
        <f t="shared" si="5"/>
        <v/>
      </c>
      <c r="AI8" s="62" t="str">
        <f t="shared" si="6"/>
        <v/>
      </c>
      <c r="AJ8" s="62" t="str">
        <f>VLOOKUP(AC8,'Currency Sheet'!A:C,3,)</f>
        <v>INR</v>
      </c>
      <c r="AK8" s="62" t="str">
        <f>VLOOKUP(X8,'Customer List'!B:D,3,)</f>
        <v>STOCK</v>
      </c>
    </row>
    <row r="9" spans="1:37" hidden="1" x14ac:dyDescent="0.25">
      <c r="A9" s="62">
        <f t="shared" si="21"/>
        <v>6</v>
      </c>
      <c r="B9" s="62" t="s">
        <v>824</v>
      </c>
      <c r="C9" s="62" t="s">
        <v>12</v>
      </c>
      <c r="D9" s="6">
        <v>45808</v>
      </c>
      <c r="E9" s="6">
        <v>45808</v>
      </c>
      <c r="F9" s="63">
        <v>98.7</v>
      </c>
      <c r="G9" s="64">
        <f t="shared" si="0"/>
        <v>8685.6</v>
      </c>
      <c r="H9" s="64">
        <f t="shared" si="1"/>
        <v>8685.6</v>
      </c>
      <c r="I9" s="62">
        <v>100261</v>
      </c>
      <c r="J9" s="62" t="s">
        <v>688</v>
      </c>
      <c r="K9" s="8" t="s">
        <v>849</v>
      </c>
      <c r="L9" s="10">
        <v>46965</v>
      </c>
      <c r="M9" s="62">
        <v>1</v>
      </c>
      <c r="N9" s="8"/>
      <c r="O9" s="62">
        <f t="shared" si="2"/>
        <v>1</v>
      </c>
      <c r="P9" s="62"/>
      <c r="Q9" s="62"/>
      <c r="R9" s="6"/>
      <c r="S9" s="64"/>
      <c r="T9" s="22">
        <v>5</v>
      </c>
      <c r="U9" s="64">
        <f t="shared" si="3"/>
        <v>0</v>
      </c>
      <c r="V9" s="22"/>
      <c r="W9" s="22"/>
      <c r="X9" s="62" t="s">
        <v>789</v>
      </c>
      <c r="Y9" s="62"/>
      <c r="Z9" s="62"/>
      <c r="AA9" s="65">
        <v>4</v>
      </c>
      <c r="AB9" s="66"/>
      <c r="AC9" s="62" t="s">
        <v>824</v>
      </c>
      <c r="AD9" s="62" t="str">
        <f>VLOOKUP(X9,'Customer List'!B:C,2,)</f>
        <v>STOCK</v>
      </c>
      <c r="AE9" s="67" t="s">
        <v>828</v>
      </c>
      <c r="AF9" s="6"/>
      <c r="AG9" s="62" t="str">
        <f t="shared" si="4"/>
        <v/>
      </c>
      <c r="AH9" s="62" t="str">
        <f t="shared" si="5"/>
        <v/>
      </c>
      <c r="AI9" s="62" t="str">
        <f t="shared" si="6"/>
        <v/>
      </c>
      <c r="AJ9" s="62" t="str">
        <f>VLOOKUP(AC9,'Currency Sheet'!A:C,3,)</f>
        <v>DOLLAR</v>
      </c>
      <c r="AK9" s="62" t="str">
        <f>VLOOKUP(X9,'Customer List'!B:D,3,)</f>
        <v>STOCK</v>
      </c>
    </row>
    <row r="10" spans="1:37" hidden="1" x14ac:dyDescent="0.25">
      <c r="A10" s="62">
        <f t="shared" si="21"/>
        <v>7</v>
      </c>
      <c r="B10" s="62" t="s">
        <v>810</v>
      </c>
      <c r="C10" s="62" t="s">
        <v>12</v>
      </c>
      <c r="D10" s="6">
        <v>45808</v>
      </c>
      <c r="E10" s="6">
        <v>45808</v>
      </c>
      <c r="F10" s="63">
        <v>3266.4</v>
      </c>
      <c r="G10" s="64">
        <f t="shared" si="0"/>
        <v>3266.4</v>
      </c>
      <c r="H10" s="64">
        <f t="shared" si="1"/>
        <v>6532.8</v>
      </c>
      <c r="I10" s="62">
        <v>104772</v>
      </c>
      <c r="J10" s="62" t="s">
        <v>689</v>
      </c>
      <c r="K10" s="8"/>
      <c r="L10" s="10"/>
      <c r="M10" s="62">
        <v>2</v>
      </c>
      <c r="N10" s="8"/>
      <c r="O10" s="62">
        <f t="shared" si="2"/>
        <v>2</v>
      </c>
      <c r="P10" s="62"/>
      <c r="Q10" s="62"/>
      <c r="R10" s="6"/>
      <c r="S10" s="64"/>
      <c r="T10" s="22">
        <v>5</v>
      </c>
      <c r="U10" s="64">
        <f t="shared" si="3"/>
        <v>0</v>
      </c>
      <c r="V10" s="22"/>
      <c r="W10" s="22"/>
      <c r="X10" s="62" t="s">
        <v>789</v>
      </c>
      <c r="Y10" s="62"/>
      <c r="Z10" s="62"/>
      <c r="AA10" s="65" t="s">
        <v>808</v>
      </c>
      <c r="AB10" s="66"/>
      <c r="AC10" s="62" t="s">
        <v>810</v>
      </c>
      <c r="AD10" s="62" t="str">
        <f>VLOOKUP(X10,'Customer List'!B:C,2,)</f>
        <v>STOCK</v>
      </c>
      <c r="AE10" s="67" t="s">
        <v>828</v>
      </c>
      <c r="AF10" s="6"/>
      <c r="AG10" s="62" t="str">
        <f t="shared" si="4"/>
        <v/>
      </c>
      <c r="AH10" s="62" t="str">
        <f t="shared" si="5"/>
        <v/>
      </c>
      <c r="AI10" s="62" t="str">
        <f t="shared" si="6"/>
        <v/>
      </c>
      <c r="AJ10" s="62" t="str">
        <f>VLOOKUP(AC10,'Currency Sheet'!A:C,3,)</f>
        <v>INR</v>
      </c>
      <c r="AK10" s="62" t="str">
        <f>VLOOKUP(X10,'Customer List'!B:D,3,)</f>
        <v>STOCK</v>
      </c>
    </row>
    <row r="11" spans="1:37" hidden="1" x14ac:dyDescent="0.25">
      <c r="A11" s="62">
        <f t="shared" si="21"/>
        <v>8</v>
      </c>
      <c r="B11" s="62" t="s">
        <v>824</v>
      </c>
      <c r="C11" s="62" t="s">
        <v>12</v>
      </c>
      <c r="D11" s="6">
        <v>45808</v>
      </c>
      <c r="E11" s="6">
        <v>45808</v>
      </c>
      <c r="F11" s="63">
        <v>70.8</v>
      </c>
      <c r="G11" s="64">
        <f t="shared" si="0"/>
        <v>6230.4</v>
      </c>
      <c r="H11" s="64">
        <f t="shared" si="1"/>
        <v>6230.4</v>
      </c>
      <c r="I11" s="62">
        <v>108123</v>
      </c>
      <c r="J11" s="62" t="s">
        <v>690</v>
      </c>
      <c r="K11" s="8" t="s">
        <v>850</v>
      </c>
      <c r="L11" s="10">
        <v>46610</v>
      </c>
      <c r="M11" s="62">
        <v>1</v>
      </c>
      <c r="N11" s="8"/>
      <c r="O11" s="62">
        <f t="shared" si="2"/>
        <v>1</v>
      </c>
      <c r="P11" s="62"/>
      <c r="Q11" s="62"/>
      <c r="R11" s="6"/>
      <c r="S11" s="64"/>
      <c r="T11" s="22">
        <v>5</v>
      </c>
      <c r="U11" s="64">
        <f t="shared" si="3"/>
        <v>0</v>
      </c>
      <c r="V11" s="22"/>
      <c r="W11" s="22"/>
      <c r="X11" s="62" t="s">
        <v>789</v>
      </c>
      <c r="Y11" s="62"/>
      <c r="Z11" s="62"/>
      <c r="AA11" s="65">
        <v>4</v>
      </c>
      <c r="AB11" s="66"/>
      <c r="AC11" s="62" t="s">
        <v>824</v>
      </c>
      <c r="AD11" s="62" t="str">
        <f>VLOOKUP(X11,'Customer List'!B:C,2,)</f>
        <v>STOCK</v>
      </c>
      <c r="AE11" s="67" t="s">
        <v>828</v>
      </c>
      <c r="AF11" s="6"/>
      <c r="AG11" s="62" t="str">
        <f t="shared" si="4"/>
        <v/>
      </c>
      <c r="AH11" s="62" t="str">
        <f t="shared" si="5"/>
        <v/>
      </c>
      <c r="AI11" s="62" t="str">
        <f t="shared" si="6"/>
        <v/>
      </c>
      <c r="AJ11" s="62" t="str">
        <f>VLOOKUP(AC11,'Currency Sheet'!A:C,3,)</f>
        <v>DOLLAR</v>
      </c>
      <c r="AK11" s="62" t="str">
        <f>VLOOKUP(X11,'Customer List'!B:D,3,)</f>
        <v>STOCK</v>
      </c>
    </row>
    <row r="12" spans="1:37" hidden="1" x14ac:dyDescent="0.25">
      <c r="A12" s="62">
        <f t="shared" si="21"/>
        <v>9</v>
      </c>
      <c r="B12" s="62" t="s">
        <v>810</v>
      </c>
      <c r="C12" s="62" t="s">
        <v>12</v>
      </c>
      <c r="D12" s="6">
        <v>45808</v>
      </c>
      <c r="E12" s="6">
        <v>45808</v>
      </c>
      <c r="F12" s="63">
        <v>0</v>
      </c>
      <c r="G12" s="64">
        <f t="shared" si="0"/>
        <v>0</v>
      </c>
      <c r="H12" s="64">
        <f t="shared" si="1"/>
        <v>0</v>
      </c>
      <c r="I12" s="62">
        <v>152574</v>
      </c>
      <c r="J12" s="62" t="s">
        <v>691</v>
      </c>
      <c r="K12" s="8"/>
      <c r="L12" s="10"/>
      <c r="M12" s="62">
        <v>1</v>
      </c>
      <c r="N12" s="8"/>
      <c r="O12" s="62">
        <f t="shared" si="2"/>
        <v>1</v>
      </c>
      <c r="P12" s="62"/>
      <c r="Q12" s="62"/>
      <c r="R12" s="6"/>
      <c r="S12" s="64"/>
      <c r="T12" s="22">
        <v>5</v>
      </c>
      <c r="U12" s="64">
        <f t="shared" si="3"/>
        <v>0</v>
      </c>
      <c r="V12" s="22"/>
      <c r="W12" s="22"/>
      <c r="X12" s="62" t="s">
        <v>789</v>
      </c>
      <c r="Y12" s="62"/>
      <c r="Z12" s="62"/>
      <c r="AA12" s="65" t="s">
        <v>808</v>
      </c>
      <c r="AB12" s="66"/>
      <c r="AC12" s="62" t="s">
        <v>810</v>
      </c>
      <c r="AD12" s="62" t="str">
        <f>VLOOKUP(X12,'Customer List'!B:C,2,)</f>
        <v>STOCK</v>
      </c>
      <c r="AE12" s="67" t="s">
        <v>828</v>
      </c>
      <c r="AF12" s="6"/>
      <c r="AG12" s="62" t="str">
        <f t="shared" si="4"/>
        <v/>
      </c>
      <c r="AH12" s="62" t="str">
        <f t="shared" si="5"/>
        <v/>
      </c>
      <c r="AI12" s="62" t="str">
        <f t="shared" si="6"/>
        <v/>
      </c>
      <c r="AJ12" s="62" t="str">
        <f>VLOOKUP(AC12,'Currency Sheet'!A:C,3,)</f>
        <v>INR</v>
      </c>
      <c r="AK12" s="62" t="str">
        <f>VLOOKUP(X12,'Customer List'!B:D,3,)</f>
        <v>STOCK</v>
      </c>
    </row>
    <row r="13" spans="1:37" s="56" customFormat="1" hidden="1" x14ac:dyDescent="0.25">
      <c r="A13" s="48">
        <f t="shared" si="21"/>
        <v>10</v>
      </c>
      <c r="B13" s="48" t="s">
        <v>810</v>
      </c>
      <c r="C13" s="48" t="s">
        <v>12</v>
      </c>
      <c r="D13" s="50">
        <v>45808</v>
      </c>
      <c r="E13" s="50">
        <v>45808</v>
      </c>
      <c r="F13" s="57">
        <v>1912</v>
      </c>
      <c r="G13" s="51">
        <f t="shared" si="0"/>
        <v>1912</v>
      </c>
      <c r="H13" s="51">
        <f t="shared" si="1"/>
        <v>3824</v>
      </c>
      <c r="I13" s="48">
        <v>194002</v>
      </c>
      <c r="J13" s="48" t="s">
        <v>692</v>
      </c>
      <c r="K13" s="47"/>
      <c r="L13" s="49"/>
      <c r="M13" s="48">
        <v>2</v>
      </c>
      <c r="N13" s="47">
        <v>2</v>
      </c>
      <c r="O13" s="48">
        <f t="shared" si="2"/>
        <v>0</v>
      </c>
      <c r="P13" s="48" t="s">
        <v>1454</v>
      </c>
      <c r="Q13" s="48" t="s">
        <v>1454</v>
      </c>
      <c r="R13" s="50" t="s">
        <v>1454</v>
      </c>
      <c r="S13" s="51">
        <v>0</v>
      </c>
      <c r="T13" s="52">
        <v>0</v>
      </c>
      <c r="U13" s="51">
        <f t="shared" si="3"/>
        <v>0</v>
      </c>
      <c r="V13" s="52">
        <v>0</v>
      </c>
      <c r="W13" s="52">
        <v>0</v>
      </c>
      <c r="X13" s="48" t="s">
        <v>1454</v>
      </c>
      <c r="Y13" s="48" t="s">
        <v>1939</v>
      </c>
      <c r="Z13" s="48" t="s">
        <v>1939</v>
      </c>
      <c r="AA13" s="53" t="s">
        <v>808</v>
      </c>
      <c r="AB13" s="54"/>
      <c r="AC13" s="48" t="s">
        <v>810</v>
      </c>
      <c r="AD13" s="48" t="str">
        <f>VLOOKUP(X13,'Customer List'!B:C,2,)</f>
        <v>EXPIRED</v>
      </c>
      <c r="AE13" s="55" t="s">
        <v>828</v>
      </c>
      <c r="AF13" s="50"/>
      <c r="AG13" s="48" t="str">
        <f t="shared" si="4"/>
        <v/>
      </c>
      <c r="AH13" s="48" t="str">
        <f t="shared" si="5"/>
        <v>Saturday</v>
      </c>
      <c r="AI13" s="48" t="str">
        <f t="shared" si="6"/>
        <v/>
      </c>
      <c r="AJ13" s="48" t="str">
        <f>VLOOKUP(AC13,'Currency Sheet'!A:C,3,)</f>
        <v>INR</v>
      </c>
      <c r="AK13" s="48" t="str">
        <f>VLOOKUP(X13,'Customer List'!B:D,3,)</f>
        <v>EXPIRED</v>
      </c>
    </row>
    <row r="14" spans="1:37" hidden="1" x14ac:dyDescent="0.25">
      <c r="A14" s="62">
        <f t="shared" si="21"/>
        <v>11</v>
      </c>
      <c r="B14" s="62" t="s">
        <v>824</v>
      </c>
      <c r="C14" s="62" t="s">
        <v>12</v>
      </c>
      <c r="D14" s="6">
        <v>45808</v>
      </c>
      <c r="E14" s="6">
        <v>45808</v>
      </c>
      <c r="F14" s="63">
        <v>78.400000000000006</v>
      </c>
      <c r="G14" s="64">
        <f t="shared" si="0"/>
        <v>6899.2000000000007</v>
      </c>
      <c r="H14" s="64">
        <f t="shared" si="1"/>
        <v>13798.400000000001</v>
      </c>
      <c r="I14" s="62">
        <v>316302</v>
      </c>
      <c r="J14" s="62" t="s">
        <v>693</v>
      </c>
      <c r="K14" s="8" t="s">
        <v>851</v>
      </c>
      <c r="L14" s="10">
        <v>48407</v>
      </c>
      <c r="M14" s="62">
        <v>2</v>
      </c>
      <c r="N14" s="8"/>
      <c r="O14" s="62">
        <f t="shared" si="2"/>
        <v>2</v>
      </c>
      <c r="P14" s="62"/>
      <c r="Q14" s="62"/>
      <c r="R14" s="6"/>
      <c r="S14" s="64"/>
      <c r="T14" s="22">
        <v>5</v>
      </c>
      <c r="U14" s="64">
        <f t="shared" si="3"/>
        <v>0</v>
      </c>
      <c r="V14" s="22"/>
      <c r="W14" s="22"/>
      <c r="X14" s="62" t="s">
        <v>789</v>
      </c>
      <c r="Y14" s="62"/>
      <c r="Z14" s="62"/>
      <c r="AA14" s="65">
        <v>4</v>
      </c>
      <c r="AB14" s="66" t="s">
        <v>811</v>
      </c>
      <c r="AC14" s="62" t="s">
        <v>824</v>
      </c>
      <c r="AD14" s="62" t="str">
        <f>VLOOKUP(X14,'Customer List'!B:C,2,)</f>
        <v>STOCK</v>
      </c>
      <c r="AE14" s="67" t="s">
        <v>828</v>
      </c>
      <c r="AF14" s="6"/>
      <c r="AG14" s="62" t="str">
        <f t="shared" si="4"/>
        <v/>
      </c>
      <c r="AH14" s="62" t="str">
        <f t="shared" si="5"/>
        <v/>
      </c>
      <c r="AI14" s="62" t="str">
        <f t="shared" si="6"/>
        <v/>
      </c>
      <c r="AJ14" s="62" t="str">
        <f>VLOOKUP(AC14,'Currency Sheet'!A:C,3,)</f>
        <v>DOLLAR</v>
      </c>
      <c r="AK14" s="62" t="str">
        <f>VLOOKUP(X14,'Customer List'!B:D,3,)</f>
        <v>STOCK</v>
      </c>
    </row>
    <row r="15" spans="1:37" hidden="1" x14ac:dyDescent="0.25">
      <c r="A15" s="62">
        <f t="shared" si="21"/>
        <v>12</v>
      </c>
      <c r="B15" s="62" t="s">
        <v>824</v>
      </c>
      <c r="C15" s="62" t="s">
        <v>12</v>
      </c>
      <c r="D15" s="6">
        <v>45808</v>
      </c>
      <c r="E15" s="6">
        <v>45808</v>
      </c>
      <c r="F15" s="63">
        <v>58.1</v>
      </c>
      <c r="G15" s="64">
        <f t="shared" si="0"/>
        <v>5112.8</v>
      </c>
      <c r="H15" s="64">
        <f t="shared" si="1"/>
        <v>10225.6</v>
      </c>
      <c r="I15" s="62">
        <v>329702</v>
      </c>
      <c r="J15" s="62" t="s">
        <v>694</v>
      </c>
      <c r="K15" s="8" t="s">
        <v>852</v>
      </c>
      <c r="L15" s="10" t="s">
        <v>848</v>
      </c>
      <c r="M15" s="62">
        <v>2</v>
      </c>
      <c r="N15" s="8"/>
      <c r="O15" s="62">
        <f t="shared" si="2"/>
        <v>2</v>
      </c>
      <c r="P15" s="62"/>
      <c r="Q15" s="62"/>
      <c r="R15" s="6"/>
      <c r="S15" s="64"/>
      <c r="T15" s="22">
        <v>5</v>
      </c>
      <c r="U15" s="64">
        <f t="shared" si="3"/>
        <v>0</v>
      </c>
      <c r="V15" s="22"/>
      <c r="W15" s="22"/>
      <c r="X15" s="62" t="s">
        <v>789</v>
      </c>
      <c r="Y15" s="62"/>
      <c r="Z15" s="62"/>
      <c r="AA15" s="65">
        <v>4</v>
      </c>
      <c r="AB15" s="66"/>
      <c r="AC15" s="62" t="s">
        <v>824</v>
      </c>
      <c r="AD15" s="62" t="str">
        <f>VLOOKUP(X15,'Customer List'!B:C,2,)</f>
        <v>STOCK</v>
      </c>
      <c r="AE15" s="67" t="s">
        <v>828</v>
      </c>
      <c r="AF15" s="6"/>
      <c r="AG15" s="62" t="str">
        <f t="shared" si="4"/>
        <v/>
      </c>
      <c r="AH15" s="62" t="str">
        <f t="shared" si="5"/>
        <v/>
      </c>
      <c r="AI15" s="62" t="str">
        <f t="shared" si="6"/>
        <v/>
      </c>
      <c r="AJ15" s="62" t="str">
        <f>VLOOKUP(AC15,'Currency Sheet'!A:C,3,)</f>
        <v>DOLLAR</v>
      </c>
      <c r="AK15" s="62" t="str">
        <f>VLOOKUP(X15,'Customer List'!B:D,3,)</f>
        <v>STOCK</v>
      </c>
    </row>
    <row r="16" spans="1:37" hidden="1" x14ac:dyDescent="0.25">
      <c r="A16" s="62">
        <f t="shared" si="21"/>
        <v>13</v>
      </c>
      <c r="B16" s="62" t="s">
        <v>824</v>
      </c>
      <c r="C16" s="62" t="s">
        <v>12</v>
      </c>
      <c r="D16" s="6">
        <v>45808</v>
      </c>
      <c r="E16" s="6">
        <v>45808</v>
      </c>
      <c r="F16" s="63">
        <v>61.1</v>
      </c>
      <c r="G16" s="64">
        <f t="shared" si="0"/>
        <v>5376.8</v>
      </c>
      <c r="H16" s="64">
        <f t="shared" si="1"/>
        <v>10753.6</v>
      </c>
      <c r="I16" s="62">
        <v>421002</v>
      </c>
      <c r="J16" s="62" t="s">
        <v>695</v>
      </c>
      <c r="K16" s="8" t="s">
        <v>853</v>
      </c>
      <c r="L16" s="10">
        <v>46235</v>
      </c>
      <c r="M16" s="62">
        <v>2</v>
      </c>
      <c r="N16" s="8">
        <v>2</v>
      </c>
      <c r="O16" s="62">
        <f t="shared" si="2"/>
        <v>0</v>
      </c>
      <c r="P16" s="62">
        <v>385</v>
      </c>
      <c r="Q16" s="6">
        <v>46167</v>
      </c>
      <c r="R16" s="6">
        <v>46168</v>
      </c>
      <c r="S16" s="64">
        <v>20398</v>
      </c>
      <c r="T16" s="22">
        <v>5</v>
      </c>
      <c r="U16" s="64">
        <f t="shared" si="3"/>
        <v>1019.9000000000001</v>
      </c>
      <c r="V16" s="22">
        <v>0.28999999999999998</v>
      </c>
      <c r="W16" s="22">
        <v>397797</v>
      </c>
      <c r="X16" s="62" t="s">
        <v>2892</v>
      </c>
      <c r="Y16" s="62">
        <v>58166004013</v>
      </c>
      <c r="Z16" s="62"/>
      <c r="AA16" s="65">
        <v>4</v>
      </c>
      <c r="AB16" s="66"/>
      <c r="AC16" s="62" t="s">
        <v>824</v>
      </c>
      <c r="AD16" s="62" t="str">
        <f>VLOOKUP(X16,'Customer List'!B:C,2,)</f>
        <v>Pune</v>
      </c>
      <c r="AE16" s="67" t="s">
        <v>828</v>
      </c>
      <c r="AF16" s="6"/>
      <c r="AG16" s="62" t="str">
        <f t="shared" si="4"/>
        <v/>
      </c>
      <c r="AH16" s="62" t="str">
        <f t="shared" si="5"/>
        <v>Saturday</v>
      </c>
      <c r="AI16" s="62" t="str">
        <f t="shared" si="6"/>
        <v/>
      </c>
      <c r="AJ16" s="62" t="str">
        <f>VLOOKUP(AC16,'Currency Sheet'!A:C,3,)</f>
        <v>DOLLAR</v>
      </c>
      <c r="AK16" s="62" t="str">
        <f>VLOOKUP(X16,'Customer List'!B:D,3,)</f>
        <v>OutStation</v>
      </c>
    </row>
    <row r="17" spans="1:37" hidden="1" x14ac:dyDescent="0.25">
      <c r="A17" s="62">
        <f t="shared" si="21"/>
        <v>14</v>
      </c>
      <c r="B17" s="62" t="s">
        <v>824</v>
      </c>
      <c r="C17" s="62" t="s">
        <v>12</v>
      </c>
      <c r="D17" s="6">
        <v>45808</v>
      </c>
      <c r="E17" s="6">
        <v>45808</v>
      </c>
      <c r="F17" s="63">
        <v>133.80000000000001</v>
      </c>
      <c r="G17" s="64">
        <f t="shared" si="0"/>
        <v>11774.400000000001</v>
      </c>
      <c r="H17" s="64">
        <f t="shared" si="1"/>
        <v>58872.000000000007</v>
      </c>
      <c r="I17" s="62">
        <v>556002</v>
      </c>
      <c r="J17" s="62" t="s">
        <v>696</v>
      </c>
      <c r="K17" s="8" t="s">
        <v>854</v>
      </c>
      <c r="L17" s="10">
        <v>46470</v>
      </c>
      <c r="M17" s="62">
        <v>5</v>
      </c>
      <c r="N17" s="8"/>
      <c r="O17" s="62">
        <f t="shared" si="2"/>
        <v>5</v>
      </c>
      <c r="P17" s="62"/>
      <c r="Q17" s="62"/>
      <c r="R17" s="6"/>
      <c r="S17" s="64"/>
      <c r="T17" s="22">
        <v>5</v>
      </c>
      <c r="U17" s="64">
        <f t="shared" si="3"/>
        <v>0</v>
      </c>
      <c r="V17" s="22"/>
      <c r="W17" s="22"/>
      <c r="X17" s="62" t="s">
        <v>789</v>
      </c>
      <c r="Y17" s="62"/>
      <c r="Z17" s="62"/>
      <c r="AA17" s="65">
        <v>-20</v>
      </c>
      <c r="AB17" s="66"/>
      <c r="AC17" s="62" t="s">
        <v>824</v>
      </c>
      <c r="AD17" s="62" t="str">
        <f>VLOOKUP(X17,'Customer List'!B:C,2,)</f>
        <v>STOCK</v>
      </c>
      <c r="AE17" s="67" t="s">
        <v>828</v>
      </c>
      <c r="AF17" s="6"/>
      <c r="AG17" s="62" t="str">
        <f t="shared" si="4"/>
        <v/>
      </c>
      <c r="AH17" s="62" t="str">
        <f t="shared" si="5"/>
        <v/>
      </c>
      <c r="AI17" s="62" t="str">
        <f t="shared" si="6"/>
        <v/>
      </c>
      <c r="AJ17" s="62" t="str">
        <f>VLOOKUP(AC17,'Currency Sheet'!A:C,3,)</f>
        <v>DOLLAR</v>
      </c>
      <c r="AK17" s="62" t="str">
        <f>VLOOKUP(X17,'Customer List'!B:D,3,)</f>
        <v>STOCK</v>
      </c>
    </row>
    <row r="18" spans="1:37" hidden="1" x14ac:dyDescent="0.25">
      <c r="A18" s="62">
        <f t="shared" si="21"/>
        <v>15</v>
      </c>
      <c r="B18" s="62" t="s">
        <v>824</v>
      </c>
      <c r="C18" s="62" t="s">
        <v>12</v>
      </c>
      <c r="D18" s="6">
        <v>45808</v>
      </c>
      <c r="E18" s="6">
        <v>45808</v>
      </c>
      <c r="F18" s="63">
        <v>88.2</v>
      </c>
      <c r="G18" s="64">
        <f t="shared" si="0"/>
        <v>7761.6</v>
      </c>
      <c r="H18" s="64">
        <f t="shared" si="1"/>
        <v>15523.2</v>
      </c>
      <c r="I18" s="62">
        <v>570802</v>
      </c>
      <c r="J18" s="62" t="s">
        <v>697</v>
      </c>
      <c r="K18" s="8" t="s">
        <v>856</v>
      </c>
      <c r="L18" s="10">
        <v>46491</v>
      </c>
      <c r="M18" s="62">
        <v>2</v>
      </c>
      <c r="N18" s="8"/>
      <c r="O18" s="62">
        <f t="shared" si="2"/>
        <v>2</v>
      </c>
      <c r="P18" s="62"/>
      <c r="Q18" s="62"/>
      <c r="R18" s="6"/>
      <c r="S18" s="64"/>
      <c r="T18" s="22">
        <v>5</v>
      </c>
      <c r="U18" s="64">
        <f t="shared" si="3"/>
        <v>0</v>
      </c>
      <c r="V18" s="22"/>
      <c r="W18" s="22"/>
      <c r="X18" s="62" t="s">
        <v>789</v>
      </c>
      <c r="Y18" s="62"/>
      <c r="Z18" s="62"/>
      <c r="AA18" s="65">
        <v>-20</v>
      </c>
      <c r="AB18" s="66"/>
      <c r="AC18" s="62" t="s">
        <v>824</v>
      </c>
      <c r="AD18" s="62" t="str">
        <f>VLOOKUP(X18,'Customer List'!B:C,2,)</f>
        <v>STOCK</v>
      </c>
      <c r="AE18" s="67" t="s">
        <v>828</v>
      </c>
      <c r="AF18" s="6"/>
      <c r="AG18" s="62" t="str">
        <f t="shared" si="4"/>
        <v/>
      </c>
      <c r="AH18" s="62" t="str">
        <f t="shared" si="5"/>
        <v/>
      </c>
      <c r="AI18" s="62" t="str">
        <f t="shared" si="6"/>
        <v/>
      </c>
      <c r="AJ18" s="62" t="str">
        <f>VLOOKUP(AC18,'Currency Sheet'!A:C,3,)</f>
        <v>DOLLAR</v>
      </c>
      <c r="AK18" s="62" t="str">
        <f>VLOOKUP(X18,'Customer List'!B:D,3,)</f>
        <v>STOCK</v>
      </c>
    </row>
    <row r="19" spans="1:37" hidden="1" x14ac:dyDescent="0.25">
      <c r="A19" s="62">
        <f t="shared" si="21"/>
        <v>16</v>
      </c>
      <c r="B19" s="62" t="s">
        <v>810</v>
      </c>
      <c r="C19" s="62" t="s">
        <v>12</v>
      </c>
      <c r="D19" s="6">
        <v>45808</v>
      </c>
      <c r="E19" s="6">
        <v>45808</v>
      </c>
      <c r="F19" s="63">
        <v>0</v>
      </c>
      <c r="G19" s="64">
        <f t="shared" si="0"/>
        <v>0</v>
      </c>
      <c r="H19" s="64">
        <f t="shared" si="1"/>
        <v>0</v>
      </c>
      <c r="I19" s="62">
        <v>814326</v>
      </c>
      <c r="J19" s="62" t="s">
        <v>698</v>
      </c>
      <c r="K19" s="8"/>
      <c r="L19" s="10"/>
      <c r="M19" s="62">
        <v>2</v>
      </c>
      <c r="N19" s="8"/>
      <c r="O19" s="62">
        <f t="shared" si="2"/>
        <v>2</v>
      </c>
      <c r="P19" s="62"/>
      <c r="Q19" s="62"/>
      <c r="R19" s="6"/>
      <c r="S19" s="64"/>
      <c r="T19" s="22">
        <v>5</v>
      </c>
      <c r="U19" s="64">
        <f t="shared" si="3"/>
        <v>0</v>
      </c>
      <c r="V19" s="22"/>
      <c r="W19" s="22"/>
      <c r="X19" s="62" t="s">
        <v>789</v>
      </c>
      <c r="Y19" s="62"/>
      <c r="Z19" s="62"/>
      <c r="AA19" s="65" t="s">
        <v>808</v>
      </c>
      <c r="AB19" s="66"/>
      <c r="AC19" s="62" t="s">
        <v>810</v>
      </c>
      <c r="AD19" s="62" t="str">
        <f>VLOOKUP(X19,'Customer List'!B:C,2,)</f>
        <v>STOCK</v>
      </c>
      <c r="AE19" s="67" t="s">
        <v>828</v>
      </c>
      <c r="AF19" s="6"/>
      <c r="AG19" s="62" t="str">
        <f t="shared" si="4"/>
        <v/>
      </c>
      <c r="AH19" s="62" t="str">
        <f t="shared" si="5"/>
        <v/>
      </c>
      <c r="AI19" s="62" t="str">
        <f t="shared" si="6"/>
        <v/>
      </c>
      <c r="AJ19" s="62" t="str">
        <f>VLOOKUP(AC19,'Currency Sheet'!A:C,3,)</f>
        <v>INR</v>
      </c>
      <c r="AK19" s="62" t="str">
        <f>VLOOKUP(X19,'Customer List'!B:D,3,)</f>
        <v>STOCK</v>
      </c>
    </row>
    <row r="20" spans="1:37" s="56" customFormat="1" hidden="1" x14ac:dyDescent="0.25">
      <c r="A20" s="48">
        <f t="shared" si="21"/>
        <v>17</v>
      </c>
      <c r="B20" s="48" t="s">
        <v>810</v>
      </c>
      <c r="C20" s="48" t="s">
        <v>12</v>
      </c>
      <c r="D20" s="50">
        <v>45808</v>
      </c>
      <c r="E20" s="50">
        <v>45808</v>
      </c>
      <c r="F20" s="57">
        <v>1252.3</v>
      </c>
      <c r="G20" s="51">
        <f t="shared" si="0"/>
        <v>1252.3</v>
      </c>
      <c r="H20" s="51">
        <f t="shared" si="1"/>
        <v>1252.3</v>
      </c>
      <c r="I20" s="48">
        <v>1860454</v>
      </c>
      <c r="J20" s="48" t="s">
        <v>699</v>
      </c>
      <c r="K20" s="47"/>
      <c r="L20" s="49"/>
      <c r="M20" s="48">
        <v>1</v>
      </c>
      <c r="N20" s="47">
        <v>1</v>
      </c>
      <c r="O20" s="48">
        <f t="shared" si="2"/>
        <v>0</v>
      </c>
      <c r="P20" s="48" t="s">
        <v>1454</v>
      </c>
      <c r="Q20" s="48" t="s">
        <v>1454</v>
      </c>
      <c r="R20" s="50" t="s">
        <v>1454</v>
      </c>
      <c r="S20" s="51">
        <v>0</v>
      </c>
      <c r="T20" s="52">
        <v>0</v>
      </c>
      <c r="U20" s="51">
        <f t="shared" si="3"/>
        <v>0</v>
      </c>
      <c r="V20" s="52">
        <v>0</v>
      </c>
      <c r="W20" s="52">
        <v>0</v>
      </c>
      <c r="X20" s="48" t="s">
        <v>1454</v>
      </c>
      <c r="Y20" s="48" t="s">
        <v>1939</v>
      </c>
      <c r="Z20" s="48" t="s">
        <v>1939</v>
      </c>
      <c r="AA20" s="53" t="s">
        <v>808</v>
      </c>
      <c r="AB20" s="54"/>
      <c r="AC20" s="48" t="s">
        <v>810</v>
      </c>
      <c r="AD20" s="48" t="str">
        <f>VLOOKUP(X20,'Customer List'!B:C,2,)</f>
        <v>EXPIRED</v>
      </c>
      <c r="AE20" s="55" t="s">
        <v>828</v>
      </c>
      <c r="AF20" s="50"/>
      <c r="AG20" s="48" t="str">
        <f t="shared" si="4"/>
        <v/>
      </c>
      <c r="AH20" s="48" t="str">
        <f t="shared" si="5"/>
        <v>Saturday</v>
      </c>
      <c r="AI20" s="48" t="str">
        <f t="shared" si="6"/>
        <v/>
      </c>
      <c r="AJ20" s="48" t="str">
        <f>VLOOKUP(AC20,'Currency Sheet'!A:C,3,)</f>
        <v>INR</v>
      </c>
      <c r="AK20" s="48" t="str">
        <f>VLOOKUP(X20,'Customer List'!B:D,3,)</f>
        <v>EXPIRED</v>
      </c>
    </row>
    <row r="21" spans="1:37" hidden="1" x14ac:dyDescent="0.25">
      <c r="A21" s="62">
        <f t="shared" si="21"/>
        <v>18</v>
      </c>
      <c r="B21" s="62" t="s">
        <v>271</v>
      </c>
      <c r="C21" s="62" t="s">
        <v>12</v>
      </c>
      <c r="D21" s="6">
        <v>45808</v>
      </c>
      <c r="E21" s="6">
        <v>45808</v>
      </c>
      <c r="F21" s="63">
        <v>2800</v>
      </c>
      <c r="G21" s="64">
        <f t="shared" si="0"/>
        <v>2800</v>
      </c>
      <c r="H21" s="64">
        <f t="shared" si="1"/>
        <v>5600</v>
      </c>
      <c r="I21" s="62" t="s">
        <v>627</v>
      </c>
      <c r="J21" s="62" t="s">
        <v>700</v>
      </c>
      <c r="K21" s="8"/>
      <c r="L21" s="10"/>
      <c r="M21" s="62">
        <v>2</v>
      </c>
      <c r="N21" s="8"/>
      <c r="O21" s="62">
        <f t="shared" si="2"/>
        <v>2</v>
      </c>
      <c r="P21" s="62"/>
      <c r="Q21" s="62"/>
      <c r="R21" s="6"/>
      <c r="S21" s="64"/>
      <c r="T21" s="22">
        <v>5</v>
      </c>
      <c r="U21" s="64">
        <f t="shared" si="3"/>
        <v>0</v>
      </c>
      <c r="V21" s="22"/>
      <c r="W21" s="22"/>
      <c r="X21" s="62" t="s">
        <v>789</v>
      </c>
      <c r="Y21" s="62"/>
      <c r="Z21" s="62"/>
      <c r="AA21" s="65" t="s">
        <v>808</v>
      </c>
      <c r="AB21" s="66"/>
      <c r="AC21" s="62" t="s">
        <v>271</v>
      </c>
      <c r="AD21" s="62" t="str">
        <f>VLOOKUP(X21,'Customer List'!B:C,2,)</f>
        <v>STOCK</v>
      </c>
      <c r="AE21" s="67" t="s">
        <v>828</v>
      </c>
      <c r="AF21" s="6"/>
      <c r="AG21" s="62" t="str">
        <f t="shared" si="4"/>
        <v/>
      </c>
      <c r="AH21" s="62" t="str">
        <f t="shared" si="5"/>
        <v/>
      </c>
      <c r="AI21" s="62" t="str">
        <f t="shared" si="6"/>
        <v/>
      </c>
      <c r="AJ21" s="62" t="str">
        <f>VLOOKUP(AC21,'Currency Sheet'!A:C,3,)</f>
        <v>INR</v>
      </c>
      <c r="AK21" s="62" t="str">
        <f>VLOOKUP(X21,'Customer List'!B:D,3,)</f>
        <v>STOCK</v>
      </c>
    </row>
    <row r="22" spans="1:37" hidden="1" x14ac:dyDescent="0.25">
      <c r="A22" s="62">
        <f t="shared" si="21"/>
        <v>19</v>
      </c>
      <c r="B22" s="62" t="s">
        <v>27</v>
      </c>
      <c r="C22" s="62" t="s">
        <v>12</v>
      </c>
      <c r="D22" s="6">
        <v>45808</v>
      </c>
      <c r="E22" s="6">
        <v>45808</v>
      </c>
      <c r="F22" s="63">
        <v>259</v>
      </c>
      <c r="G22" s="64">
        <f t="shared" si="0"/>
        <v>22792</v>
      </c>
      <c r="H22" s="64">
        <f t="shared" si="1"/>
        <v>22792</v>
      </c>
      <c r="I22" s="62" t="s">
        <v>628</v>
      </c>
      <c r="J22" s="62" t="s">
        <v>701</v>
      </c>
      <c r="K22" s="8">
        <v>250415</v>
      </c>
      <c r="L22" s="10" t="s">
        <v>848</v>
      </c>
      <c r="M22" s="62">
        <v>1</v>
      </c>
      <c r="N22" s="8"/>
      <c r="O22" s="62">
        <f t="shared" si="2"/>
        <v>1</v>
      </c>
      <c r="P22" s="62"/>
      <c r="Q22" s="62"/>
      <c r="R22" s="6"/>
      <c r="S22" s="64"/>
      <c r="T22" s="22">
        <v>5</v>
      </c>
      <c r="U22" s="64">
        <f t="shared" si="3"/>
        <v>0</v>
      </c>
      <c r="V22" s="22"/>
      <c r="W22" s="22"/>
      <c r="X22" s="62" t="s">
        <v>789</v>
      </c>
      <c r="Y22" s="62"/>
      <c r="Z22" s="62"/>
      <c r="AA22" s="65">
        <v>-20</v>
      </c>
      <c r="AB22" s="66" t="s">
        <v>812</v>
      </c>
      <c r="AC22" s="62" t="s">
        <v>27</v>
      </c>
      <c r="AD22" s="62" t="str">
        <f>VLOOKUP(X22,'Customer List'!B:C,2,)</f>
        <v>STOCK</v>
      </c>
      <c r="AE22" s="67" t="s">
        <v>828</v>
      </c>
      <c r="AF22" s="6"/>
      <c r="AG22" s="62" t="str">
        <f t="shared" si="4"/>
        <v/>
      </c>
      <c r="AH22" s="62" t="str">
        <f t="shared" si="5"/>
        <v/>
      </c>
      <c r="AI22" s="62" t="str">
        <f t="shared" si="6"/>
        <v/>
      </c>
      <c r="AJ22" s="62" t="str">
        <f>VLOOKUP(AC22,'Currency Sheet'!A:C,3,)</f>
        <v>DOLLAR</v>
      </c>
      <c r="AK22" s="62" t="str">
        <f>VLOOKUP(X22,'Customer List'!B:D,3,)</f>
        <v>STOCK</v>
      </c>
    </row>
    <row r="23" spans="1:37" ht="30" hidden="1" x14ac:dyDescent="0.25">
      <c r="A23" s="62">
        <f t="shared" si="21"/>
        <v>20</v>
      </c>
      <c r="B23" s="62" t="s">
        <v>27</v>
      </c>
      <c r="C23" s="62" t="s">
        <v>12</v>
      </c>
      <c r="D23" s="6">
        <v>45808</v>
      </c>
      <c r="E23" s="6">
        <v>45808</v>
      </c>
      <c r="F23" s="63">
        <v>0</v>
      </c>
      <c r="G23" s="64">
        <f t="shared" si="0"/>
        <v>0</v>
      </c>
      <c r="H23" s="64">
        <f t="shared" si="1"/>
        <v>0</v>
      </c>
      <c r="I23" s="62" t="s">
        <v>629</v>
      </c>
      <c r="J23" s="62" t="s">
        <v>702</v>
      </c>
      <c r="K23" s="8">
        <v>220325</v>
      </c>
      <c r="L23" s="10" t="s">
        <v>848</v>
      </c>
      <c r="M23" s="62">
        <v>1</v>
      </c>
      <c r="N23" s="8"/>
      <c r="O23" s="62">
        <f t="shared" si="2"/>
        <v>1</v>
      </c>
      <c r="P23" s="62"/>
      <c r="Q23" s="62"/>
      <c r="R23" s="6"/>
      <c r="S23" s="64"/>
      <c r="T23" s="22">
        <v>5</v>
      </c>
      <c r="U23" s="64">
        <f t="shared" si="3"/>
        <v>0</v>
      </c>
      <c r="V23" s="22"/>
      <c r="W23" s="22"/>
      <c r="X23" s="62" t="s">
        <v>789</v>
      </c>
      <c r="Y23" s="62"/>
      <c r="Z23" s="62"/>
      <c r="AA23" s="65">
        <v>-20</v>
      </c>
      <c r="AB23" s="66" t="s">
        <v>813</v>
      </c>
      <c r="AC23" s="62" t="s">
        <v>27</v>
      </c>
      <c r="AD23" s="62" t="str">
        <f>VLOOKUP(X23,'Customer List'!B:C,2,)</f>
        <v>STOCK</v>
      </c>
      <c r="AE23" s="67" t="s">
        <v>828</v>
      </c>
      <c r="AF23" s="6"/>
      <c r="AG23" s="62" t="str">
        <f t="shared" si="4"/>
        <v/>
      </c>
      <c r="AH23" s="62" t="str">
        <f t="shared" si="5"/>
        <v/>
      </c>
      <c r="AI23" s="62" t="str">
        <f t="shared" si="6"/>
        <v/>
      </c>
      <c r="AJ23" s="62" t="str">
        <f>VLOOKUP(AC23,'Currency Sheet'!A:C,3,)</f>
        <v>DOLLAR</v>
      </c>
      <c r="AK23" s="62" t="str">
        <f>VLOOKUP(X23,'Customer List'!B:D,3,)</f>
        <v>STOCK</v>
      </c>
    </row>
    <row r="24" spans="1:37" s="56" customFormat="1" hidden="1" x14ac:dyDescent="0.25">
      <c r="A24" s="48">
        <f t="shared" si="21"/>
        <v>21</v>
      </c>
      <c r="B24" s="48" t="s">
        <v>271</v>
      </c>
      <c r="C24" s="48" t="s">
        <v>12</v>
      </c>
      <c r="D24" s="50">
        <v>45808</v>
      </c>
      <c r="E24" s="50">
        <v>45808</v>
      </c>
      <c r="F24" s="57">
        <v>13000</v>
      </c>
      <c r="G24" s="51">
        <f t="shared" si="0"/>
        <v>13000</v>
      </c>
      <c r="H24" s="64">
        <f t="shared" si="1"/>
        <v>26000</v>
      </c>
      <c r="I24" s="48" t="s">
        <v>630</v>
      </c>
      <c r="J24" s="48" t="s">
        <v>703</v>
      </c>
      <c r="K24" s="47"/>
      <c r="L24" s="49"/>
      <c r="M24" s="48">
        <v>2</v>
      </c>
      <c r="N24" s="47">
        <v>2</v>
      </c>
      <c r="O24" s="48">
        <f t="shared" si="2"/>
        <v>0</v>
      </c>
      <c r="P24" s="48" t="s">
        <v>1454</v>
      </c>
      <c r="Q24" s="48" t="s">
        <v>1454</v>
      </c>
      <c r="R24" s="48" t="s">
        <v>1454</v>
      </c>
      <c r="S24" s="51">
        <v>0</v>
      </c>
      <c r="T24" s="52">
        <v>0</v>
      </c>
      <c r="U24" s="51">
        <f t="shared" si="3"/>
        <v>0</v>
      </c>
      <c r="V24" s="52">
        <v>0</v>
      </c>
      <c r="W24" s="52">
        <v>0</v>
      </c>
      <c r="X24" s="48" t="s">
        <v>1454</v>
      </c>
      <c r="Y24" s="48" t="s">
        <v>1939</v>
      </c>
      <c r="Z24" s="48" t="s">
        <v>1939</v>
      </c>
      <c r="AA24" s="53" t="s">
        <v>808</v>
      </c>
      <c r="AB24" s="54"/>
      <c r="AC24" s="48" t="s">
        <v>271</v>
      </c>
      <c r="AD24" s="48" t="str">
        <f>VLOOKUP(X24,'Customer List'!B:C,2,)</f>
        <v>EXPIRED</v>
      </c>
      <c r="AE24" s="55" t="s">
        <v>828</v>
      </c>
      <c r="AF24" s="50"/>
      <c r="AG24" s="48" t="str">
        <f t="shared" si="4"/>
        <v/>
      </c>
      <c r="AH24" s="48" t="str">
        <f t="shared" si="5"/>
        <v>Saturday</v>
      </c>
      <c r="AI24" s="48" t="str">
        <f t="shared" si="6"/>
        <v/>
      </c>
      <c r="AJ24" s="48" t="str">
        <f>VLOOKUP(AC24,'Currency Sheet'!A:C,3,)</f>
        <v>INR</v>
      </c>
      <c r="AK24" s="48" t="str">
        <f>VLOOKUP(X24,'Customer List'!B:D,3,)</f>
        <v>EXPIRED</v>
      </c>
    </row>
    <row r="25" spans="1:37" hidden="1" x14ac:dyDescent="0.25">
      <c r="A25" s="62">
        <f t="shared" si="21"/>
        <v>22</v>
      </c>
      <c r="B25" s="62" t="s">
        <v>271</v>
      </c>
      <c r="C25" s="62" t="s">
        <v>12</v>
      </c>
      <c r="D25" s="6">
        <v>45808</v>
      </c>
      <c r="E25" s="6">
        <v>45808</v>
      </c>
      <c r="F25" s="63">
        <v>13000</v>
      </c>
      <c r="G25" s="64">
        <f t="shared" si="0"/>
        <v>13000</v>
      </c>
      <c r="H25" s="64">
        <f t="shared" si="1"/>
        <v>52000</v>
      </c>
      <c r="I25" s="62" t="s">
        <v>630</v>
      </c>
      <c r="J25" s="62" t="s">
        <v>703</v>
      </c>
      <c r="K25" s="8"/>
      <c r="L25" s="10"/>
      <c r="M25" s="62">
        <v>4</v>
      </c>
      <c r="N25" s="8"/>
      <c r="O25" s="62">
        <f t="shared" si="2"/>
        <v>4</v>
      </c>
      <c r="P25" s="62"/>
      <c r="Q25" s="62"/>
      <c r="R25" s="6"/>
      <c r="S25" s="64"/>
      <c r="T25" s="22">
        <v>5</v>
      </c>
      <c r="U25" s="64">
        <f t="shared" si="3"/>
        <v>0</v>
      </c>
      <c r="V25" s="22"/>
      <c r="W25" s="22"/>
      <c r="X25" s="62" t="s">
        <v>789</v>
      </c>
      <c r="Y25" s="62"/>
      <c r="Z25" s="62"/>
      <c r="AA25" s="65" t="s">
        <v>808</v>
      </c>
      <c r="AB25" s="66"/>
      <c r="AC25" s="62" t="s">
        <v>271</v>
      </c>
      <c r="AD25" s="62" t="str">
        <f>VLOOKUP(X25,'Customer List'!B:C,2,)</f>
        <v>STOCK</v>
      </c>
      <c r="AE25" s="67" t="s">
        <v>828</v>
      </c>
      <c r="AF25" s="6"/>
      <c r="AG25" s="62" t="str">
        <f t="shared" si="4"/>
        <v/>
      </c>
      <c r="AH25" s="62" t="str">
        <f t="shared" si="5"/>
        <v/>
      </c>
      <c r="AI25" s="62" t="str">
        <f t="shared" si="6"/>
        <v/>
      </c>
      <c r="AJ25" s="62" t="str">
        <f>VLOOKUP(AC25,'Currency Sheet'!A:C,3,)</f>
        <v>INR</v>
      </c>
      <c r="AK25" s="62" t="str">
        <f>VLOOKUP(X25,'Customer List'!B:D,3,)</f>
        <v>STOCK</v>
      </c>
    </row>
    <row r="26" spans="1:37" hidden="1" x14ac:dyDescent="0.25">
      <c r="A26" s="62">
        <f t="shared" si="21"/>
        <v>23</v>
      </c>
      <c r="B26" s="62" t="s">
        <v>271</v>
      </c>
      <c r="C26" s="62" t="s">
        <v>12</v>
      </c>
      <c r="D26" s="6">
        <v>45808</v>
      </c>
      <c r="E26" s="6">
        <v>45808</v>
      </c>
      <c r="F26" s="63">
        <v>6500</v>
      </c>
      <c r="G26" s="64">
        <f t="shared" si="0"/>
        <v>6500</v>
      </c>
      <c r="H26" s="64">
        <f t="shared" si="1"/>
        <v>6500</v>
      </c>
      <c r="I26" s="62" t="s">
        <v>631</v>
      </c>
      <c r="J26" s="62" t="s">
        <v>704</v>
      </c>
      <c r="K26" s="8"/>
      <c r="L26" s="10"/>
      <c r="M26" s="62">
        <v>1</v>
      </c>
      <c r="N26" s="8"/>
      <c r="O26" s="62">
        <f t="shared" si="2"/>
        <v>1</v>
      </c>
      <c r="P26" s="62"/>
      <c r="Q26" s="62"/>
      <c r="R26" s="6"/>
      <c r="S26" s="64"/>
      <c r="T26" s="22">
        <v>5</v>
      </c>
      <c r="U26" s="64">
        <f t="shared" si="3"/>
        <v>0</v>
      </c>
      <c r="V26" s="22"/>
      <c r="W26" s="22"/>
      <c r="X26" s="62" t="s">
        <v>789</v>
      </c>
      <c r="Y26" s="62"/>
      <c r="Z26" s="62"/>
      <c r="AA26" s="65" t="s">
        <v>808</v>
      </c>
      <c r="AB26" s="66"/>
      <c r="AC26" s="62" t="s">
        <v>271</v>
      </c>
      <c r="AD26" s="62" t="str">
        <f>VLOOKUP(X26,'Customer List'!B:C,2,)</f>
        <v>STOCK</v>
      </c>
      <c r="AE26" s="67" t="s">
        <v>828</v>
      </c>
      <c r="AF26" s="6"/>
      <c r="AG26" s="62" t="str">
        <f t="shared" si="4"/>
        <v/>
      </c>
      <c r="AH26" s="62" t="str">
        <f t="shared" si="5"/>
        <v/>
      </c>
      <c r="AI26" s="62" t="str">
        <f t="shared" si="6"/>
        <v/>
      </c>
      <c r="AJ26" s="62" t="str">
        <f>VLOOKUP(AC26,'Currency Sheet'!A:C,3,)</f>
        <v>INR</v>
      </c>
      <c r="AK26" s="62" t="str">
        <f>VLOOKUP(X26,'Customer List'!B:D,3,)</f>
        <v>STOCK</v>
      </c>
    </row>
    <row r="27" spans="1:37" hidden="1" x14ac:dyDescent="0.25">
      <c r="A27" s="62">
        <f t="shared" si="21"/>
        <v>24</v>
      </c>
      <c r="B27" s="62" t="s">
        <v>824</v>
      </c>
      <c r="C27" s="62" t="s">
        <v>570</v>
      </c>
      <c r="D27" s="6">
        <v>45814</v>
      </c>
      <c r="E27" s="6">
        <v>45821</v>
      </c>
      <c r="F27" s="63">
        <v>5</v>
      </c>
      <c r="G27" s="64">
        <f t="shared" si="0"/>
        <v>440</v>
      </c>
      <c r="H27" s="64">
        <f t="shared" si="1"/>
        <v>440</v>
      </c>
      <c r="I27" s="62">
        <v>631151</v>
      </c>
      <c r="J27" s="62" t="s">
        <v>705</v>
      </c>
      <c r="K27" s="8" t="s">
        <v>855</v>
      </c>
      <c r="L27" s="10">
        <v>48806</v>
      </c>
      <c r="M27" s="62">
        <v>1</v>
      </c>
      <c r="N27" s="8"/>
      <c r="O27" s="62">
        <f t="shared" si="2"/>
        <v>1</v>
      </c>
      <c r="P27" s="62"/>
      <c r="Q27" s="62"/>
      <c r="R27" s="6"/>
      <c r="S27" s="64"/>
      <c r="T27" s="22">
        <v>5</v>
      </c>
      <c r="U27" s="64">
        <f t="shared" si="3"/>
        <v>0</v>
      </c>
      <c r="V27" s="22"/>
      <c r="W27" s="22"/>
      <c r="X27" s="62" t="s">
        <v>789</v>
      </c>
      <c r="Y27" s="62"/>
      <c r="Z27" s="62"/>
      <c r="AA27" s="65">
        <v>4</v>
      </c>
      <c r="AB27" s="66" t="s">
        <v>814</v>
      </c>
      <c r="AC27" s="62" t="s">
        <v>824</v>
      </c>
      <c r="AD27" s="62" t="str">
        <f>VLOOKUP(X27,'Customer List'!B:C,2,)</f>
        <v>STOCK</v>
      </c>
      <c r="AE27" s="67" t="s">
        <v>828</v>
      </c>
      <c r="AF27" s="6"/>
      <c r="AG27" s="62" t="str">
        <f t="shared" si="4"/>
        <v/>
      </c>
      <c r="AH27" s="62" t="str">
        <f t="shared" si="5"/>
        <v/>
      </c>
      <c r="AI27" s="62" t="str">
        <f t="shared" si="6"/>
        <v/>
      </c>
      <c r="AJ27" s="62" t="str">
        <f>VLOOKUP(AC27,'Currency Sheet'!A:C,3,)</f>
        <v>DOLLAR</v>
      </c>
      <c r="AK27" s="62" t="str">
        <f>VLOOKUP(X27,'Customer List'!B:D,3,)</f>
        <v>STOCK</v>
      </c>
    </row>
    <row r="28" spans="1:37" hidden="1" x14ac:dyDescent="0.25">
      <c r="A28" s="62">
        <f t="shared" si="21"/>
        <v>25</v>
      </c>
      <c r="B28" s="62" t="s">
        <v>824</v>
      </c>
      <c r="C28" s="62" t="s">
        <v>570</v>
      </c>
      <c r="D28" s="6">
        <v>45814</v>
      </c>
      <c r="E28" s="6">
        <v>45821</v>
      </c>
      <c r="F28" s="63">
        <v>5</v>
      </c>
      <c r="G28" s="64">
        <f t="shared" si="0"/>
        <v>440</v>
      </c>
      <c r="H28" s="64">
        <f t="shared" si="1"/>
        <v>440</v>
      </c>
      <c r="I28" s="62">
        <v>656801</v>
      </c>
      <c r="J28" s="62" t="s">
        <v>706</v>
      </c>
      <c r="K28" s="8" t="s">
        <v>857</v>
      </c>
      <c r="L28" s="10">
        <v>47546</v>
      </c>
      <c r="M28" s="62">
        <v>1</v>
      </c>
      <c r="N28" s="8"/>
      <c r="O28" s="62">
        <f t="shared" si="2"/>
        <v>1</v>
      </c>
      <c r="P28" s="62"/>
      <c r="Q28" s="62"/>
      <c r="R28" s="6"/>
      <c r="S28" s="64"/>
      <c r="T28" s="22">
        <v>5</v>
      </c>
      <c r="U28" s="64">
        <f t="shared" si="3"/>
        <v>0</v>
      </c>
      <c r="V28" s="22"/>
      <c r="W28" s="22"/>
      <c r="X28" s="62" t="s">
        <v>789</v>
      </c>
      <c r="Y28" s="62"/>
      <c r="Z28" s="62"/>
      <c r="AA28" s="65">
        <v>4</v>
      </c>
      <c r="AB28" s="66" t="s">
        <v>814</v>
      </c>
      <c r="AC28" s="62" t="s">
        <v>824</v>
      </c>
      <c r="AD28" s="62" t="str">
        <f>VLOOKUP(X28,'Customer List'!B:C,2,)</f>
        <v>STOCK</v>
      </c>
      <c r="AE28" s="67" t="s">
        <v>828</v>
      </c>
      <c r="AF28" s="6"/>
      <c r="AG28" s="62" t="str">
        <f t="shared" si="4"/>
        <v/>
      </c>
      <c r="AH28" s="62" t="str">
        <f t="shared" si="5"/>
        <v/>
      </c>
      <c r="AI28" s="62" t="str">
        <f t="shared" si="6"/>
        <v/>
      </c>
      <c r="AJ28" s="62" t="str">
        <f>VLOOKUP(AC28,'Currency Sheet'!A:C,3,)</f>
        <v>DOLLAR</v>
      </c>
      <c r="AK28" s="62" t="str">
        <f>VLOOKUP(X28,'Customer List'!B:D,3,)</f>
        <v>STOCK</v>
      </c>
    </row>
    <row r="29" spans="1:37" hidden="1" x14ac:dyDescent="0.25">
      <c r="A29" s="62">
        <f t="shared" si="21"/>
        <v>26</v>
      </c>
      <c r="B29" s="62" t="s">
        <v>824</v>
      </c>
      <c r="C29" s="62" t="s">
        <v>570</v>
      </c>
      <c r="D29" s="6">
        <v>45814</v>
      </c>
      <c r="E29" s="6">
        <v>45821</v>
      </c>
      <c r="F29" s="63">
        <v>5</v>
      </c>
      <c r="G29" s="64">
        <f t="shared" si="0"/>
        <v>440</v>
      </c>
      <c r="H29" s="64">
        <f t="shared" si="1"/>
        <v>440</v>
      </c>
      <c r="I29" s="62">
        <v>805002</v>
      </c>
      <c r="J29" s="62" t="s">
        <v>707</v>
      </c>
      <c r="K29" s="8" t="s">
        <v>858</v>
      </c>
      <c r="L29" s="10">
        <v>47797</v>
      </c>
      <c r="M29" s="62">
        <v>1</v>
      </c>
      <c r="N29" s="8"/>
      <c r="O29" s="62">
        <f t="shared" si="2"/>
        <v>1</v>
      </c>
      <c r="P29" s="62"/>
      <c r="Q29" s="62"/>
      <c r="R29" s="6"/>
      <c r="S29" s="64"/>
      <c r="T29" s="22">
        <v>5</v>
      </c>
      <c r="U29" s="64">
        <f t="shared" si="3"/>
        <v>0</v>
      </c>
      <c r="V29" s="22"/>
      <c r="W29" s="22"/>
      <c r="X29" s="62" t="s">
        <v>789</v>
      </c>
      <c r="Y29" s="62"/>
      <c r="Z29" s="62"/>
      <c r="AA29" s="65">
        <v>4</v>
      </c>
      <c r="AB29" s="66" t="s">
        <v>814</v>
      </c>
      <c r="AC29" s="62" t="s">
        <v>824</v>
      </c>
      <c r="AD29" s="62" t="str">
        <f>VLOOKUP(X29,'Customer List'!B:C,2,)</f>
        <v>STOCK</v>
      </c>
      <c r="AE29" s="67" t="s">
        <v>828</v>
      </c>
      <c r="AF29" s="6"/>
      <c r="AG29" s="62" t="str">
        <f t="shared" si="4"/>
        <v/>
      </c>
      <c r="AH29" s="62" t="str">
        <f t="shared" si="5"/>
        <v/>
      </c>
      <c r="AI29" s="62" t="str">
        <f t="shared" si="6"/>
        <v/>
      </c>
      <c r="AJ29" s="62" t="str">
        <f>VLOOKUP(AC29,'Currency Sheet'!A:C,3,)</f>
        <v>DOLLAR</v>
      </c>
      <c r="AK29" s="62" t="str">
        <f>VLOOKUP(X29,'Customer List'!B:D,3,)</f>
        <v>STOCK</v>
      </c>
    </row>
    <row r="30" spans="1:37" hidden="1" x14ac:dyDescent="0.25">
      <c r="A30" s="62">
        <f t="shared" si="21"/>
        <v>27</v>
      </c>
      <c r="B30" s="62" t="s">
        <v>220</v>
      </c>
      <c r="C30" s="62">
        <v>4513060194</v>
      </c>
      <c r="D30" s="6">
        <v>45834</v>
      </c>
      <c r="E30" s="6">
        <v>45838</v>
      </c>
      <c r="F30" s="63">
        <v>487219.85</v>
      </c>
      <c r="G30" s="64">
        <f t="shared" si="0"/>
        <v>487219.85</v>
      </c>
      <c r="H30" s="64">
        <f t="shared" si="1"/>
        <v>487219.85</v>
      </c>
      <c r="I30" s="62" t="s">
        <v>632</v>
      </c>
      <c r="J30" s="62" t="s">
        <v>708</v>
      </c>
      <c r="K30" s="8"/>
      <c r="L30" s="10"/>
      <c r="M30" s="62">
        <v>1</v>
      </c>
      <c r="N30" s="8"/>
      <c r="O30" s="62">
        <f t="shared" si="2"/>
        <v>1</v>
      </c>
      <c r="P30" s="62"/>
      <c r="Q30" s="62"/>
      <c r="R30" s="6"/>
      <c r="S30" s="64"/>
      <c r="T30" s="22">
        <v>5</v>
      </c>
      <c r="U30" s="64">
        <f t="shared" si="3"/>
        <v>0</v>
      </c>
      <c r="V30" s="22"/>
      <c r="W30" s="22"/>
      <c r="X30" s="62" t="s">
        <v>789</v>
      </c>
      <c r="Y30" s="62"/>
      <c r="Z30" s="62"/>
      <c r="AA30" s="65" t="s">
        <v>808</v>
      </c>
      <c r="AB30" s="66" t="s">
        <v>815</v>
      </c>
      <c r="AC30" s="62" t="s">
        <v>220</v>
      </c>
      <c r="AD30" s="62" t="str">
        <f>VLOOKUP(X30,'Customer List'!B:C,2,)</f>
        <v>STOCK</v>
      </c>
      <c r="AE30" s="67" t="s">
        <v>828</v>
      </c>
      <c r="AF30" s="6"/>
      <c r="AG30" s="62" t="str">
        <f t="shared" si="4"/>
        <v/>
      </c>
      <c r="AH30" s="62" t="str">
        <f t="shared" si="5"/>
        <v/>
      </c>
      <c r="AI30" s="62" t="str">
        <f t="shared" si="6"/>
        <v/>
      </c>
      <c r="AJ30" s="62" t="str">
        <f>VLOOKUP(AC30,'Currency Sheet'!A:C,3,)</f>
        <v>INR</v>
      </c>
      <c r="AK30" s="62" t="str">
        <f>VLOOKUP(X30,'Customer List'!B:D,3,)</f>
        <v>STOCK</v>
      </c>
    </row>
    <row r="31" spans="1:37" hidden="1" x14ac:dyDescent="0.25">
      <c r="A31" s="62">
        <f t="shared" si="21"/>
        <v>28</v>
      </c>
      <c r="B31" s="62" t="s">
        <v>220</v>
      </c>
      <c r="C31" s="62">
        <v>4513060239</v>
      </c>
      <c r="D31" s="6">
        <v>45836</v>
      </c>
      <c r="E31" s="6">
        <v>45838</v>
      </c>
      <c r="F31" s="63">
        <v>135000</v>
      </c>
      <c r="G31" s="64">
        <f t="shared" si="0"/>
        <v>135000</v>
      </c>
      <c r="H31" s="64">
        <f t="shared" si="1"/>
        <v>135000</v>
      </c>
      <c r="I31" s="62" t="s">
        <v>633</v>
      </c>
      <c r="J31" s="62" t="s">
        <v>709</v>
      </c>
      <c r="K31" s="8"/>
      <c r="L31" s="10"/>
      <c r="M31" s="62">
        <v>1</v>
      </c>
      <c r="N31" s="8"/>
      <c r="O31" s="62">
        <f t="shared" si="2"/>
        <v>1</v>
      </c>
      <c r="P31" s="62"/>
      <c r="Q31" s="62"/>
      <c r="R31" s="6"/>
      <c r="S31" s="64"/>
      <c r="T31" s="22">
        <v>5</v>
      </c>
      <c r="U31" s="64">
        <f t="shared" si="3"/>
        <v>0</v>
      </c>
      <c r="V31" s="22"/>
      <c r="W31" s="22"/>
      <c r="X31" s="62" t="s">
        <v>789</v>
      </c>
      <c r="Y31" s="62"/>
      <c r="Z31" s="62"/>
      <c r="AA31" s="65" t="s">
        <v>808</v>
      </c>
      <c r="AB31" s="66" t="s">
        <v>815</v>
      </c>
      <c r="AC31" s="62" t="s">
        <v>220</v>
      </c>
      <c r="AD31" s="62" t="str">
        <f>VLOOKUP(X31,'Customer List'!B:C,2,)</f>
        <v>STOCK</v>
      </c>
      <c r="AE31" s="67" t="s">
        <v>828</v>
      </c>
      <c r="AF31" s="6"/>
      <c r="AG31" s="62" t="str">
        <f t="shared" si="4"/>
        <v/>
      </c>
      <c r="AH31" s="62" t="str">
        <f t="shared" si="5"/>
        <v/>
      </c>
      <c r="AI31" s="62" t="str">
        <f t="shared" si="6"/>
        <v/>
      </c>
      <c r="AJ31" s="62" t="str">
        <f>VLOOKUP(AC31,'Currency Sheet'!A:C,3,)</f>
        <v>INR</v>
      </c>
      <c r="AK31" s="62" t="str">
        <f>VLOOKUP(X31,'Customer List'!B:D,3,)</f>
        <v>STOCK</v>
      </c>
    </row>
    <row r="32" spans="1:37" ht="30" hidden="1" x14ac:dyDescent="0.25">
      <c r="A32" s="62">
        <f t="shared" si="21"/>
        <v>29</v>
      </c>
      <c r="B32" s="62" t="s">
        <v>824</v>
      </c>
      <c r="C32" s="62" t="s">
        <v>12</v>
      </c>
      <c r="D32" s="6">
        <v>46113</v>
      </c>
      <c r="E32" s="6">
        <v>45846</v>
      </c>
      <c r="F32" s="63">
        <v>173.6</v>
      </c>
      <c r="G32" s="64">
        <f t="shared" si="0"/>
        <v>15276.8</v>
      </c>
      <c r="H32" s="64">
        <f t="shared" si="1"/>
        <v>15276.8</v>
      </c>
      <c r="I32" s="62">
        <v>344812</v>
      </c>
      <c r="J32" s="62" t="s">
        <v>710</v>
      </c>
      <c r="K32" s="8" t="s">
        <v>859</v>
      </c>
      <c r="L32" s="10">
        <v>46629</v>
      </c>
      <c r="M32" s="62">
        <v>1</v>
      </c>
      <c r="N32" s="8"/>
      <c r="O32" s="62">
        <f t="shared" si="2"/>
        <v>1</v>
      </c>
      <c r="P32" s="62"/>
      <c r="Q32" s="62"/>
      <c r="R32" s="6"/>
      <c r="S32" s="64"/>
      <c r="T32" s="22">
        <v>5</v>
      </c>
      <c r="U32" s="64">
        <f t="shared" si="3"/>
        <v>0</v>
      </c>
      <c r="V32" s="22"/>
      <c r="W32" s="22"/>
      <c r="X32" s="62" t="s">
        <v>789</v>
      </c>
      <c r="Y32" s="62"/>
      <c r="Z32" s="62"/>
      <c r="AA32" s="65">
        <v>4</v>
      </c>
      <c r="AB32" s="66" t="s">
        <v>816</v>
      </c>
      <c r="AC32" s="62" t="s">
        <v>824</v>
      </c>
      <c r="AD32" s="62" t="str">
        <f>VLOOKUP(X32,'Customer List'!B:C,2,)</f>
        <v>STOCK</v>
      </c>
      <c r="AE32" s="67" t="s">
        <v>828</v>
      </c>
      <c r="AF32" s="6"/>
      <c r="AG32" s="62" t="str">
        <f t="shared" si="4"/>
        <v/>
      </c>
      <c r="AH32" s="62" t="str">
        <f t="shared" si="5"/>
        <v/>
      </c>
      <c r="AI32" s="62" t="str">
        <f t="shared" si="6"/>
        <v/>
      </c>
      <c r="AJ32" s="62" t="str">
        <f>VLOOKUP(AC32,'Currency Sheet'!A:C,3,)</f>
        <v>DOLLAR</v>
      </c>
      <c r="AK32" s="62" t="str">
        <f>VLOOKUP(X32,'Customer List'!B:D,3,)</f>
        <v>STOCK</v>
      </c>
    </row>
    <row r="33" spans="1:37" hidden="1" x14ac:dyDescent="0.25">
      <c r="A33" s="62">
        <f t="shared" si="21"/>
        <v>30</v>
      </c>
      <c r="B33" s="62" t="s">
        <v>810</v>
      </c>
      <c r="C33" s="62" t="s">
        <v>571</v>
      </c>
      <c r="D33" s="6">
        <v>45856</v>
      </c>
      <c r="E33" s="6">
        <v>45861</v>
      </c>
      <c r="F33" s="63">
        <v>16355</v>
      </c>
      <c r="G33" s="64">
        <f t="shared" si="0"/>
        <v>16355</v>
      </c>
      <c r="H33" s="64">
        <f t="shared" si="1"/>
        <v>16355</v>
      </c>
      <c r="I33" s="62">
        <v>6539025</v>
      </c>
      <c r="J33" s="62" t="s">
        <v>711</v>
      </c>
      <c r="K33" s="8"/>
      <c r="L33" s="10"/>
      <c r="M33" s="62">
        <v>1</v>
      </c>
      <c r="N33" s="8"/>
      <c r="O33" s="62">
        <f t="shared" si="2"/>
        <v>1</v>
      </c>
      <c r="P33" s="62"/>
      <c r="Q33" s="62"/>
      <c r="R33" s="6"/>
      <c r="S33" s="64"/>
      <c r="T33" s="22">
        <v>5</v>
      </c>
      <c r="U33" s="64">
        <f t="shared" si="3"/>
        <v>0</v>
      </c>
      <c r="V33" s="22"/>
      <c r="W33" s="22"/>
      <c r="X33" s="62" t="s">
        <v>789</v>
      </c>
      <c r="Y33" s="62"/>
      <c r="Z33" s="62"/>
      <c r="AA33" s="65" t="s">
        <v>808</v>
      </c>
      <c r="AB33" s="66"/>
      <c r="AC33" s="62" t="s">
        <v>810</v>
      </c>
      <c r="AD33" s="62" t="str">
        <f>VLOOKUP(X33,'Customer List'!B:C,2,)</f>
        <v>STOCK</v>
      </c>
      <c r="AE33" s="67" t="s">
        <v>828</v>
      </c>
      <c r="AF33" s="6"/>
      <c r="AG33" s="62" t="str">
        <f t="shared" si="4"/>
        <v/>
      </c>
      <c r="AH33" s="62" t="str">
        <f t="shared" si="5"/>
        <v/>
      </c>
      <c r="AI33" s="62" t="str">
        <f t="shared" si="6"/>
        <v/>
      </c>
      <c r="AJ33" s="62" t="str">
        <f>VLOOKUP(AC33,'Currency Sheet'!A:C,3,)</f>
        <v>INR</v>
      </c>
      <c r="AK33" s="62" t="str">
        <f>VLOOKUP(X33,'Customer List'!B:D,3,)</f>
        <v>STOCK</v>
      </c>
    </row>
    <row r="34" spans="1:37" s="56" customFormat="1" hidden="1" x14ac:dyDescent="0.25">
      <c r="A34" s="48">
        <f t="shared" si="21"/>
        <v>31</v>
      </c>
      <c r="B34" s="48" t="s">
        <v>810</v>
      </c>
      <c r="C34" s="48" t="s">
        <v>571</v>
      </c>
      <c r="D34" s="50">
        <v>45856</v>
      </c>
      <c r="E34" s="50">
        <v>45861</v>
      </c>
      <c r="F34" s="57">
        <v>8450</v>
      </c>
      <c r="G34" s="51">
        <f t="shared" si="0"/>
        <v>8450</v>
      </c>
      <c r="H34" s="51">
        <f t="shared" si="1"/>
        <v>8450</v>
      </c>
      <c r="I34" s="48">
        <v>6542050</v>
      </c>
      <c r="J34" s="48" t="s">
        <v>712</v>
      </c>
      <c r="K34" s="47"/>
      <c r="L34" s="49"/>
      <c r="M34" s="48">
        <v>1</v>
      </c>
      <c r="N34" s="47">
        <v>1</v>
      </c>
      <c r="O34" s="48">
        <f t="shared" si="2"/>
        <v>0</v>
      </c>
      <c r="P34" s="48" t="s">
        <v>1454</v>
      </c>
      <c r="Q34" s="48" t="s">
        <v>1454</v>
      </c>
      <c r="R34" s="50" t="s">
        <v>1454</v>
      </c>
      <c r="S34" s="51">
        <v>0</v>
      </c>
      <c r="T34" s="52">
        <v>0</v>
      </c>
      <c r="U34" s="51">
        <f t="shared" si="3"/>
        <v>0</v>
      </c>
      <c r="V34" s="52">
        <v>0</v>
      </c>
      <c r="W34" s="52">
        <v>0</v>
      </c>
      <c r="X34" s="48" t="s">
        <v>1454</v>
      </c>
      <c r="Y34" s="48" t="s">
        <v>1939</v>
      </c>
      <c r="Z34" s="48" t="s">
        <v>1939</v>
      </c>
      <c r="AA34" s="53" t="s">
        <v>808</v>
      </c>
      <c r="AB34" s="54"/>
      <c r="AC34" s="48" t="s">
        <v>810</v>
      </c>
      <c r="AD34" s="48" t="str">
        <f>VLOOKUP(X34,'Customer List'!B:C,2,)</f>
        <v>EXPIRED</v>
      </c>
      <c r="AE34" s="55" t="s">
        <v>828</v>
      </c>
      <c r="AF34" s="50"/>
      <c r="AG34" s="48" t="str">
        <f t="shared" si="4"/>
        <v/>
      </c>
      <c r="AH34" s="48" t="str">
        <f t="shared" si="5"/>
        <v>Saturday</v>
      </c>
      <c r="AI34" s="48" t="str">
        <f t="shared" si="6"/>
        <v/>
      </c>
      <c r="AJ34" s="48" t="str">
        <f>VLOOKUP(AC34,'Currency Sheet'!A:C,3,)</f>
        <v>INR</v>
      </c>
      <c r="AK34" s="48" t="str">
        <f>VLOOKUP(X34,'Customer List'!B:D,3,)</f>
        <v>EXPIRED</v>
      </c>
    </row>
    <row r="35" spans="1:37" hidden="1" x14ac:dyDescent="0.25">
      <c r="A35" s="62">
        <f t="shared" si="21"/>
        <v>32</v>
      </c>
      <c r="B35" s="62" t="s">
        <v>810</v>
      </c>
      <c r="C35" s="62" t="s">
        <v>571</v>
      </c>
      <c r="D35" s="6">
        <v>45856</v>
      </c>
      <c r="E35" s="6">
        <v>45861</v>
      </c>
      <c r="F35" s="63">
        <v>5225</v>
      </c>
      <c r="G35" s="64">
        <f t="shared" si="0"/>
        <v>5225</v>
      </c>
      <c r="H35" s="64">
        <f t="shared" si="1"/>
        <v>31350</v>
      </c>
      <c r="I35" s="62">
        <v>6552050</v>
      </c>
      <c r="J35" s="62" t="s">
        <v>713</v>
      </c>
      <c r="K35" s="8"/>
      <c r="L35" s="10"/>
      <c r="M35" s="62">
        <v>6</v>
      </c>
      <c r="N35" s="8"/>
      <c r="O35" s="62">
        <f t="shared" si="2"/>
        <v>6</v>
      </c>
      <c r="P35" s="62"/>
      <c r="Q35" s="62"/>
      <c r="R35" s="6"/>
      <c r="S35" s="64"/>
      <c r="T35" s="22">
        <v>5</v>
      </c>
      <c r="U35" s="64">
        <f t="shared" si="3"/>
        <v>0</v>
      </c>
      <c r="V35" s="22"/>
      <c r="W35" s="22"/>
      <c r="X35" s="62" t="s">
        <v>789</v>
      </c>
      <c r="Y35" s="62"/>
      <c r="Z35" s="62"/>
      <c r="AA35" s="65" t="s">
        <v>808</v>
      </c>
      <c r="AB35" s="66"/>
      <c r="AC35" s="62" t="s">
        <v>810</v>
      </c>
      <c r="AD35" s="62" t="str">
        <f>VLOOKUP(X35,'Customer List'!B:C,2,)</f>
        <v>STOCK</v>
      </c>
      <c r="AE35" s="67" t="s">
        <v>828</v>
      </c>
      <c r="AF35" s="6"/>
      <c r="AG35" s="62" t="str">
        <f t="shared" si="4"/>
        <v/>
      </c>
      <c r="AH35" s="62" t="str">
        <f t="shared" si="5"/>
        <v/>
      </c>
      <c r="AI35" s="62" t="str">
        <f t="shared" si="6"/>
        <v/>
      </c>
      <c r="AJ35" s="62" t="str">
        <f>VLOOKUP(AC35,'Currency Sheet'!A:C,3,)</f>
        <v>INR</v>
      </c>
      <c r="AK35" s="62" t="str">
        <f>VLOOKUP(X35,'Customer List'!B:D,3,)</f>
        <v>STOCK</v>
      </c>
    </row>
    <row r="36" spans="1:37" hidden="1" x14ac:dyDescent="0.25">
      <c r="A36" s="62">
        <f t="shared" si="21"/>
        <v>33</v>
      </c>
      <c r="B36" s="62" t="s">
        <v>824</v>
      </c>
      <c r="C36" s="62" t="s">
        <v>572</v>
      </c>
      <c r="D36" s="6">
        <v>45856</v>
      </c>
      <c r="E36" s="6">
        <v>45864</v>
      </c>
      <c r="F36" s="63">
        <v>69.3</v>
      </c>
      <c r="G36" s="64">
        <f t="shared" si="0"/>
        <v>6098.4</v>
      </c>
      <c r="H36" s="64">
        <f t="shared" si="1"/>
        <v>6098.4</v>
      </c>
      <c r="I36" s="62">
        <v>300408</v>
      </c>
      <c r="J36" s="62" t="s">
        <v>714</v>
      </c>
      <c r="K36" s="8" t="s">
        <v>860</v>
      </c>
      <c r="L36" s="10">
        <v>46769</v>
      </c>
      <c r="M36" s="62">
        <v>1</v>
      </c>
      <c r="N36" s="8"/>
      <c r="O36" s="62">
        <f t="shared" si="2"/>
        <v>1</v>
      </c>
      <c r="P36" s="62"/>
      <c r="Q36" s="62"/>
      <c r="R36" s="6"/>
      <c r="S36" s="64"/>
      <c r="T36" s="22">
        <v>5</v>
      </c>
      <c r="U36" s="64">
        <f t="shared" si="3"/>
        <v>0</v>
      </c>
      <c r="V36" s="22"/>
      <c r="W36" s="22"/>
      <c r="X36" s="62" t="s">
        <v>789</v>
      </c>
      <c r="Y36" s="62"/>
      <c r="Z36" s="62"/>
      <c r="AA36" s="65">
        <v>4</v>
      </c>
      <c r="AB36" s="66" t="s">
        <v>817</v>
      </c>
      <c r="AC36" s="62" t="s">
        <v>824</v>
      </c>
      <c r="AD36" s="62" t="str">
        <f>VLOOKUP(X36,'Customer List'!B:C,2,)</f>
        <v>STOCK</v>
      </c>
      <c r="AE36" s="67" t="s">
        <v>828</v>
      </c>
      <c r="AF36" s="6"/>
      <c r="AG36" s="62" t="str">
        <f t="shared" si="4"/>
        <v/>
      </c>
      <c r="AH36" s="62" t="str">
        <f t="shared" si="5"/>
        <v/>
      </c>
      <c r="AI36" s="62" t="str">
        <f t="shared" ref="AI36:AI67" si="22">IF(AF36="", "", TEXT(AF36, "dddd"))</f>
        <v/>
      </c>
      <c r="AJ36" s="62" t="str">
        <f>VLOOKUP(AC36,'Currency Sheet'!A:C,3,)</f>
        <v>DOLLAR</v>
      </c>
      <c r="AK36" s="62" t="str">
        <f>VLOOKUP(X36,'Customer List'!B:D,3,)</f>
        <v>STOCK</v>
      </c>
    </row>
    <row r="37" spans="1:37" s="44" customFormat="1" hidden="1" x14ac:dyDescent="0.25">
      <c r="A37" s="35">
        <f t="shared" ref="A37:A66" si="23">A36+1</f>
        <v>34</v>
      </c>
      <c r="B37" s="62" t="s">
        <v>35</v>
      </c>
      <c r="C37" s="62" t="s">
        <v>12</v>
      </c>
      <c r="D37" s="6">
        <v>45870</v>
      </c>
      <c r="E37" s="6">
        <v>45870</v>
      </c>
      <c r="F37" s="63">
        <v>112.8</v>
      </c>
      <c r="G37" s="64">
        <f t="shared" si="0"/>
        <v>9926.4</v>
      </c>
      <c r="H37" s="64">
        <f t="shared" si="1"/>
        <v>9926.4</v>
      </c>
      <c r="I37" s="35">
        <v>41003</v>
      </c>
      <c r="J37" s="62" t="s">
        <v>715</v>
      </c>
      <c r="K37" s="8"/>
      <c r="L37" s="10"/>
      <c r="M37" s="35">
        <v>1</v>
      </c>
      <c r="N37" s="34">
        <v>1</v>
      </c>
      <c r="O37" s="35">
        <f t="shared" si="2"/>
        <v>0</v>
      </c>
      <c r="P37" s="45" t="s">
        <v>2564</v>
      </c>
      <c r="Q37" s="36">
        <v>46157</v>
      </c>
      <c r="R37" s="36">
        <v>46158</v>
      </c>
      <c r="S37" s="38">
        <v>14790</v>
      </c>
      <c r="T37" s="40">
        <v>5</v>
      </c>
      <c r="U37" s="38">
        <f t="shared" si="3"/>
        <v>739.5</v>
      </c>
      <c r="V37" s="40">
        <v>0</v>
      </c>
      <c r="W37" s="40">
        <v>59160</v>
      </c>
      <c r="X37" s="35" t="s">
        <v>100</v>
      </c>
      <c r="Y37" s="35">
        <v>58165586334</v>
      </c>
      <c r="Z37" s="35" t="s">
        <v>1112</v>
      </c>
      <c r="AA37" s="41" t="s">
        <v>808</v>
      </c>
      <c r="AB37" s="42"/>
      <c r="AC37" s="35" t="s">
        <v>35</v>
      </c>
      <c r="AD37" s="35" t="str">
        <f>VLOOKUP(X37,'Customer List'!B:C,2,)</f>
        <v>Banglore</v>
      </c>
      <c r="AE37" s="43" t="s">
        <v>828</v>
      </c>
      <c r="AF37" s="36">
        <v>46161</v>
      </c>
      <c r="AG37" s="35">
        <f t="shared" si="4"/>
        <v>3</v>
      </c>
      <c r="AH37" s="35" t="str">
        <f t="shared" si="5"/>
        <v>Friday</v>
      </c>
      <c r="AI37" s="35" t="str">
        <f t="shared" si="22"/>
        <v>Tuesday</v>
      </c>
      <c r="AJ37" s="35" t="str">
        <f>VLOOKUP(AC37,'Currency Sheet'!A:C,3,)</f>
        <v>DOLLAR</v>
      </c>
      <c r="AK37" s="35" t="str">
        <f>VLOOKUP(X37,'Customer List'!B:D,3,)</f>
        <v>OutStation</v>
      </c>
    </row>
    <row r="38" spans="1:37" hidden="1" x14ac:dyDescent="0.25">
      <c r="A38" s="62">
        <f t="shared" si="23"/>
        <v>35</v>
      </c>
      <c r="B38" s="62" t="s">
        <v>810</v>
      </c>
      <c r="C38" s="62" t="s">
        <v>12</v>
      </c>
      <c r="D38" s="6">
        <v>45870</v>
      </c>
      <c r="E38" s="6">
        <v>45870</v>
      </c>
      <c r="F38" s="63">
        <v>0</v>
      </c>
      <c r="G38" s="64">
        <f t="shared" si="0"/>
        <v>0</v>
      </c>
      <c r="H38" s="64">
        <f t="shared" si="1"/>
        <v>0</v>
      </c>
      <c r="I38" s="62">
        <v>116910001</v>
      </c>
      <c r="J38" s="62" t="s">
        <v>716</v>
      </c>
      <c r="K38" s="8"/>
      <c r="L38" s="10"/>
      <c r="M38" s="62">
        <v>1</v>
      </c>
      <c r="N38" s="8"/>
      <c r="O38" s="62">
        <f t="shared" si="2"/>
        <v>1</v>
      </c>
      <c r="P38" s="62"/>
      <c r="Q38" s="62"/>
      <c r="R38" s="6"/>
      <c r="S38" s="64"/>
      <c r="T38" s="22">
        <v>5</v>
      </c>
      <c r="U38" s="64">
        <f t="shared" si="3"/>
        <v>0</v>
      </c>
      <c r="V38" s="22"/>
      <c r="W38" s="22"/>
      <c r="X38" s="62" t="s">
        <v>789</v>
      </c>
      <c r="Y38" s="62"/>
      <c r="Z38" s="62"/>
      <c r="AA38" s="65" t="s">
        <v>808</v>
      </c>
      <c r="AB38" s="66"/>
      <c r="AC38" s="62" t="s">
        <v>810</v>
      </c>
      <c r="AD38" s="62" t="str">
        <f>VLOOKUP(X38,'Customer List'!B:C,2,)</f>
        <v>STOCK</v>
      </c>
      <c r="AE38" s="67" t="s">
        <v>828</v>
      </c>
      <c r="AF38" s="6"/>
      <c r="AG38" s="62" t="str">
        <f t="shared" si="4"/>
        <v/>
      </c>
      <c r="AH38" s="62" t="str">
        <f t="shared" si="5"/>
        <v/>
      </c>
      <c r="AI38" s="62" t="str">
        <f t="shared" si="22"/>
        <v/>
      </c>
      <c r="AJ38" s="62" t="str">
        <f>VLOOKUP(AC38,'Currency Sheet'!A:C,3,)</f>
        <v>INR</v>
      </c>
      <c r="AK38" s="62" t="str">
        <f>VLOOKUP(X38,'Customer List'!B:D,3,)</f>
        <v>STOCK</v>
      </c>
    </row>
    <row r="39" spans="1:37" hidden="1" x14ac:dyDescent="0.25">
      <c r="A39" s="62">
        <f t="shared" si="23"/>
        <v>36</v>
      </c>
      <c r="B39" s="62" t="s">
        <v>324</v>
      </c>
      <c r="C39" s="62" t="s">
        <v>573</v>
      </c>
      <c r="D39" s="6">
        <v>45874</v>
      </c>
      <c r="E39" s="6">
        <v>45874</v>
      </c>
      <c r="F39" s="63">
        <v>3345.6</v>
      </c>
      <c r="G39" s="64">
        <f t="shared" si="0"/>
        <v>3345.6</v>
      </c>
      <c r="H39" s="64">
        <f t="shared" si="1"/>
        <v>6691.2</v>
      </c>
      <c r="I39" s="62" t="s">
        <v>634</v>
      </c>
      <c r="J39" s="62" t="s">
        <v>717</v>
      </c>
      <c r="K39" s="8"/>
      <c r="L39" s="10"/>
      <c r="M39" s="62">
        <v>2</v>
      </c>
      <c r="N39" s="8"/>
      <c r="O39" s="62">
        <f t="shared" si="2"/>
        <v>2</v>
      </c>
      <c r="P39" s="62"/>
      <c r="Q39" s="62"/>
      <c r="R39" s="6"/>
      <c r="S39" s="64"/>
      <c r="T39" s="22">
        <v>5</v>
      </c>
      <c r="U39" s="64">
        <f t="shared" si="3"/>
        <v>0</v>
      </c>
      <c r="V39" s="22"/>
      <c r="W39" s="22"/>
      <c r="X39" s="62" t="s">
        <v>789</v>
      </c>
      <c r="Y39" s="62"/>
      <c r="Z39" s="62"/>
      <c r="AA39" s="65">
        <v>-20</v>
      </c>
      <c r="AB39" s="66" t="s">
        <v>818</v>
      </c>
      <c r="AC39" s="62" t="s">
        <v>324</v>
      </c>
      <c r="AD39" s="62" t="str">
        <f>VLOOKUP(X39,'Customer List'!B:C,2,)</f>
        <v>STOCK</v>
      </c>
      <c r="AE39" s="67" t="s">
        <v>828</v>
      </c>
      <c r="AF39" s="6"/>
      <c r="AG39" s="62" t="str">
        <f t="shared" si="4"/>
        <v/>
      </c>
      <c r="AH39" s="62" t="str">
        <f t="shared" si="5"/>
        <v/>
      </c>
      <c r="AI39" s="62" t="str">
        <f t="shared" si="22"/>
        <v/>
      </c>
      <c r="AJ39" s="62" t="str">
        <f>VLOOKUP(AC39,'Currency Sheet'!A:C,3,)</f>
        <v>INR</v>
      </c>
      <c r="AK39" s="62" t="str">
        <f>VLOOKUP(X39,'Customer List'!B:D,3,)</f>
        <v>STOCK</v>
      </c>
    </row>
    <row r="40" spans="1:37" hidden="1" x14ac:dyDescent="0.25">
      <c r="A40" s="62">
        <f t="shared" si="23"/>
        <v>37</v>
      </c>
      <c r="B40" s="62" t="s">
        <v>324</v>
      </c>
      <c r="C40" s="62" t="s">
        <v>573</v>
      </c>
      <c r="D40" s="6">
        <v>45874</v>
      </c>
      <c r="E40" s="6">
        <v>45874</v>
      </c>
      <c r="F40" s="63">
        <v>3665.2</v>
      </c>
      <c r="G40" s="64">
        <f t="shared" si="0"/>
        <v>3665.2</v>
      </c>
      <c r="H40" s="64">
        <f t="shared" si="1"/>
        <v>7330.4</v>
      </c>
      <c r="I40" s="62" t="s">
        <v>635</v>
      </c>
      <c r="J40" s="62" t="s">
        <v>718</v>
      </c>
      <c r="K40" s="8"/>
      <c r="L40" s="10"/>
      <c r="M40" s="62">
        <v>2</v>
      </c>
      <c r="N40" s="8"/>
      <c r="O40" s="62">
        <f t="shared" si="2"/>
        <v>2</v>
      </c>
      <c r="P40" s="62"/>
      <c r="Q40" s="62"/>
      <c r="R40" s="6"/>
      <c r="S40" s="64"/>
      <c r="T40" s="22">
        <v>5</v>
      </c>
      <c r="U40" s="64">
        <f t="shared" si="3"/>
        <v>0</v>
      </c>
      <c r="V40" s="22"/>
      <c r="W40" s="22"/>
      <c r="X40" s="62" t="s">
        <v>789</v>
      </c>
      <c r="Y40" s="62"/>
      <c r="Z40" s="62"/>
      <c r="AA40" s="65">
        <v>-20</v>
      </c>
      <c r="AB40" s="66"/>
      <c r="AC40" s="62" t="s">
        <v>324</v>
      </c>
      <c r="AD40" s="62" t="str">
        <f>VLOOKUP(X40,'Customer List'!B:C,2,)</f>
        <v>STOCK</v>
      </c>
      <c r="AE40" s="67" t="s">
        <v>828</v>
      </c>
      <c r="AF40" s="6"/>
      <c r="AG40" s="62" t="str">
        <f t="shared" si="4"/>
        <v/>
      </c>
      <c r="AH40" s="62" t="str">
        <f t="shared" si="5"/>
        <v/>
      </c>
      <c r="AI40" s="62" t="str">
        <f t="shared" si="22"/>
        <v/>
      </c>
      <c r="AJ40" s="62" t="str">
        <f>VLOOKUP(AC40,'Currency Sheet'!A:C,3,)</f>
        <v>INR</v>
      </c>
      <c r="AK40" s="62" t="str">
        <f>VLOOKUP(X40,'Customer List'!B:D,3,)</f>
        <v>STOCK</v>
      </c>
    </row>
    <row r="41" spans="1:37" hidden="1" x14ac:dyDescent="0.25">
      <c r="A41" s="62">
        <f t="shared" si="23"/>
        <v>38</v>
      </c>
      <c r="B41" s="62" t="s">
        <v>271</v>
      </c>
      <c r="C41" s="62" t="s">
        <v>574</v>
      </c>
      <c r="D41" s="6">
        <v>45877</v>
      </c>
      <c r="E41" s="6">
        <v>45883</v>
      </c>
      <c r="F41" s="63">
        <v>2390</v>
      </c>
      <c r="G41" s="64">
        <f t="shared" si="0"/>
        <v>2390</v>
      </c>
      <c r="H41" s="64">
        <f t="shared" si="1"/>
        <v>43020</v>
      </c>
      <c r="I41" s="70" t="s">
        <v>1869</v>
      </c>
      <c r="J41" s="62" t="s">
        <v>686</v>
      </c>
      <c r="K41" s="8"/>
      <c r="L41" s="10"/>
      <c r="M41" s="62">
        <v>18</v>
      </c>
      <c r="N41" s="8"/>
      <c r="O41" s="62">
        <f t="shared" si="2"/>
        <v>18</v>
      </c>
      <c r="P41" s="62"/>
      <c r="Q41" s="62"/>
      <c r="R41" s="6"/>
      <c r="S41" s="64"/>
      <c r="T41" s="22">
        <v>5</v>
      </c>
      <c r="U41" s="64">
        <f t="shared" si="3"/>
        <v>0</v>
      </c>
      <c r="V41" s="22"/>
      <c r="W41" s="22"/>
      <c r="X41" s="62" t="s">
        <v>789</v>
      </c>
      <c r="Y41" s="62"/>
      <c r="Z41" s="62"/>
      <c r="AA41" s="65" t="s">
        <v>808</v>
      </c>
      <c r="AB41" s="66"/>
      <c r="AC41" s="62" t="s">
        <v>271</v>
      </c>
      <c r="AD41" s="62" t="str">
        <f>VLOOKUP(X41,'Customer List'!B:C,2,)</f>
        <v>STOCK</v>
      </c>
      <c r="AE41" s="67" t="s">
        <v>828</v>
      </c>
      <c r="AF41" s="6"/>
      <c r="AG41" s="62" t="str">
        <f t="shared" si="4"/>
        <v/>
      </c>
      <c r="AH41" s="62" t="str">
        <f t="shared" si="5"/>
        <v/>
      </c>
      <c r="AI41" s="62" t="str">
        <f t="shared" si="22"/>
        <v/>
      </c>
      <c r="AJ41" s="62" t="str">
        <f>VLOOKUP(AC41,'Currency Sheet'!A:C,3,)</f>
        <v>INR</v>
      </c>
      <c r="AK41" s="62" t="str">
        <f>VLOOKUP(X41,'Customer List'!B:D,3,)</f>
        <v>STOCK</v>
      </c>
    </row>
    <row r="42" spans="1:37" hidden="1" x14ac:dyDescent="0.25">
      <c r="A42" s="62">
        <f t="shared" si="23"/>
        <v>39</v>
      </c>
      <c r="B42" s="62" t="s">
        <v>824</v>
      </c>
      <c r="C42" s="62" t="s">
        <v>575</v>
      </c>
      <c r="D42" s="6">
        <v>45877</v>
      </c>
      <c r="E42" s="6">
        <v>45885</v>
      </c>
      <c r="F42" s="63">
        <v>0</v>
      </c>
      <c r="G42" s="64">
        <f t="shared" si="0"/>
        <v>0</v>
      </c>
      <c r="H42" s="64">
        <f t="shared" si="1"/>
        <v>0</v>
      </c>
      <c r="I42" s="68">
        <v>430804</v>
      </c>
      <c r="J42" s="62" t="s">
        <v>719</v>
      </c>
      <c r="K42" s="8" t="s">
        <v>861</v>
      </c>
      <c r="L42" s="10">
        <v>46295</v>
      </c>
      <c r="M42" s="62">
        <v>1</v>
      </c>
      <c r="N42" s="8"/>
      <c r="O42" s="62">
        <f t="shared" si="2"/>
        <v>1</v>
      </c>
      <c r="P42" s="62"/>
      <c r="Q42" s="62"/>
      <c r="R42" s="6"/>
      <c r="S42" s="64"/>
      <c r="T42" s="22">
        <v>5</v>
      </c>
      <c r="U42" s="64">
        <f t="shared" si="3"/>
        <v>0</v>
      </c>
      <c r="V42" s="22"/>
      <c r="W42" s="22"/>
      <c r="X42" s="62" t="s">
        <v>789</v>
      </c>
      <c r="Y42" s="62"/>
      <c r="Z42" s="62"/>
      <c r="AA42" s="65">
        <v>4</v>
      </c>
      <c r="AB42" s="66" t="s">
        <v>819</v>
      </c>
      <c r="AC42" s="62" t="s">
        <v>824</v>
      </c>
      <c r="AD42" s="62" t="str">
        <f>VLOOKUP(X42,'Customer List'!B:C,2,)</f>
        <v>STOCK</v>
      </c>
      <c r="AE42" s="67" t="s">
        <v>828</v>
      </c>
      <c r="AF42" s="6"/>
      <c r="AG42" s="62" t="str">
        <f t="shared" si="4"/>
        <v/>
      </c>
      <c r="AH42" s="62" t="str">
        <f t="shared" si="5"/>
        <v/>
      </c>
      <c r="AI42" s="62" t="str">
        <f t="shared" si="22"/>
        <v/>
      </c>
      <c r="AJ42" s="62" t="str">
        <f>VLOOKUP(AC42,'Currency Sheet'!A:C,3,)</f>
        <v>DOLLAR</v>
      </c>
      <c r="AK42" s="62" t="str">
        <f>VLOOKUP(X42,'Customer List'!B:D,3,)</f>
        <v>STOCK</v>
      </c>
    </row>
    <row r="43" spans="1:37" hidden="1" x14ac:dyDescent="0.25">
      <c r="A43" s="62">
        <f t="shared" si="23"/>
        <v>40</v>
      </c>
      <c r="B43" s="62" t="s">
        <v>824</v>
      </c>
      <c r="C43" s="62" t="s">
        <v>575</v>
      </c>
      <c r="D43" s="6">
        <v>45877</v>
      </c>
      <c r="E43" s="6">
        <v>45885</v>
      </c>
      <c r="F43" s="63">
        <v>0</v>
      </c>
      <c r="G43" s="64">
        <f t="shared" si="0"/>
        <v>0</v>
      </c>
      <c r="H43" s="64">
        <f t="shared" si="1"/>
        <v>0</v>
      </c>
      <c r="I43" s="68">
        <v>432504</v>
      </c>
      <c r="J43" s="62" t="s">
        <v>720</v>
      </c>
      <c r="K43" s="8" t="s">
        <v>862</v>
      </c>
      <c r="L43" s="10">
        <v>46311</v>
      </c>
      <c r="M43" s="62">
        <v>1</v>
      </c>
      <c r="N43" s="8"/>
      <c r="O43" s="62">
        <f t="shared" si="2"/>
        <v>1</v>
      </c>
      <c r="P43" s="62"/>
      <c r="Q43" s="62"/>
      <c r="R43" s="6"/>
      <c r="S43" s="64"/>
      <c r="T43" s="22">
        <v>5</v>
      </c>
      <c r="U43" s="64">
        <f t="shared" si="3"/>
        <v>0</v>
      </c>
      <c r="V43" s="22"/>
      <c r="W43" s="22"/>
      <c r="X43" s="62" t="s">
        <v>789</v>
      </c>
      <c r="Y43" s="62"/>
      <c r="Z43" s="62"/>
      <c r="AA43" s="65">
        <v>4</v>
      </c>
      <c r="AB43" s="66" t="s">
        <v>819</v>
      </c>
      <c r="AC43" s="62" t="s">
        <v>824</v>
      </c>
      <c r="AD43" s="62" t="str">
        <f>VLOOKUP(X43,'Customer List'!B:C,2,)</f>
        <v>STOCK</v>
      </c>
      <c r="AE43" s="67" t="s">
        <v>828</v>
      </c>
      <c r="AF43" s="6"/>
      <c r="AG43" s="62" t="str">
        <f t="shared" si="4"/>
        <v/>
      </c>
      <c r="AH43" s="62" t="str">
        <f t="shared" si="5"/>
        <v/>
      </c>
      <c r="AI43" s="62" t="str">
        <f t="shared" si="22"/>
        <v/>
      </c>
      <c r="AJ43" s="62" t="str">
        <f>VLOOKUP(AC43,'Currency Sheet'!A:C,3,)</f>
        <v>DOLLAR</v>
      </c>
      <c r="AK43" s="62" t="str">
        <f>VLOOKUP(X43,'Customer List'!B:D,3,)</f>
        <v>STOCK</v>
      </c>
    </row>
    <row r="44" spans="1:37" hidden="1" x14ac:dyDescent="0.25">
      <c r="A44" s="62">
        <f t="shared" si="23"/>
        <v>41</v>
      </c>
      <c r="B44" s="62" t="s">
        <v>810</v>
      </c>
      <c r="C44" s="62" t="s">
        <v>576</v>
      </c>
      <c r="D44" s="6">
        <v>45880</v>
      </c>
      <c r="E44" s="6">
        <v>45887</v>
      </c>
      <c r="F44" s="63">
        <v>2800</v>
      </c>
      <c r="G44" s="64">
        <f t="shared" si="0"/>
        <v>2800</v>
      </c>
      <c r="H44" s="64">
        <f t="shared" si="1"/>
        <v>2800</v>
      </c>
      <c r="I44" s="62">
        <v>850494</v>
      </c>
      <c r="J44" s="62" t="s">
        <v>721</v>
      </c>
      <c r="K44" s="8"/>
      <c r="L44" s="10"/>
      <c r="M44" s="62">
        <v>1</v>
      </c>
      <c r="N44" s="8"/>
      <c r="O44" s="62">
        <f t="shared" si="2"/>
        <v>1</v>
      </c>
      <c r="P44" s="62"/>
      <c r="Q44" s="62"/>
      <c r="R44" s="6"/>
      <c r="S44" s="64"/>
      <c r="T44" s="22">
        <v>5</v>
      </c>
      <c r="U44" s="64">
        <f t="shared" si="3"/>
        <v>0</v>
      </c>
      <c r="V44" s="22"/>
      <c r="W44" s="22"/>
      <c r="X44" s="62" t="s">
        <v>789</v>
      </c>
      <c r="Y44" s="62"/>
      <c r="Z44" s="62"/>
      <c r="AA44" s="65" t="s">
        <v>808</v>
      </c>
      <c r="AB44" s="66"/>
      <c r="AC44" s="62" t="s">
        <v>810</v>
      </c>
      <c r="AD44" s="62" t="str">
        <f>VLOOKUP(X44,'Customer List'!B:C,2,)</f>
        <v>STOCK</v>
      </c>
      <c r="AE44" s="67" t="s">
        <v>828</v>
      </c>
      <c r="AF44" s="6"/>
      <c r="AG44" s="62" t="str">
        <f t="shared" si="4"/>
        <v/>
      </c>
      <c r="AH44" s="62" t="str">
        <f t="shared" si="5"/>
        <v/>
      </c>
      <c r="AI44" s="62" t="str">
        <f t="shared" si="22"/>
        <v/>
      </c>
      <c r="AJ44" s="62" t="str">
        <f>VLOOKUP(AC44,'Currency Sheet'!A:C,3,)</f>
        <v>INR</v>
      </c>
      <c r="AK44" s="62" t="str">
        <f>VLOOKUP(X44,'Customer List'!B:D,3,)</f>
        <v>STOCK</v>
      </c>
    </row>
    <row r="45" spans="1:37" s="44" customFormat="1" hidden="1" x14ac:dyDescent="0.25">
      <c r="A45" s="35">
        <f t="shared" si="23"/>
        <v>42</v>
      </c>
      <c r="B45" s="35" t="s">
        <v>330</v>
      </c>
      <c r="C45" s="35" t="s">
        <v>577</v>
      </c>
      <c r="D45" s="36">
        <v>45880</v>
      </c>
      <c r="E45" s="36">
        <v>45891</v>
      </c>
      <c r="F45" s="37">
        <v>20</v>
      </c>
      <c r="G45" s="38">
        <f t="shared" si="0"/>
        <v>1760</v>
      </c>
      <c r="H45" s="64">
        <f t="shared" si="1"/>
        <v>17600</v>
      </c>
      <c r="I45" s="35">
        <v>25021.5</v>
      </c>
      <c r="J45" s="35" t="s">
        <v>722</v>
      </c>
      <c r="K45" s="34"/>
      <c r="L45" s="39"/>
      <c r="M45" s="35">
        <v>10</v>
      </c>
      <c r="N45" s="34">
        <v>10</v>
      </c>
      <c r="O45" s="35">
        <f t="shared" si="2"/>
        <v>0</v>
      </c>
      <c r="P45" s="35" t="s">
        <v>1613</v>
      </c>
      <c r="Q45" s="36">
        <v>46127</v>
      </c>
      <c r="R45" s="36">
        <v>46127</v>
      </c>
      <c r="S45" s="38">
        <v>23630</v>
      </c>
      <c r="T45" s="40">
        <v>5</v>
      </c>
      <c r="U45" s="38">
        <f t="shared" si="3"/>
        <v>1181.5</v>
      </c>
      <c r="V45" s="40">
        <v>-0.4</v>
      </c>
      <c r="W45" s="40">
        <v>39698</v>
      </c>
      <c r="X45" s="35" t="s">
        <v>791</v>
      </c>
      <c r="Y45" s="35" t="s">
        <v>896</v>
      </c>
      <c r="Z45" s="35" t="s">
        <v>821</v>
      </c>
      <c r="AA45" s="41">
        <v>-20</v>
      </c>
      <c r="AB45" s="42"/>
      <c r="AC45" s="35" t="s">
        <v>330</v>
      </c>
      <c r="AD45" s="35" t="str">
        <f>VLOOKUP(X45,'Customer List'!B:C,2,)</f>
        <v>Delhi</v>
      </c>
      <c r="AE45" s="43" t="s">
        <v>828</v>
      </c>
      <c r="AF45" s="36"/>
      <c r="AG45" s="35" t="str">
        <f t="shared" si="4"/>
        <v/>
      </c>
      <c r="AH45" s="35" t="str">
        <f t="shared" si="5"/>
        <v>Thursday</v>
      </c>
      <c r="AI45" s="35" t="str">
        <f t="shared" si="22"/>
        <v/>
      </c>
      <c r="AJ45" s="35" t="str">
        <f>VLOOKUP(AC45,'Currency Sheet'!A:C,3,)</f>
        <v>DOLLAR</v>
      </c>
      <c r="AK45" s="35" t="str">
        <f>VLOOKUP(X45,'Customer List'!B:D,3,)</f>
        <v>Local</v>
      </c>
    </row>
    <row r="46" spans="1:37" s="44" customFormat="1" hidden="1" x14ac:dyDescent="0.25">
      <c r="A46" s="35">
        <f t="shared" si="23"/>
        <v>43</v>
      </c>
      <c r="B46" s="35" t="s">
        <v>330</v>
      </c>
      <c r="C46" s="35" t="s">
        <v>577</v>
      </c>
      <c r="D46" s="36">
        <v>45880</v>
      </c>
      <c r="E46" s="36">
        <v>45891</v>
      </c>
      <c r="F46" s="37">
        <v>0.1</v>
      </c>
      <c r="G46" s="38">
        <f t="shared" si="0"/>
        <v>8.8000000000000007</v>
      </c>
      <c r="H46" s="64">
        <f t="shared" si="1"/>
        <v>52.800000000000004</v>
      </c>
      <c r="I46" s="35">
        <v>25021.5</v>
      </c>
      <c r="J46" s="35" t="s">
        <v>722</v>
      </c>
      <c r="K46" s="34"/>
      <c r="L46" s="39"/>
      <c r="M46" s="35">
        <v>6</v>
      </c>
      <c r="N46" s="34">
        <v>6</v>
      </c>
      <c r="O46" s="35">
        <f t="shared" si="2"/>
        <v>0</v>
      </c>
      <c r="P46" s="35" t="s">
        <v>1613</v>
      </c>
      <c r="Q46" s="36">
        <v>46127</v>
      </c>
      <c r="R46" s="36">
        <v>46127</v>
      </c>
      <c r="S46" s="38">
        <v>14178</v>
      </c>
      <c r="T46" s="40">
        <v>5</v>
      </c>
      <c r="U46" s="38">
        <f t="shared" si="3"/>
        <v>708.90000000000009</v>
      </c>
      <c r="V46" s="40">
        <v>0</v>
      </c>
      <c r="W46" s="40">
        <v>39698</v>
      </c>
      <c r="X46" s="35" t="s">
        <v>791</v>
      </c>
      <c r="Y46" s="35" t="s">
        <v>896</v>
      </c>
      <c r="Z46" s="35" t="s">
        <v>821</v>
      </c>
      <c r="AA46" s="41">
        <v>-20</v>
      </c>
      <c r="AB46" s="42"/>
      <c r="AC46" s="35" t="s">
        <v>330</v>
      </c>
      <c r="AD46" s="35" t="str">
        <f>VLOOKUP(X46,'Customer List'!B:C,2,)</f>
        <v>Delhi</v>
      </c>
      <c r="AE46" s="43" t="s">
        <v>828</v>
      </c>
      <c r="AF46" s="36"/>
      <c r="AG46" s="35" t="str">
        <f t="shared" si="4"/>
        <v/>
      </c>
      <c r="AH46" s="35" t="str">
        <f t="shared" si="5"/>
        <v>Tuesday</v>
      </c>
      <c r="AI46" s="35" t="str">
        <f t="shared" si="22"/>
        <v/>
      </c>
      <c r="AJ46" s="35" t="str">
        <f>VLOOKUP(AC46,'Currency Sheet'!A:C,3,)</f>
        <v>DOLLAR</v>
      </c>
      <c r="AK46" s="35" t="str">
        <f>VLOOKUP(X46,'Customer List'!B:D,3,)</f>
        <v>Local</v>
      </c>
    </row>
    <row r="47" spans="1:37" hidden="1" x14ac:dyDescent="0.25">
      <c r="A47" s="62">
        <f t="shared" si="23"/>
        <v>44</v>
      </c>
      <c r="B47" s="62" t="s">
        <v>319</v>
      </c>
      <c r="C47" s="62" t="s">
        <v>578</v>
      </c>
      <c r="D47" s="6" t="s">
        <v>626</v>
      </c>
      <c r="E47" s="6">
        <v>45892</v>
      </c>
      <c r="F47" s="63">
        <v>0</v>
      </c>
      <c r="G47" s="64">
        <f t="shared" si="0"/>
        <v>0</v>
      </c>
      <c r="H47" s="64">
        <f t="shared" si="1"/>
        <v>0</v>
      </c>
      <c r="I47" s="62" t="s">
        <v>636</v>
      </c>
      <c r="J47" s="62"/>
      <c r="K47" s="8"/>
      <c r="L47" s="10"/>
      <c r="M47" s="62">
        <v>3</v>
      </c>
      <c r="N47" s="8"/>
      <c r="O47" s="62">
        <f t="shared" si="2"/>
        <v>3</v>
      </c>
      <c r="P47" s="62"/>
      <c r="Q47" s="62"/>
      <c r="R47" s="6"/>
      <c r="S47" s="64"/>
      <c r="T47" s="22">
        <v>5</v>
      </c>
      <c r="U47" s="64">
        <f t="shared" si="3"/>
        <v>0</v>
      </c>
      <c r="V47" s="22"/>
      <c r="W47" s="22"/>
      <c r="X47" s="62" t="s">
        <v>789</v>
      </c>
      <c r="Y47" s="62"/>
      <c r="Z47" s="62"/>
      <c r="AA47" s="65">
        <v>4</v>
      </c>
      <c r="AB47" s="66" t="s">
        <v>820</v>
      </c>
      <c r="AC47" s="62" t="s">
        <v>319</v>
      </c>
      <c r="AD47" s="62" t="str">
        <f>VLOOKUP(X47,'Customer List'!B:C,2,)</f>
        <v>STOCK</v>
      </c>
      <c r="AE47" s="67" t="s">
        <v>828</v>
      </c>
      <c r="AF47" s="6"/>
      <c r="AG47" s="62" t="str">
        <f t="shared" si="4"/>
        <v/>
      </c>
      <c r="AH47" s="62" t="str">
        <f t="shared" si="5"/>
        <v/>
      </c>
      <c r="AI47" s="62" t="str">
        <f t="shared" si="22"/>
        <v/>
      </c>
      <c r="AJ47" s="62" t="str">
        <f>VLOOKUP(AC47,'Currency Sheet'!A:C,3,)</f>
        <v>INR</v>
      </c>
      <c r="AK47" s="62" t="str">
        <f>VLOOKUP(X47,'Customer List'!B:D,3,)</f>
        <v>STOCK</v>
      </c>
    </row>
    <row r="48" spans="1:37" hidden="1" x14ac:dyDescent="0.25">
      <c r="A48" s="62">
        <f t="shared" si="23"/>
        <v>45</v>
      </c>
      <c r="B48" s="62" t="s">
        <v>810</v>
      </c>
      <c r="C48" s="62" t="s">
        <v>579</v>
      </c>
      <c r="D48" s="6">
        <v>45889</v>
      </c>
      <c r="E48" s="6">
        <v>45892</v>
      </c>
      <c r="F48" s="63">
        <v>6268.5</v>
      </c>
      <c r="G48" s="64">
        <f t="shared" si="0"/>
        <v>6268.5</v>
      </c>
      <c r="H48" s="64">
        <f t="shared" si="1"/>
        <v>6268.5</v>
      </c>
      <c r="I48" s="62">
        <v>152624</v>
      </c>
      <c r="J48" s="62" t="s">
        <v>723</v>
      </c>
      <c r="K48" s="8"/>
      <c r="L48" s="10"/>
      <c r="M48" s="62">
        <v>1</v>
      </c>
      <c r="N48" s="8"/>
      <c r="O48" s="62">
        <f t="shared" si="2"/>
        <v>1</v>
      </c>
      <c r="P48" s="62"/>
      <c r="Q48" s="62"/>
      <c r="R48" s="6"/>
      <c r="S48" s="64"/>
      <c r="T48" s="22">
        <v>5</v>
      </c>
      <c r="U48" s="64">
        <f t="shared" si="3"/>
        <v>0</v>
      </c>
      <c r="V48" s="22"/>
      <c r="W48" s="22"/>
      <c r="X48" s="62" t="s">
        <v>789</v>
      </c>
      <c r="Y48" s="62"/>
      <c r="Z48" s="62"/>
      <c r="AA48" s="65" t="s">
        <v>808</v>
      </c>
      <c r="AB48" s="66"/>
      <c r="AC48" s="62" t="s">
        <v>810</v>
      </c>
      <c r="AD48" s="62" t="str">
        <f>VLOOKUP(X48,'Customer List'!B:C,2,)</f>
        <v>STOCK</v>
      </c>
      <c r="AE48" s="67" t="s">
        <v>828</v>
      </c>
      <c r="AF48" s="6"/>
      <c r="AG48" s="62" t="str">
        <f t="shared" si="4"/>
        <v/>
      </c>
      <c r="AH48" s="62" t="str">
        <f t="shared" si="5"/>
        <v/>
      </c>
      <c r="AI48" s="62" t="str">
        <f t="shared" si="22"/>
        <v/>
      </c>
      <c r="AJ48" s="62" t="str">
        <f>VLOOKUP(AC48,'Currency Sheet'!A:C,3,)</f>
        <v>INR</v>
      </c>
      <c r="AK48" s="62" t="str">
        <f>VLOOKUP(X48,'Customer List'!B:D,3,)</f>
        <v>STOCK</v>
      </c>
    </row>
    <row r="49" spans="1:37" hidden="1" x14ac:dyDescent="0.25">
      <c r="A49" s="62">
        <f t="shared" si="23"/>
        <v>46</v>
      </c>
      <c r="B49" s="62" t="s">
        <v>329</v>
      </c>
      <c r="C49" s="62" t="s">
        <v>580</v>
      </c>
      <c r="D49" s="6">
        <v>45888</v>
      </c>
      <c r="E49" s="6">
        <v>45896</v>
      </c>
      <c r="F49" s="63">
        <v>0</v>
      </c>
      <c r="G49" s="64">
        <f t="shared" si="0"/>
        <v>0</v>
      </c>
      <c r="H49" s="64">
        <f t="shared" si="1"/>
        <v>0</v>
      </c>
      <c r="I49" s="62" t="s">
        <v>637</v>
      </c>
      <c r="J49" s="62" t="s">
        <v>724</v>
      </c>
      <c r="K49" s="8"/>
      <c r="L49" s="10"/>
      <c r="M49" s="62">
        <v>3</v>
      </c>
      <c r="N49" s="8"/>
      <c r="O49" s="62">
        <f t="shared" si="2"/>
        <v>3</v>
      </c>
      <c r="P49" s="62"/>
      <c r="Q49" s="62"/>
      <c r="R49" s="6"/>
      <c r="S49" s="64">
        <v>0</v>
      </c>
      <c r="T49" s="22">
        <v>5</v>
      </c>
      <c r="U49" s="64">
        <f t="shared" si="3"/>
        <v>0</v>
      </c>
      <c r="V49" s="22"/>
      <c r="W49" s="22"/>
      <c r="X49" s="62" t="s">
        <v>340</v>
      </c>
      <c r="Y49" s="62"/>
      <c r="Z49" s="62"/>
      <c r="AA49" s="65">
        <v>4</v>
      </c>
      <c r="AB49" s="66" t="s">
        <v>821</v>
      </c>
      <c r="AC49" s="62" t="s">
        <v>329</v>
      </c>
      <c r="AD49" s="62" t="str">
        <f>VLOOKUP(X49,'Customer List'!B:C,2,)</f>
        <v>delhi</v>
      </c>
      <c r="AE49" s="67" t="s">
        <v>829</v>
      </c>
      <c r="AF49" s="6"/>
      <c r="AG49" s="62" t="str">
        <f t="shared" si="4"/>
        <v/>
      </c>
      <c r="AH49" s="62" t="str">
        <f t="shared" si="5"/>
        <v>Saturday</v>
      </c>
      <c r="AI49" s="62" t="str">
        <f t="shared" si="22"/>
        <v/>
      </c>
      <c r="AJ49" s="62" t="str">
        <f>VLOOKUP(AC49,'Currency Sheet'!A:C,3,)</f>
        <v>DOLLAR</v>
      </c>
      <c r="AK49" s="62" t="str">
        <f>VLOOKUP(X49,'Customer List'!B:D,3,)</f>
        <v>Local</v>
      </c>
    </row>
    <row r="50" spans="1:37" hidden="1" x14ac:dyDescent="0.25">
      <c r="A50" s="62">
        <f t="shared" si="23"/>
        <v>47</v>
      </c>
      <c r="B50" s="62" t="s">
        <v>824</v>
      </c>
      <c r="C50" s="62" t="s">
        <v>581</v>
      </c>
      <c r="D50" s="6">
        <v>45905</v>
      </c>
      <c r="E50" s="6">
        <v>45910</v>
      </c>
      <c r="F50" s="63">
        <v>0.33333333333333331</v>
      </c>
      <c r="G50" s="64">
        <f t="shared" si="0"/>
        <v>29.333333333333332</v>
      </c>
      <c r="H50" s="64">
        <f t="shared" si="1"/>
        <v>58.666666666666664</v>
      </c>
      <c r="I50" s="62">
        <v>740811</v>
      </c>
      <c r="J50" s="62" t="s">
        <v>725</v>
      </c>
      <c r="K50" s="8"/>
      <c r="L50" s="10"/>
      <c r="M50" s="62">
        <v>2</v>
      </c>
      <c r="N50" s="8"/>
      <c r="O50" s="62">
        <f t="shared" si="2"/>
        <v>2</v>
      </c>
      <c r="P50" s="62"/>
      <c r="Q50" s="62"/>
      <c r="R50" s="6"/>
      <c r="S50" s="64"/>
      <c r="T50" s="22">
        <v>5</v>
      </c>
      <c r="U50" s="64">
        <f t="shared" si="3"/>
        <v>0</v>
      </c>
      <c r="V50" s="22"/>
      <c r="W50" s="22"/>
      <c r="X50" s="62" t="s">
        <v>790</v>
      </c>
      <c r="Y50" s="62"/>
      <c r="Z50" s="62"/>
      <c r="AA50" s="65">
        <v>4</v>
      </c>
      <c r="AB50" s="66" t="s">
        <v>822</v>
      </c>
      <c r="AC50" s="62" t="s">
        <v>824</v>
      </c>
      <c r="AD50" s="62" t="str">
        <f>VLOOKUP(X50,'Customer List'!B:C,2,)</f>
        <v>Unknown</v>
      </c>
      <c r="AE50" s="67" t="s">
        <v>830</v>
      </c>
      <c r="AF50" s="6"/>
      <c r="AG50" s="62" t="str">
        <f t="shared" si="4"/>
        <v/>
      </c>
      <c r="AH50" s="62" t="str">
        <f t="shared" si="5"/>
        <v/>
      </c>
      <c r="AI50" s="62" t="str">
        <f t="shared" si="22"/>
        <v/>
      </c>
      <c r="AJ50" s="62" t="str">
        <f>VLOOKUP(AC50,'Currency Sheet'!A:C,3,)</f>
        <v>DOLLAR</v>
      </c>
      <c r="AK50" s="62" t="str">
        <f>VLOOKUP(X50,'Customer List'!B:D,3,)</f>
        <v>Unknown</v>
      </c>
    </row>
    <row r="51" spans="1:37" hidden="1" x14ac:dyDescent="0.25">
      <c r="A51" s="62">
        <f t="shared" si="23"/>
        <v>48</v>
      </c>
      <c r="B51" s="62" t="s">
        <v>824</v>
      </c>
      <c r="C51" s="62" t="s">
        <v>581</v>
      </c>
      <c r="D51" s="6">
        <v>45905</v>
      </c>
      <c r="E51" s="6">
        <v>45910</v>
      </c>
      <c r="F51" s="63">
        <v>0.33333333333333331</v>
      </c>
      <c r="G51" s="64">
        <f t="shared" si="0"/>
        <v>29.333333333333332</v>
      </c>
      <c r="H51" s="64">
        <f t="shared" si="1"/>
        <v>58.666666666666664</v>
      </c>
      <c r="I51" s="62">
        <v>741146</v>
      </c>
      <c r="J51" s="62" t="s">
        <v>726</v>
      </c>
      <c r="K51" s="8"/>
      <c r="L51" s="10"/>
      <c r="M51" s="62">
        <v>2</v>
      </c>
      <c r="N51" s="8"/>
      <c r="O51" s="62">
        <f t="shared" si="2"/>
        <v>2</v>
      </c>
      <c r="P51" s="62"/>
      <c r="Q51" s="62"/>
      <c r="R51" s="6"/>
      <c r="S51" s="64"/>
      <c r="T51" s="22">
        <v>5</v>
      </c>
      <c r="U51" s="64">
        <f t="shared" si="3"/>
        <v>0</v>
      </c>
      <c r="V51" s="22"/>
      <c r="W51" s="22"/>
      <c r="X51" s="62" t="s">
        <v>790</v>
      </c>
      <c r="Y51" s="62"/>
      <c r="Z51" s="62"/>
      <c r="AA51" s="65">
        <v>4</v>
      </c>
      <c r="AB51" s="66" t="s">
        <v>822</v>
      </c>
      <c r="AC51" s="62" t="s">
        <v>824</v>
      </c>
      <c r="AD51" s="62" t="str">
        <f>VLOOKUP(X51,'Customer List'!B:C,2,)</f>
        <v>Unknown</v>
      </c>
      <c r="AE51" s="67" t="s">
        <v>830</v>
      </c>
      <c r="AF51" s="6"/>
      <c r="AG51" s="62" t="str">
        <f t="shared" si="4"/>
        <v/>
      </c>
      <c r="AH51" s="62" t="str">
        <f t="shared" si="5"/>
        <v/>
      </c>
      <c r="AI51" s="62" t="str">
        <f t="shared" si="22"/>
        <v/>
      </c>
      <c r="AJ51" s="62" t="str">
        <f>VLOOKUP(AC51,'Currency Sheet'!A:C,3,)</f>
        <v>DOLLAR</v>
      </c>
      <c r="AK51" s="62" t="str">
        <f>VLOOKUP(X51,'Customer List'!B:D,3,)</f>
        <v>Unknown</v>
      </c>
    </row>
    <row r="52" spans="1:37" hidden="1" x14ac:dyDescent="0.25">
      <c r="A52" s="62">
        <f t="shared" si="23"/>
        <v>49</v>
      </c>
      <c r="B52" s="62" t="s">
        <v>824</v>
      </c>
      <c r="C52" s="62" t="s">
        <v>12</v>
      </c>
      <c r="D52" s="6">
        <v>46113</v>
      </c>
      <c r="E52" s="6">
        <v>45911</v>
      </c>
      <c r="F52" s="63">
        <v>25.2</v>
      </c>
      <c r="G52" s="64">
        <f t="shared" si="0"/>
        <v>2217.6</v>
      </c>
      <c r="H52" s="64">
        <f t="shared" si="1"/>
        <v>2217.6</v>
      </c>
      <c r="I52" s="62">
        <v>421101</v>
      </c>
      <c r="J52" s="62" t="s">
        <v>727</v>
      </c>
      <c r="K52" s="8" t="s">
        <v>863</v>
      </c>
      <c r="L52" s="10">
        <v>46325</v>
      </c>
      <c r="M52" s="62">
        <v>1</v>
      </c>
      <c r="N52" s="8"/>
      <c r="O52" s="62">
        <f t="shared" si="2"/>
        <v>1</v>
      </c>
      <c r="P52" s="62"/>
      <c r="Q52" s="62"/>
      <c r="R52" s="6"/>
      <c r="S52" s="64"/>
      <c r="T52" s="22">
        <v>5</v>
      </c>
      <c r="U52" s="64">
        <f t="shared" si="3"/>
        <v>0</v>
      </c>
      <c r="V52" s="22"/>
      <c r="W52" s="22"/>
      <c r="X52" s="62" t="s">
        <v>789</v>
      </c>
      <c r="Y52" s="62"/>
      <c r="Z52" s="62"/>
      <c r="AA52" s="65">
        <v>4</v>
      </c>
      <c r="AB52" s="66"/>
      <c r="AC52" s="62" t="s">
        <v>824</v>
      </c>
      <c r="AD52" s="62" t="str">
        <f>VLOOKUP(X52,'Customer List'!B:C,2,)</f>
        <v>STOCK</v>
      </c>
      <c r="AE52" s="67" t="s">
        <v>828</v>
      </c>
      <c r="AF52" s="6"/>
      <c r="AG52" s="62" t="str">
        <f t="shared" si="4"/>
        <v/>
      </c>
      <c r="AH52" s="62" t="str">
        <f t="shared" si="5"/>
        <v/>
      </c>
      <c r="AI52" s="62" t="str">
        <f t="shared" si="22"/>
        <v/>
      </c>
      <c r="AJ52" s="62" t="str">
        <f>VLOOKUP(AC52,'Currency Sheet'!A:C,3,)</f>
        <v>DOLLAR</v>
      </c>
      <c r="AK52" s="62" t="str">
        <f>VLOOKUP(X52,'Customer List'!B:D,3,)</f>
        <v>STOCK</v>
      </c>
    </row>
    <row r="53" spans="1:37" hidden="1" x14ac:dyDescent="0.25">
      <c r="A53" s="62">
        <f t="shared" si="23"/>
        <v>50</v>
      </c>
      <c r="B53" s="62" t="s">
        <v>886</v>
      </c>
      <c r="C53" s="62" t="s">
        <v>12</v>
      </c>
      <c r="D53" s="6">
        <v>46113</v>
      </c>
      <c r="E53" s="6">
        <v>45916</v>
      </c>
      <c r="F53" s="63">
        <v>0</v>
      </c>
      <c r="G53" s="64">
        <f t="shared" si="0"/>
        <v>0</v>
      </c>
      <c r="H53" s="64">
        <f t="shared" si="1"/>
        <v>0</v>
      </c>
      <c r="I53" s="62" t="s">
        <v>638</v>
      </c>
      <c r="J53" s="62"/>
      <c r="K53" s="8"/>
      <c r="L53" s="10"/>
      <c r="M53" s="62">
        <v>1</v>
      </c>
      <c r="N53" s="8"/>
      <c r="O53" s="62">
        <f t="shared" si="2"/>
        <v>1</v>
      </c>
      <c r="P53" s="62"/>
      <c r="Q53" s="62"/>
      <c r="R53" s="6"/>
      <c r="S53" s="64">
        <v>0</v>
      </c>
      <c r="T53" s="22">
        <v>5</v>
      </c>
      <c r="U53" s="64">
        <f t="shared" si="3"/>
        <v>0</v>
      </c>
      <c r="V53" s="22"/>
      <c r="W53" s="22"/>
      <c r="X53" s="62" t="s">
        <v>791</v>
      </c>
      <c r="Y53" s="62"/>
      <c r="Z53" s="62"/>
      <c r="AA53" s="65" t="s">
        <v>808</v>
      </c>
      <c r="AB53" s="66"/>
      <c r="AC53" s="62" t="s">
        <v>886</v>
      </c>
      <c r="AD53" s="62" t="str">
        <f>VLOOKUP(X53,'Customer List'!B:C,2,)</f>
        <v>Delhi</v>
      </c>
      <c r="AE53" s="67" t="s">
        <v>829</v>
      </c>
      <c r="AF53" s="6"/>
      <c r="AG53" s="62" t="str">
        <f t="shared" si="4"/>
        <v/>
      </c>
      <c r="AH53" s="62" t="str">
        <f t="shared" si="5"/>
        <v>Saturday</v>
      </c>
      <c r="AI53" s="62" t="str">
        <f t="shared" si="22"/>
        <v/>
      </c>
      <c r="AJ53" s="62" t="str">
        <f>VLOOKUP(AC53,'Currency Sheet'!A:C,3,)</f>
        <v>DOLLAR</v>
      </c>
      <c r="AK53" s="62" t="str">
        <f>VLOOKUP(X53,'Customer List'!B:D,3,)</f>
        <v>Local</v>
      </c>
    </row>
    <row r="54" spans="1:37" hidden="1" x14ac:dyDescent="0.25">
      <c r="A54" s="62">
        <f t="shared" si="23"/>
        <v>51</v>
      </c>
      <c r="B54" s="62" t="s">
        <v>886</v>
      </c>
      <c r="C54" s="62" t="s">
        <v>12</v>
      </c>
      <c r="D54" s="6">
        <v>46113</v>
      </c>
      <c r="E54" s="6">
        <v>45916</v>
      </c>
      <c r="F54" s="63">
        <v>0</v>
      </c>
      <c r="G54" s="64">
        <f t="shared" si="0"/>
        <v>0</v>
      </c>
      <c r="H54" s="64">
        <f t="shared" si="1"/>
        <v>0</v>
      </c>
      <c r="I54" s="62" t="s">
        <v>639</v>
      </c>
      <c r="J54" s="62"/>
      <c r="K54" s="8"/>
      <c r="L54" s="10"/>
      <c r="M54" s="62">
        <v>1</v>
      </c>
      <c r="N54" s="8"/>
      <c r="O54" s="62">
        <f t="shared" si="2"/>
        <v>1</v>
      </c>
      <c r="P54" s="62"/>
      <c r="Q54" s="62"/>
      <c r="R54" s="6"/>
      <c r="S54" s="64">
        <v>0</v>
      </c>
      <c r="T54" s="22">
        <v>5</v>
      </c>
      <c r="U54" s="64">
        <f t="shared" si="3"/>
        <v>0</v>
      </c>
      <c r="V54" s="22"/>
      <c r="W54" s="22"/>
      <c r="X54" s="62" t="s">
        <v>791</v>
      </c>
      <c r="Y54" s="62"/>
      <c r="Z54" s="62"/>
      <c r="AA54" s="65" t="s">
        <v>808</v>
      </c>
      <c r="AB54" s="66"/>
      <c r="AC54" s="62" t="s">
        <v>886</v>
      </c>
      <c r="AD54" s="62" t="str">
        <f>VLOOKUP(X54,'Customer List'!B:C,2,)</f>
        <v>Delhi</v>
      </c>
      <c r="AE54" s="67" t="s">
        <v>829</v>
      </c>
      <c r="AF54" s="6"/>
      <c r="AG54" s="62" t="str">
        <f t="shared" si="4"/>
        <v/>
      </c>
      <c r="AH54" s="62" t="str">
        <f t="shared" si="5"/>
        <v>Saturday</v>
      </c>
      <c r="AI54" s="62" t="str">
        <f t="shared" si="22"/>
        <v/>
      </c>
      <c r="AJ54" s="62" t="str">
        <f>VLOOKUP(AC54,'Currency Sheet'!A:C,3,)</f>
        <v>DOLLAR</v>
      </c>
      <c r="AK54" s="62" t="str">
        <f>VLOOKUP(X54,'Customer List'!B:D,3,)</f>
        <v>Local</v>
      </c>
    </row>
    <row r="55" spans="1:37" hidden="1" x14ac:dyDescent="0.25">
      <c r="A55" s="62">
        <f t="shared" si="23"/>
        <v>52</v>
      </c>
      <c r="B55" s="62" t="s">
        <v>810</v>
      </c>
      <c r="C55" s="62" t="s">
        <v>582</v>
      </c>
      <c r="D55" s="6">
        <v>45917</v>
      </c>
      <c r="E55" s="6">
        <v>45924</v>
      </c>
      <c r="F55" s="63">
        <v>16000</v>
      </c>
      <c r="G55" s="64">
        <f t="shared" si="0"/>
        <v>16000</v>
      </c>
      <c r="H55" s="64">
        <f t="shared" si="1"/>
        <v>32000</v>
      </c>
      <c r="I55" s="62" t="s">
        <v>640</v>
      </c>
      <c r="J55" s="62" t="s">
        <v>728</v>
      </c>
      <c r="K55" s="8"/>
      <c r="L55" s="10"/>
      <c r="M55" s="62">
        <v>2</v>
      </c>
      <c r="N55" s="8"/>
      <c r="O55" s="62">
        <f t="shared" si="2"/>
        <v>2</v>
      </c>
      <c r="P55" s="62"/>
      <c r="Q55" s="62"/>
      <c r="R55" s="6"/>
      <c r="S55" s="64"/>
      <c r="T55" s="22">
        <v>5</v>
      </c>
      <c r="U55" s="64">
        <f t="shared" si="3"/>
        <v>0</v>
      </c>
      <c r="V55" s="22"/>
      <c r="W55" s="22"/>
      <c r="X55" s="62" t="s">
        <v>789</v>
      </c>
      <c r="Y55" s="62"/>
      <c r="Z55" s="62"/>
      <c r="AA55" s="65">
        <v>-20</v>
      </c>
      <c r="AB55" s="66"/>
      <c r="AC55" s="62" t="s">
        <v>810</v>
      </c>
      <c r="AD55" s="62" t="str">
        <f>VLOOKUP(X55,'Customer List'!B:C,2,)</f>
        <v>STOCK</v>
      </c>
      <c r="AE55" s="67" t="s">
        <v>828</v>
      </c>
      <c r="AF55" s="6"/>
      <c r="AG55" s="62" t="str">
        <f t="shared" si="4"/>
        <v/>
      </c>
      <c r="AH55" s="62" t="str">
        <f t="shared" si="5"/>
        <v/>
      </c>
      <c r="AI55" s="62" t="str">
        <f t="shared" si="22"/>
        <v/>
      </c>
      <c r="AJ55" s="62" t="str">
        <f>VLOOKUP(AC55,'Currency Sheet'!A:C,3,)</f>
        <v>INR</v>
      </c>
      <c r="AK55" s="62" t="str">
        <f>VLOOKUP(X55,'Customer List'!B:D,3,)</f>
        <v>STOCK</v>
      </c>
    </row>
    <row r="56" spans="1:37" hidden="1" x14ac:dyDescent="0.25">
      <c r="A56" s="62">
        <f t="shared" si="23"/>
        <v>53</v>
      </c>
      <c r="B56" s="62" t="s">
        <v>810</v>
      </c>
      <c r="C56" s="62" t="s">
        <v>583</v>
      </c>
      <c r="D56" s="6">
        <v>45920</v>
      </c>
      <c r="E56" s="6">
        <v>45924</v>
      </c>
      <c r="F56" s="63">
        <v>4788.415</v>
      </c>
      <c r="G56" s="64">
        <f t="shared" si="0"/>
        <v>4788.415</v>
      </c>
      <c r="H56" s="64">
        <f t="shared" si="1"/>
        <v>9576.83</v>
      </c>
      <c r="I56" s="62">
        <v>805615</v>
      </c>
      <c r="J56" s="62"/>
      <c r="K56" s="8"/>
      <c r="L56" s="10"/>
      <c r="M56" s="62">
        <v>2</v>
      </c>
      <c r="N56" s="8"/>
      <c r="O56" s="62">
        <f t="shared" si="2"/>
        <v>2</v>
      </c>
      <c r="P56" s="62"/>
      <c r="Q56" s="62"/>
      <c r="R56" s="6"/>
      <c r="S56" s="64"/>
      <c r="T56" s="22">
        <v>5</v>
      </c>
      <c r="U56" s="64">
        <f t="shared" si="3"/>
        <v>0</v>
      </c>
      <c r="V56" s="22"/>
      <c r="W56" s="22"/>
      <c r="X56" s="62" t="s">
        <v>789</v>
      </c>
      <c r="Y56" s="62"/>
      <c r="Z56" s="62"/>
      <c r="AA56" s="65" t="s">
        <v>808</v>
      </c>
      <c r="AB56" s="66"/>
      <c r="AC56" s="62" t="s">
        <v>810</v>
      </c>
      <c r="AD56" s="62" t="str">
        <f>VLOOKUP(X56,'Customer List'!B:C,2,)</f>
        <v>STOCK</v>
      </c>
      <c r="AE56" s="67" t="s">
        <v>828</v>
      </c>
      <c r="AF56" s="6"/>
      <c r="AG56" s="62" t="str">
        <f t="shared" si="4"/>
        <v/>
      </c>
      <c r="AH56" s="62" t="str">
        <f t="shared" si="5"/>
        <v/>
      </c>
      <c r="AI56" s="62" t="str">
        <f t="shared" si="22"/>
        <v/>
      </c>
      <c r="AJ56" s="62" t="str">
        <f>VLOOKUP(AC56,'Currency Sheet'!A:C,3,)</f>
        <v>INR</v>
      </c>
      <c r="AK56" s="62" t="str">
        <f>VLOOKUP(X56,'Customer List'!B:D,3,)</f>
        <v>STOCK</v>
      </c>
    </row>
    <row r="57" spans="1:37" hidden="1" x14ac:dyDescent="0.25">
      <c r="A57" s="62">
        <f t="shared" si="23"/>
        <v>54</v>
      </c>
      <c r="B57" s="62" t="s">
        <v>810</v>
      </c>
      <c r="C57" s="62" t="s">
        <v>583</v>
      </c>
      <c r="D57" s="6">
        <v>45920</v>
      </c>
      <c r="E57" s="6">
        <v>45924</v>
      </c>
      <c r="F57" s="63">
        <v>3033.75</v>
      </c>
      <c r="G57" s="64">
        <f t="shared" si="0"/>
        <v>3033.75</v>
      </c>
      <c r="H57" s="64">
        <f t="shared" si="1"/>
        <v>12135</v>
      </c>
      <c r="I57" s="62">
        <v>4064112</v>
      </c>
      <c r="J57" s="62"/>
      <c r="K57" s="8"/>
      <c r="L57" s="10"/>
      <c r="M57" s="62">
        <v>4</v>
      </c>
      <c r="N57" s="8"/>
      <c r="O57" s="62">
        <f t="shared" si="2"/>
        <v>4</v>
      </c>
      <c r="P57" s="62"/>
      <c r="Q57" s="62"/>
      <c r="R57" s="6"/>
      <c r="S57" s="64"/>
      <c r="T57" s="22">
        <v>5</v>
      </c>
      <c r="U57" s="64">
        <f t="shared" si="3"/>
        <v>0</v>
      </c>
      <c r="V57" s="22"/>
      <c r="W57" s="22"/>
      <c r="X57" s="62" t="s">
        <v>789</v>
      </c>
      <c r="Y57" s="62"/>
      <c r="Z57" s="62"/>
      <c r="AA57" s="65">
        <v>4</v>
      </c>
      <c r="AB57" s="66"/>
      <c r="AC57" s="62" t="s">
        <v>810</v>
      </c>
      <c r="AD57" s="62" t="str">
        <f>VLOOKUP(X57,'Customer List'!B:C,2,)</f>
        <v>STOCK</v>
      </c>
      <c r="AE57" s="67" t="s">
        <v>828</v>
      </c>
      <c r="AF57" s="6"/>
      <c r="AG57" s="62" t="str">
        <f t="shared" si="4"/>
        <v/>
      </c>
      <c r="AH57" s="62" t="str">
        <f t="shared" si="5"/>
        <v/>
      </c>
      <c r="AI57" s="62" t="str">
        <f t="shared" si="22"/>
        <v/>
      </c>
      <c r="AJ57" s="62" t="str">
        <f>VLOOKUP(AC57,'Currency Sheet'!A:C,3,)</f>
        <v>INR</v>
      </c>
      <c r="AK57" s="62" t="str">
        <f>VLOOKUP(X57,'Customer List'!B:D,3,)</f>
        <v>STOCK</v>
      </c>
    </row>
    <row r="58" spans="1:37" hidden="1" x14ac:dyDescent="0.25">
      <c r="A58" s="62">
        <f t="shared" si="23"/>
        <v>55</v>
      </c>
      <c r="B58" s="62" t="s">
        <v>810</v>
      </c>
      <c r="C58" s="62" t="s">
        <v>583</v>
      </c>
      <c r="D58" s="6">
        <v>45920</v>
      </c>
      <c r="E58" s="6">
        <v>45924</v>
      </c>
      <c r="F58" s="63">
        <v>6840</v>
      </c>
      <c r="G58" s="64">
        <f t="shared" si="0"/>
        <v>6840</v>
      </c>
      <c r="H58" s="64">
        <f t="shared" si="1"/>
        <v>20520</v>
      </c>
      <c r="I58" s="62" t="s">
        <v>641</v>
      </c>
      <c r="J58" s="62"/>
      <c r="K58" s="8"/>
      <c r="L58" s="10"/>
      <c r="M58" s="62">
        <v>3</v>
      </c>
      <c r="N58" s="8"/>
      <c r="O58" s="62">
        <f t="shared" si="2"/>
        <v>3</v>
      </c>
      <c r="P58" s="62"/>
      <c r="Q58" s="62"/>
      <c r="R58" s="6"/>
      <c r="S58" s="64"/>
      <c r="T58" s="22">
        <v>5</v>
      </c>
      <c r="U58" s="64">
        <f t="shared" si="3"/>
        <v>0</v>
      </c>
      <c r="V58" s="22"/>
      <c r="W58" s="22"/>
      <c r="X58" s="62" t="s">
        <v>789</v>
      </c>
      <c r="Y58" s="62"/>
      <c r="Z58" s="62"/>
      <c r="AA58" s="65" t="s">
        <v>808</v>
      </c>
      <c r="AB58" s="66"/>
      <c r="AC58" s="62" t="s">
        <v>810</v>
      </c>
      <c r="AD58" s="62" t="str">
        <f>VLOOKUP(X58,'Customer List'!B:C,2,)</f>
        <v>STOCK</v>
      </c>
      <c r="AE58" s="67" t="s">
        <v>828</v>
      </c>
      <c r="AF58" s="6"/>
      <c r="AG58" s="62" t="str">
        <f t="shared" si="4"/>
        <v/>
      </c>
      <c r="AH58" s="62" t="str">
        <f t="shared" si="5"/>
        <v/>
      </c>
      <c r="AI58" s="62" t="str">
        <f t="shared" si="22"/>
        <v/>
      </c>
      <c r="AJ58" s="62" t="str">
        <f>VLOOKUP(AC58,'Currency Sheet'!A:C,3,)</f>
        <v>INR</v>
      </c>
      <c r="AK58" s="62" t="str">
        <f>VLOOKUP(X58,'Customer List'!B:D,3,)</f>
        <v>STOCK</v>
      </c>
    </row>
    <row r="59" spans="1:37" hidden="1" x14ac:dyDescent="0.25">
      <c r="A59" s="62">
        <f t="shared" si="23"/>
        <v>56</v>
      </c>
      <c r="B59" s="62" t="s">
        <v>810</v>
      </c>
      <c r="C59" s="62" t="s">
        <v>584</v>
      </c>
      <c r="D59" s="6">
        <v>45920</v>
      </c>
      <c r="E59" s="6">
        <v>45924</v>
      </c>
      <c r="F59" s="63">
        <v>6516</v>
      </c>
      <c r="G59" s="64">
        <f t="shared" si="0"/>
        <v>6516</v>
      </c>
      <c r="H59" s="64">
        <f t="shared" si="1"/>
        <v>19548</v>
      </c>
      <c r="I59" s="62">
        <v>16006925</v>
      </c>
      <c r="J59" s="62"/>
      <c r="K59" s="8"/>
      <c r="L59" s="10"/>
      <c r="M59" s="62">
        <v>3</v>
      </c>
      <c r="N59" s="8"/>
      <c r="O59" s="62">
        <f t="shared" si="2"/>
        <v>3</v>
      </c>
      <c r="P59" s="62"/>
      <c r="Q59" s="62"/>
      <c r="R59" s="6"/>
      <c r="S59" s="64"/>
      <c r="T59" s="22">
        <v>5</v>
      </c>
      <c r="U59" s="64">
        <f t="shared" si="3"/>
        <v>0</v>
      </c>
      <c r="V59" s="22"/>
      <c r="W59" s="22"/>
      <c r="X59" s="62" t="s">
        <v>789</v>
      </c>
      <c r="Y59" s="62"/>
      <c r="Z59" s="62"/>
      <c r="AA59" s="65">
        <v>4</v>
      </c>
      <c r="AB59" s="66"/>
      <c r="AC59" s="62" t="s">
        <v>810</v>
      </c>
      <c r="AD59" s="62" t="str">
        <f>VLOOKUP(X59,'Customer List'!B:C,2,)</f>
        <v>STOCK</v>
      </c>
      <c r="AE59" s="67" t="s">
        <v>828</v>
      </c>
      <c r="AF59" s="6"/>
      <c r="AG59" s="62" t="str">
        <f t="shared" si="4"/>
        <v/>
      </c>
      <c r="AH59" s="62" t="str">
        <f t="shared" si="5"/>
        <v/>
      </c>
      <c r="AI59" s="62" t="str">
        <f t="shared" si="22"/>
        <v/>
      </c>
      <c r="AJ59" s="62" t="str">
        <f>VLOOKUP(AC59,'Currency Sheet'!A:C,3,)</f>
        <v>INR</v>
      </c>
      <c r="AK59" s="62" t="str">
        <f>VLOOKUP(X59,'Customer List'!B:D,3,)</f>
        <v>STOCK</v>
      </c>
    </row>
    <row r="60" spans="1:37" ht="30" hidden="1" x14ac:dyDescent="0.25">
      <c r="A60" s="62">
        <f t="shared" si="23"/>
        <v>57</v>
      </c>
      <c r="B60" s="62" t="s">
        <v>824</v>
      </c>
      <c r="C60" s="62" t="s">
        <v>585</v>
      </c>
      <c r="D60" s="6">
        <v>45926</v>
      </c>
      <c r="E60" s="6">
        <v>45936</v>
      </c>
      <c r="F60" s="63">
        <v>82.6</v>
      </c>
      <c r="G60" s="64">
        <f t="shared" si="0"/>
        <v>7268.7999999999993</v>
      </c>
      <c r="H60" s="64">
        <f t="shared" si="1"/>
        <v>7268.7999999999993</v>
      </c>
      <c r="I60" s="62">
        <v>741110</v>
      </c>
      <c r="J60" s="62" t="s">
        <v>729</v>
      </c>
      <c r="K60" s="8"/>
      <c r="L60" s="10"/>
      <c r="M60" s="62">
        <v>1</v>
      </c>
      <c r="N60" s="8"/>
      <c r="O60" s="62">
        <f t="shared" si="2"/>
        <v>1</v>
      </c>
      <c r="P60" s="62"/>
      <c r="Q60" s="62"/>
      <c r="R60" s="6"/>
      <c r="S60" s="64"/>
      <c r="T60" s="22">
        <v>5</v>
      </c>
      <c r="U60" s="64">
        <f t="shared" si="3"/>
        <v>0</v>
      </c>
      <c r="V60" s="22"/>
      <c r="W60" s="22"/>
      <c r="X60" s="62" t="s">
        <v>368</v>
      </c>
      <c r="Y60" s="62"/>
      <c r="Z60" s="62"/>
      <c r="AA60" s="65">
        <v>4</v>
      </c>
      <c r="AB60" s="66" t="s">
        <v>823</v>
      </c>
      <c r="AC60" s="62" t="s">
        <v>824</v>
      </c>
      <c r="AD60" s="62" t="str">
        <f>VLOOKUP(X60,'Customer List'!B:C,2,)</f>
        <v>Unknown</v>
      </c>
      <c r="AE60" s="66" t="s">
        <v>831</v>
      </c>
      <c r="AF60" s="6"/>
      <c r="AG60" s="62" t="str">
        <f t="shared" si="4"/>
        <v/>
      </c>
      <c r="AH60" s="62" t="str">
        <f t="shared" si="5"/>
        <v/>
      </c>
      <c r="AI60" s="62" t="str">
        <f t="shared" si="22"/>
        <v/>
      </c>
      <c r="AJ60" s="62" t="str">
        <f>VLOOKUP(AC60,'Currency Sheet'!A:C,3,)</f>
        <v>DOLLAR</v>
      </c>
      <c r="AK60" s="62" t="str">
        <f>VLOOKUP(X60,'Customer List'!B:D,3,)</f>
        <v>Unknown</v>
      </c>
    </row>
    <row r="61" spans="1:37" hidden="1" x14ac:dyDescent="0.25">
      <c r="A61" s="62">
        <f t="shared" si="23"/>
        <v>58</v>
      </c>
      <c r="B61" s="62" t="s">
        <v>27</v>
      </c>
      <c r="C61" s="62" t="s">
        <v>586</v>
      </c>
      <c r="D61" s="6">
        <v>45926</v>
      </c>
      <c r="E61" s="6">
        <v>45937</v>
      </c>
      <c r="F61" s="63">
        <v>22</v>
      </c>
      <c r="G61" s="64">
        <f t="shared" si="0"/>
        <v>1936</v>
      </c>
      <c r="H61" s="64">
        <f t="shared" si="1"/>
        <v>7744</v>
      </c>
      <c r="I61" s="62" t="s">
        <v>642</v>
      </c>
      <c r="J61" s="62" t="s">
        <v>730</v>
      </c>
      <c r="K61" s="8">
        <v>2412011</v>
      </c>
      <c r="L61" s="10">
        <v>46409</v>
      </c>
      <c r="M61" s="62">
        <v>4</v>
      </c>
      <c r="N61" s="8"/>
      <c r="O61" s="62">
        <f t="shared" si="2"/>
        <v>4</v>
      </c>
      <c r="P61" s="62"/>
      <c r="Q61" s="62"/>
      <c r="R61" s="6"/>
      <c r="S61" s="64"/>
      <c r="T61" s="22">
        <v>5</v>
      </c>
      <c r="U61" s="64">
        <f t="shared" si="3"/>
        <v>0</v>
      </c>
      <c r="V61" s="22"/>
      <c r="W61" s="22"/>
      <c r="X61" s="62" t="s">
        <v>789</v>
      </c>
      <c r="Y61" s="62"/>
      <c r="Z61" s="62"/>
      <c r="AA61" s="65">
        <v>4</v>
      </c>
      <c r="AB61" s="66"/>
      <c r="AC61" s="62" t="s">
        <v>27</v>
      </c>
      <c r="AD61" s="62" t="str">
        <f>VLOOKUP(X61,'Customer List'!B:C,2,)</f>
        <v>STOCK</v>
      </c>
      <c r="AE61" s="67" t="s">
        <v>828</v>
      </c>
      <c r="AF61" s="6"/>
      <c r="AG61" s="62" t="str">
        <f t="shared" si="4"/>
        <v/>
      </c>
      <c r="AH61" s="62" t="str">
        <f t="shared" si="5"/>
        <v/>
      </c>
      <c r="AI61" s="62" t="str">
        <f t="shared" si="22"/>
        <v/>
      </c>
      <c r="AJ61" s="62" t="str">
        <f>VLOOKUP(AC61,'Currency Sheet'!A:C,3,)</f>
        <v>DOLLAR</v>
      </c>
      <c r="AK61" s="62" t="str">
        <f>VLOOKUP(X61,'Customer List'!B:D,3,)</f>
        <v>STOCK</v>
      </c>
    </row>
    <row r="62" spans="1:37" s="44" customFormat="1" hidden="1" x14ac:dyDescent="0.25">
      <c r="A62" s="35">
        <f t="shared" si="23"/>
        <v>59</v>
      </c>
      <c r="B62" s="35" t="s">
        <v>27</v>
      </c>
      <c r="C62" s="35" t="s">
        <v>586</v>
      </c>
      <c r="D62" s="36">
        <v>45926</v>
      </c>
      <c r="E62" s="36">
        <v>45937</v>
      </c>
      <c r="F62" s="37">
        <v>22</v>
      </c>
      <c r="G62" s="38">
        <f t="shared" si="0"/>
        <v>1936</v>
      </c>
      <c r="H62" s="64">
        <f t="shared" si="1"/>
        <v>1936</v>
      </c>
      <c r="I62" s="35" t="s">
        <v>642</v>
      </c>
      <c r="J62" s="35" t="s">
        <v>730</v>
      </c>
      <c r="K62" s="34">
        <v>2412011</v>
      </c>
      <c r="L62" s="39">
        <v>46409</v>
      </c>
      <c r="M62" s="35">
        <v>1</v>
      </c>
      <c r="N62" s="34">
        <v>1</v>
      </c>
      <c r="O62" s="35">
        <f t="shared" si="2"/>
        <v>0</v>
      </c>
      <c r="P62" s="35">
        <v>78</v>
      </c>
      <c r="Q62" s="36">
        <v>46125</v>
      </c>
      <c r="R62" s="36">
        <v>46125</v>
      </c>
      <c r="S62" s="38">
        <v>3120</v>
      </c>
      <c r="T62" s="40">
        <v>5</v>
      </c>
      <c r="U62" s="38">
        <f t="shared" si="3"/>
        <v>156</v>
      </c>
      <c r="V62" s="40">
        <v>-0.48</v>
      </c>
      <c r="W62" s="40">
        <v>179108</v>
      </c>
      <c r="X62" s="35" t="s">
        <v>240</v>
      </c>
      <c r="Y62" s="34">
        <v>58164246114</v>
      </c>
      <c r="Z62" s="35" t="s">
        <v>1112</v>
      </c>
      <c r="AA62" s="41">
        <v>4</v>
      </c>
      <c r="AB62" s="42"/>
      <c r="AC62" s="35" t="s">
        <v>27</v>
      </c>
      <c r="AD62" s="35" t="str">
        <f>VLOOKUP(X62,'Customer List'!B:C,2,)</f>
        <v>Kolkata</v>
      </c>
      <c r="AE62" s="43" t="s">
        <v>828</v>
      </c>
      <c r="AF62" s="36">
        <v>46127</v>
      </c>
      <c r="AG62" s="35">
        <f t="shared" si="4"/>
        <v>2</v>
      </c>
      <c r="AH62" s="35" t="str">
        <f t="shared" si="5"/>
        <v>Thursday</v>
      </c>
      <c r="AI62" s="35" t="str">
        <f t="shared" si="22"/>
        <v>Wednesday</v>
      </c>
      <c r="AJ62" s="35" t="str">
        <f>VLOOKUP(AC62,'Currency Sheet'!A:C,3,)</f>
        <v>DOLLAR</v>
      </c>
      <c r="AK62" s="35" t="str">
        <f>VLOOKUP(X62,'Customer List'!B:D,3,)</f>
        <v>OutStation</v>
      </c>
    </row>
    <row r="63" spans="1:37" hidden="1" x14ac:dyDescent="0.25">
      <c r="A63" s="62">
        <f t="shared" si="23"/>
        <v>60</v>
      </c>
      <c r="B63" s="62" t="s">
        <v>27</v>
      </c>
      <c r="C63" s="62" t="s">
        <v>586</v>
      </c>
      <c r="D63" s="6">
        <v>45926</v>
      </c>
      <c r="E63" s="6">
        <v>45937</v>
      </c>
      <c r="F63" s="63">
        <v>237</v>
      </c>
      <c r="G63" s="64">
        <f t="shared" si="0"/>
        <v>20856</v>
      </c>
      <c r="H63" s="64">
        <f t="shared" si="1"/>
        <v>41712</v>
      </c>
      <c r="I63" s="62" t="s">
        <v>643</v>
      </c>
      <c r="J63" s="62" t="s">
        <v>731</v>
      </c>
      <c r="K63" s="8">
        <v>3243604</v>
      </c>
      <c r="L63" s="10">
        <v>46356</v>
      </c>
      <c r="M63" s="62">
        <v>2</v>
      </c>
      <c r="N63" s="8"/>
      <c r="O63" s="62">
        <f t="shared" si="2"/>
        <v>2</v>
      </c>
      <c r="P63" s="62"/>
      <c r="Q63" s="62"/>
      <c r="R63" s="6"/>
      <c r="S63" s="64"/>
      <c r="T63" s="22">
        <v>5</v>
      </c>
      <c r="U63" s="64">
        <f t="shared" si="3"/>
        <v>0</v>
      </c>
      <c r="V63" s="22"/>
      <c r="W63" s="22"/>
      <c r="X63" s="62" t="s">
        <v>789</v>
      </c>
      <c r="Y63" s="62"/>
      <c r="Z63" s="62"/>
      <c r="AA63" s="65">
        <v>4</v>
      </c>
      <c r="AB63" s="66"/>
      <c r="AC63" s="62" t="s">
        <v>27</v>
      </c>
      <c r="AD63" s="62" t="str">
        <f>VLOOKUP(X63,'Customer List'!B:C,2,)</f>
        <v>STOCK</v>
      </c>
      <c r="AE63" s="67" t="s">
        <v>828</v>
      </c>
      <c r="AF63" s="6"/>
      <c r="AG63" s="62" t="str">
        <f t="shared" si="4"/>
        <v/>
      </c>
      <c r="AH63" s="62" t="str">
        <f t="shared" si="5"/>
        <v/>
      </c>
      <c r="AI63" s="62" t="str">
        <f t="shared" si="22"/>
        <v/>
      </c>
      <c r="AJ63" s="62" t="str">
        <f>VLOOKUP(AC63,'Currency Sheet'!A:C,3,)</f>
        <v>DOLLAR</v>
      </c>
      <c r="AK63" s="62" t="str">
        <f>VLOOKUP(X63,'Customer List'!B:D,3,)</f>
        <v>STOCK</v>
      </c>
    </row>
    <row r="64" spans="1:37" hidden="1" x14ac:dyDescent="0.25">
      <c r="A64" s="62">
        <f t="shared" si="23"/>
        <v>61</v>
      </c>
      <c r="B64" s="62" t="s">
        <v>810</v>
      </c>
      <c r="C64" s="62" t="s">
        <v>587</v>
      </c>
      <c r="D64" s="6">
        <v>45946</v>
      </c>
      <c r="E64" s="6">
        <v>45954</v>
      </c>
      <c r="F64" s="63">
        <v>1100</v>
      </c>
      <c r="G64" s="64">
        <f t="shared" si="0"/>
        <v>1100</v>
      </c>
      <c r="H64" s="64">
        <f t="shared" si="1"/>
        <v>1100</v>
      </c>
      <c r="I64" s="62">
        <v>1261254</v>
      </c>
      <c r="J64" s="62" t="s">
        <v>732</v>
      </c>
      <c r="K64" s="8"/>
      <c r="L64" s="10"/>
      <c r="M64" s="62">
        <v>1</v>
      </c>
      <c r="N64" s="8"/>
      <c r="O64" s="62">
        <f t="shared" si="2"/>
        <v>1</v>
      </c>
      <c r="P64" s="62"/>
      <c r="Q64" s="62"/>
      <c r="R64" s="6"/>
      <c r="S64" s="64"/>
      <c r="T64" s="22">
        <v>5</v>
      </c>
      <c r="U64" s="64">
        <f t="shared" si="3"/>
        <v>0</v>
      </c>
      <c r="V64" s="22"/>
      <c r="W64" s="22"/>
      <c r="X64" s="62" t="s">
        <v>257</v>
      </c>
      <c r="Y64" s="62"/>
      <c r="Z64" s="62"/>
      <c r="AA64" s="65">
        <v>4</v>
      </c>
      <c r="AB64" s="66"/>
      <c r="AC64" s="62" t="s">
        <v>810</v>
      </c>
      <c r="AD64" s="62" t="str">
        <f>VLOOKUP(X64,'Customer List'!B:C,2,)</f>
        <v>STOCK</v>
      </c>
      <c r="AE64" s="67" t="s">
        <v>828</v>
      </c>
      <c r="AF64" s="6"/>
      <c r="AG64" s="62" t="str">
        <f t="shared" si="4"/>
        <v/>
      </c>
      <c r="AH64" s="62" t="str">
        <f t="shared" si="5"/>
        <v/>
      </c>
      <c r="AI64" s="62" t="str">
        <f t="shared" si="22"/>
        <v/>
      </c>
      <c r="AJ64" s="62" t="str">
        <f>VLOOKUP(AC64,'Currency Sheet'!A:C,3,)</f>
        <v>INR</v>
      </c>
      <c r="AK64" s="62" t="str">
        <f>VLOOKUP(X64,'Customer List'!B:D,3,)</f>
        <v>STOCK</v>
      </c>
    </row>
    <row r="65" spans="1:37" hidden="1" x14ac:dyDescent="0.25">
      <c r="A65" s="62">
        <f t="shared" si="23"/>
        <v>62</v>
      </c>
      <c r="B65" s="62" t="s">
        <v>824</v>
      </c>
      <c r="C65" s="62" t="s">
        <v>588</v>
      </c>
      <c r="D65" s="6">
        <v>45951</v>
      </c>
      <c r="E65" s="6">
        <v>45958</v>
      </c>
      <c r="F65" s="63">
        <v>4.2</v>
      </c>
      <c r="G65" s="64">
        <f t="shared" si="0"/>
        <v>369.6</v>
      </c>
      <c r="H65" s="64">
        <f t="shared" si="1"/>
        <v>24393.600000000002</v>
      </c>
      <c r="I65" s="62">
        <v>740379</v>
      </c>
      <c r="J65" s="62" t="s">
        <v>733</v>
      </c>
      <c r="K65" s="8" t="s">
        <v>864</v>
      </c>
      <c r="L65" s="10">
        <v>46949</v>
      </c>
      <c r="M65" s="62">
        <v>66</v>
      </c>
      <c r="N65" s="8"/>
      <c r="O65" s="62">
        <f t="shared" si="2"/>
        <v>66</v>
      </c>
      <c r="P65" s="62"/>
      <c r="Q65" s="62"/>
      <c r="R65" s="6"/>
      <c r="S65" s="64"/>
      <c r="T65" s="22">
        <v>18</v>
      </c>
      <c r="U65" s="64">
        <f t="shared" si="3"/>
        <v>0</v>
      </c>
      <c r="V65" s="22"/>
      <c r="W65" s="22"/>
      <c r="X65" s="62" t="s">
        <v>789</v>
      </c>
      <c r="Y65" s="62"/>
      <c r="Z65" s="62"/>
      <c r="AA65" s="65" t="s">
        <v>808</v>
      </c>
      <c r="AB65" s="66"/>
      <c r="AC65" s="62" t="s">
        <v>824</v>
      </c>
      <c r="AD65" s="62" t="str">
        <f>VLOOKUP(X65,'Customer List'!B:C,2,)</f>
        <v>STOCK</v>
      </c>
      <c r="AE65" s="67" t="s">
        <v>828</v>
      </c>
      <c r="AF65" s="6"/>
      <c r="AG65" s="62" t="str">
        <f t="shared" si="4"/>
        <v/>
      </c>
      <c r="AH65" s="62" t="str">
        <f t="shared" si="5"/>
        <v/>
      </c>
      <c r="AI65" s="62" t="str">
        <f t="shared" si="22"/>
        <v/>
      </c>
      <c r="AJ65" s="62" t="str">
        <f>VLOOKUP(AC65,'Currency Sheet'!A:C,3,)</f>
        <v>DOLLAR</v>
      </c>
      <c r="AK65" s="62" t="str">
        <f>VLOOKUP(X65,'Customer List'!B:D,3,)</f>
        <v>STOCK</v>
      </c>
    </row>
    <row r="66" spans="1:37" s="44" customFormat="1" hidden="1" x14ac:dyDescent="0.25">
      <c r="A66" s="35">
        <f t="shared" si="23"/>
        <v>63</v>
      </c>
      <c r="B66" s="62" t="s">
        <v>824</v>
      </c>
      <c r="C66" s="62" t="s">
        <v>588</v>
      </c>
      <c r="D66" s="6">
        <v>45951</v>
      </c>
      <c r="E66" s="6">
        <v>45958</v>
      </c>
      <c r="F66" s="63">
        <v>4.2</v>
      </c>
      <c r="G66" s="64">
        <f t="shared" si="0"/>
        <v>369.6</v>
      </c>
      <c r="H66" s="64">
        <f t="shared" si="1"/>
        <v>739.2</v>
      </c>
      <c r="I66" s="35">
        <v>740379</v>
      </c>
      <c r="J66" s="62" t="s">
        <v>733</v>
      </c>
      <c r="K66" s="8" t="s">
        <v>864</v>
      </c>
      <c r="L66" s="10">
        <v>46949</v>
      </c>
      <c r="M66" s="35">
        <v>2</v>
      </c>
      <c r="N66" s="34">
        <v>2</v>
      </c>
      <c r="O66" s="35">
        <f t="shared" si="2"/>
        <v>0</v>
      </c>
      <c r="P66" s="35">
        <v>307</v>
      </c>
      <c r="Q66" s="36">
        <v>46156</v>
      </c>
      <c r="R66" s="36">
        <v>46156</v>
      </c>
      <c r="S66" s="38">
        <v>1584.1</v>
      </c>
      <c r="T66" s="40">
        <v>5</v>
      </c>
      <c r="U66" s="38">
        <f t="shared" si="3"/>
        <v>79.204999999999998</v>
      </c>
      <c r="V66" s="40">
        <v>-0.37</v>
      </c>
      <c r="W66" s="40">
        <v>392302</v>
      </c>
      <c r="X66" s="35" t="s">
        <v>96</v>
      </c>
      <c r="Y66" s="35" t="s">
        <v>896</v>
      </c>
      <c r="Z66" s="35" t="s">
        <v>821</v>
      </c>
      <c r="AA66" s="41" t="s">
        <v>808</v>
      </c>
      <c r="AB66" s="42"/>
      <c r="AC66" s="35" t="s">
        <v>824</v>
      </c>
      <c r="AD66" s="35" t="str">
        <f>VLOOKUP(X66,'Customer List'!B:C,2,)</f>
        <v>Faridabad</v>
      </c>
      <c r="AE66" s="43" t="s">
        <v>828</v>
      </c>
      <c r="AF66" s="36"/>
      <c r="AG66" s="35" t="str">
        <f t="shared" si="4"/>
        <v/>
      </c>
      <c r="AH66" s="35" t="str">
        <f t="shared" si="5"/>
        <v>Monday</v>
      </c>
      <c r="AI66" s="35" t="str">
        <f t="shared" si="22"/>
        <v/>
      </c>
      <c r="AJ66" s="35" t="str">
        <f>VLOOKUP(AC66,'Currency Sheet'!A:C,3,)</f>
        <v>DOLLAR</v>
      </c>
      <c r="AK66" s="35" t="str">
        <f>VLOOKUP(X66,'Customer List'!B:D,3,)</f>
        <v>Local</v>
      </c>
    </row>
    <row r="67" spans="1:37" s="44" customFormat="1" hidden="1" x14ac:dyDescent="0.25">
      <c r="A67" s="35">
        <f>A65+1</f>
        <v>63</v>
      </c>
      <c r="B67" s="62" t="s">
        <v>824</v>
      </c>
      <c r="C67" s="62" t="s">
        <v>588</v>
      </c>
      <c r="D67" s="6">
        <v>45951</v>
      </c>
      <c r="E67" s="6">
        <v>45958</v>
      </c>
      <c r="F67" s="63">
        <v>4.2</v>
      </c>
      <c r="G67" s="64">
        <f t="shared" si="0"/>
        <v>369.6</v>
      </c>
      <c r="H67" s="64">
        <f t="shared" si="1"/>
        <v>2956.8</v>
      </c>
      <c r="I67" s="35">
        <v>740379</v>
      </c>
      <c r="J67" s="62" t="s">
        <v>733</v>
      </c>
      <c r="K67" s="8" t="s">
        <v>864</v>
      </c>
      <c r="L67" s="10">
        <v>46949</v>
      </c>
      <c r="M67" s="35">
        <v>8</v>
      </c>
      <c r="N67" s="34">
        <v>8</v>
      </c>
      <c r="O67" s="35">
        <f t="shared" si="2"/>
        <v>0</v>
      </c>
      <c r="P67" s="35">
        <v>279</v>
      </c>
      <c r="Q67" s="36">
        <v>46150</v>
      </c>
      <c r="R67" s="36">
        <v>46151</v>
      </c>
      <c r="S67" s="38">
        <v>8680</v>
      </c>
      <c r="T67" s="40">
        <v>18</v>
      </c>
      <c r="U67" s="38">
        <f t="shared" si="3"/>
        <v>1562.3999999999999</v>
      </c>
      <c r="V67" s="40">
        <v>-0.4</v>
      </c>
      <c r="W67" s="40">
        <v>10242</v>
      </c>
      <c r="X67" s="35" t="s">
        <v>1366</v>
      </c>
      <c r="Y67" s="35">
        <v>58165287460</v>
      </c>
      <c r="Z67" s="35" t="s">
        <v>1112</v>
      </c>
      <c r="AA67" s="41" t="s">
        <v>808</v>
      </c>
      <c r="AB67" s="42"/>
      <c r="AC67" s="35" t="s">
        <v>824</v>
      </c>
      <c r="AD67" s="35" t="str">
        <f>VLOOKUP(X67,'Customer List'!B:C,2,)</f>
        <v>Lucknow</v>
      </c>
      <c r="AE67" s="43" t="s">
        <v>828</v>
      </c>
      <c r="AF67" s="36">
        <v>46153</v>
      </c>
      <c r="AG67" s="35">
        <f t="shared" si="4"/>
        <v>2</v>
      </c>
      <c r="AH67" s="35" t="str">
        <f t="shared" si="5"/>
        <v>Saturday</v>
      </c>
      <c r="AI67" s="35" t="str">
        <f t="shared" si="22"/>
        <v>Monday</v>
      </c>
      <c r="AJ67" s="35" t="str">
        <f>VLOOKUP(AC67,'Currency Sheet'!A:C,3,)</f>
        <v>DOLLAR</v>
      </c>
      <c r="AK67" s="35" t="str">
        <f>VLOOKUP(X67,'Customer List'!B:D,3,)</f>
        <v>OutStation</v>
      </c>
    </row>
    <row r="68" spans="1:37" s="44" customFormat="1" hidden="1" x14ac:dyDescent="0.25">
      <c r="A68" s="35">
        <f>A67+1</f>
        <v>64</v>
      </c>
      <c r="B68" s="62" t="s">
        <v>824</v>
      </c>
      <c r="C68" s="62" t="s">
        <v>588</v>
      </c>
      <c r="D68" s="6">
        <v>45951</v>
      </c>
      <c r="E68" s="6">
        <v>45958</v>
      </c>
      <c r="F68" s="63">
        <v>4.2</v>
      </c>
      <c r="G68" s="64">
        <f t="shared" ref="G68:G137" si="24">IF(AJ68="DOLLAR",F68*88,F68)</f>
        <v>369.6</v>
      </c>
      <c r="H68" s="64">
        <f t="shared" ref="H68:H137" si="25">G68*M68</f>
        <v>1478.4</v>
      </c>
      <c r="I68" s="35">
        <v>740379</v>
      </c>
      <c r="J68" s="62" t="s">
        <v>733</v>
      </c>
      <c r="K68" s="8" t="s">
        <v>864</v>
      </c>
      <c r="L68" s="10">
        <v>46949</v>
      </c>
      <c r="M68" s="35">
        <v>4</v>
      </c>
      <c r="N68" s="34">
        <v>4</v>
      </c>
      <c r="O68" s="35">
        <f t="shared" ref="O68:O137" si="26">M68-N68</f>
        <v>0</v>
      </c>
      <c r="P68" s="35" t="s">
        <v>2493</v>
      </c>
      <c r="Q68" s="36">
        <v>46150</v>
      </c>
      <c r="R68" s="36">
        <v>46151</v>
      </c>
      <c r="S68" s="38">
        <v>0</v>
      </c>
      <c r="T68" s="40">
        <v>18</v>
      </c>
      <c r="U68" s="38">
        <f t="shared" ref="U68:U137" si="27">S68*T68%</f>
        <v>0</v>
      </c>
      <c r="V68" s="40">
        <v>0</v>
      </c>
      <c r="W68" s="40">
        <v>0</v>
      </c>
      <c r="X68" s="35" t="s">
        <v>1366</v>
      </c>
      <c r="Y68" s="35">
        <v>58165287460</v>
      </c>
      <c r="Z68" s="35" t="s">
        <v>1112</v>
      </c>
      <c r="AA68" s="41" t="s">
        <v>808</v>
      </c>
      <c r="AB68" s="42" t="s">
        <v>2494</v>
      </c>
      <c r="AC68" s="35" t="s">
        <v>824</v>
      </c>
      <c r="AD68" s="35" t="str">
        <f>VLOOKUP(X68,'Customer List'!B:C,2,)</f>
        <v>Lucknow</v>
      </c>
      <c r="AE68" s="43" t="s">
        <v>828</v>
      </c>
      <c r="AF68" s="36">
        <v>46153</v>
      </c>
      <c r="AG68" s="35">
        <f t="shared" ref="AG68:AG137" si="28">IF(AF68="", "", AF68-R68)</f>
        <v>2</v>
      </c>
      <c r="AH68" s="35" t="str">
        <f t="shared" ref="AH68:AH137" si="29">IF(S68="", "", TEXT(S68, "dddd"))</f>
        <v>Saturday</v>
      </c>
      <c r="AI68" s="35" t="str">
        <f t="shared" ref="AI68:AI97" si="30">IF(AF68="", "", TEXT(AF68, "dddd"))</f>
        <v>Monday</v>
      </c>
      <c r="AJ68" s="35" t="str">
        <f>VLOOKUP(AC68,'Currency Sheet'!A:C,3,)</f>
        <v>DOLLAR</v>
      </c>
      <c r="AK68" s="35" t="str">
        <f>VLOOKUP(X68,'Customer List'!B:D,3,)</f>
        <v>OutStation</v>
      </c>
    </row>
    <row r="69" spans="1:37" s="44" customFormat="1" hidden="1" x14ac:dyDescent="0.25">
      <c r="A69" s="35">
        <f>A65+1</f>
        <v>63</v>
      </c>
      <c r="B69" s="35" t="s">
        <v>824</v>
      </c>
      <c r="C69" s="35" t="s">
        <v>588</v>
      </c>
      <c r="D69" s="36">
        <v>45951</v>
      </c>
      <c r="E69" s="36">
        <v>45958</v>
      </c>
      <c r="F69" s="37">
        <v>4.2</v>
      </c>
      <c r="G69" s="38">
        <f t="shared" si="24"/>
        <v>369.6</v>
      </c>
      <c r="H69" s="38">
        <f t="shared" si="25"/>
        <v>369.6</v>
      </c>
      <c r="I69" s="35">
        <v>740379</v>
      </c>
      <c r="J69" s="35" t="s">
        <v>733</v>
      </c>
      <c r="K69" s="34" t="s">
        <v>864</v>
      </c>
      <c r="L69" s="39">
        <v>46949</v>
      </c>
      <c r="M69" s="35">
        <v>1</v>
      </c>
      <c r="N69" s="34">
        <v>1</v>
      </c>
      <c r="O69" s="35">
        <f t="shared" si="26"/>
        <v>0</v>
      </c>
      <c r="P69" s="35">
        <v>44</v>
      </c>
      <c r="Q69" s="36">
        <v>46144</v>
      </c>
      <c r="R69" s="36">
        <v>46144</v>
      </c>
      <c r="S69" s="38">
        <v>0</v>
      </c>
      <c r="T69" s="40">
        <v>18</v>
      </c>
      <c r="U69" s="38">
        <f t="shared" si="27"/>
        <v>0</v>
      </c>
      <c r="V69" s="40">
        <v>0</v>
      </c>
      <c r="W69" s="40">
        <v>0</v>
      </c>
      <c r="X69" s="35" t="s">
        <v>96</v>
      </c>
      <c r="Y69" s="35" t="s">
        <v>896</v>
      </c>
      <c r="Z69" s="35" t="s">
        <v>821</v>
      </c>
      <c r="AA69" s="41" t="s">
        <v>808</v>
      </c>
      <c r="AB69" s="42" t="s">
        <v>1382</v>
      </c>
      <c r="AC69" s="35" t="s">
        <v>824</v>
      </c>
      <c r="AD69" s="35" t="str">
        <f>VLOOKUP(X69,'Customer List'!B:C,2,)</f>
        <v>Faridabad</v>
      </c>
      <c r="AE69" s="43" t="s">
        <v>828</v>
      </c>
      <c r="AF69" s="36"/>
      <c r="AG69" s="35" t="str">
        <f t="shared" si="28"/>
        <v/>
      </c>
      <c r="AH69" s="35" t="str">
        <f t="shared" si="29"/>
        <v>Saturday</v>
      </c>
      <c r="AI69" s="35" t="str">
        <f t="shared" si="30"/>
        <v/>
      </c>
      <c r="AJ69" s="35" t="str">
        <f>VLOOKUP(AC69,'Currency Sheet'!A:C,3,)</f>
        <v>DOLLAR</v>
      </c>
      <c r="AK69" s="35" t="str">
        <f>VLOOKUP(X69,'Customer List'!B:D,3,)</f>
        <v>Local</v>
      </c>
    </row>
    <row r="70" spans="1:37" s="44" customFormat="1" hidden="1" x14ac:dyDescent="0.25">
      <c r="A70" s="35">
        <f t="shared" ref="A70:A102" si="31">A69+1</f>
        <v>64</v>
      </c>
      <c r="B70" s="35" t="s">
        <v>824</v>
      </c>
      <c r="C70" s="35" t="s">
        <v>588</v>
      </c>
      <c r="D70" s="36">
        <v>45951</v>
      </c>
      <c r="E70" s="36">
        <v>45958</v>
      </c>
      <c r="F70" s="37">
        <v>4.2</v>
      </c>
      <c r="G70" s="38">
        <f t="shared" si="24"/>
        <v>369.6</v>
      </c>
      <c r="H70" s="64">
        <f t="shared" si="25"/>
        <v>18480</v>
      </c>
      <c r="I70" s="35">
        <v>740379</v>
      </c>
      <c r="J70" s="35" t="s">
        <v>733</v>
      </c>
      <c r="K70" s="34" t="s">
        <v>864</v>
      </c>
      <c r="L70" s="39">
        <v>46949</v>
      </c>
      <c r="M70" s="35">
        <v>50</v>
      </c>
      <c r="N70" s="34">
        <v>50</v>
      </c>
      <c r="O70" s="35">
        <f t="shared" si="26"/>
        <v>0</v>
      </c>
      <c r="P70" s="35">
        <v>161</v>
      </c>
      <c r="Q70" s="36">
        <v>46134</v>
      </c>
      <c r="R70" s="36">
        <v>46134</v>
      </c>
      <c r="S70" s="38">
        <v>37950</v>
      </c>
      <c r="T70" s="40">
        <v>18</v>
      </c>
      <c r="U70" s="38">
        <f t="shared" si="27"/>
        <v>6831</v>
      </c>
      <c r="V70" s="40">
        <v>0</v>
      </c>
      <c r="W70" s="40">
        <v>44781</v>
      </c>
      <c r="X70" s="35" t="s">
        <v>1148</v>
      </c>
      <c r="Y70" s="35" t="s">
        <v>1922</v>
      </c>
      <c r="Z70" s="35" t="s">
        <v>1112</v>
      </c>
      <c r="AA70" s="41" t="s">
        <v>808</v>
      </c>
      <c r="AB70" s="42"/>
      <c r="AC70" s="35" t="s">
        <v>824</v>
      </c>
      <c r="AD70" s="35" t="str">
        <f>VLOOKUP(X70,'Customer List'!B:C,2,)</f>
        <v>Telangana</v>
      </c>
      <c r="AE70" s="43" t="s">
        <v>828</v>
      </c>
      <c r="AF70" s="36">
        <v>46147</v>
      </c>
      <c r="AG70" s="35">
        <f t="shared" si="28"/>
        <v>13</v>
      </c>
      <c r="AH70" s="35" t="str">
        <f t="shared" si="29"/>
        <v>Tuesday</v>
      </c>
      <c r="AI70" s="35" t="str">
        <f t="shared" si="30"/>
        <v>Tuesday</v>
      </c>
      <c r="AJ70" s="35" t="str">
        <f>VLOOKUP(AC70,'Currency Sheet'!A:C,3,)</f>
        <v>DOLLAR</v>
      </c>
      <c r="AK70" s="35" t="str">
        <f>VLOOKUP(X70,'Customer List'!B:D,3,)</f>
        <v>OutStation</v>
      </c>
    </row>
    <row r="71" spans="1:37" s="44" customFormat="1" hidden="1" x14ac:dyDescent="0.25">
      <c r="A71" s="35">
        <f t="shared" si="31"/>
        <v>65</v>
      </c>
      <c r="B71" s="35" t="s">
        <v>824</v>
      </c>
      <c r="C71" s="35" t="s">
        <v>588</v>
      </c>
      <c r="D71" s="36">
        <v>45951</v>
      </c>
      <c r="E71" s="36">
        <v>45958</v>
      </c>
      <c r="F71" s="37">
        <v>4.2</v>
      </c>
      <c r="G71" s="38">
        <f t="shared" si="24"/>
        <v>369.6</v>
      </c>
      <c r="H71" s="64">
        <f t="shared" si="25"/>
        <v>2217.6000000000004</v>
      </c>
      <c r="I71" s="35">
        <v>740379</v>
      </c>
      <c r="J71" s="35" t="s">
        <v>733</v>
      </c>
      <c r="K71" s="34" t="s">
        <v>864</v>
      </c>
      <c r="L71" s="39">
        <v>46949</v>
      </c>
      <c r="M71" s="35">
        <v>6</v>
      </c>
      <c r="N71" s="34">
        <v>6</v>
      </c>
      <c r="O71" s="35">
        <f t="shared" si="26"/>
        <v>0</v>
      </c>
      <c r="P71" s="35" t="s">
        <v>1381</v>
      </c>
      <c r="Q71" s="36">
        <v>46116</v>
      </c>
      <c r="R71" s="36">
        <v>46116</v>
      </c>
      <c r="S71" s="38">
        <v>0</v>
      </c>
      <c r="T71" s="40">
        <v>0</v>
      </c>
      <c r="U71" s="38">
        <f t="shared" si="27"/>
        <v>0</v>
      </c>
      <c r="V71" s="40">
        <v>0</v>
      </c>
      <c r="W71" s="40">
        <v>0</v>
      </c>
      <c r="X71" s="40" t="s">
        <v>897</v>
      </c>
      <c r="Y71" s="35">
        <v>58163865524</v>
      </c>
      <c r="Z71" s="35" t="s">
        <v>1112</v>
      </c>
      <c r="AA71" s="41" t="s">
        <v>808</v>
      </c>
      <c r="AB71" s="42" t="s">
        <v>1382</v>
      </c>
      <c r="AC71" s="35" t="s">
        <v>824</v>
      </c>
      <c r="AD71" s="35" t="e">
        <f>VLOOKUP(X71,'Customer List'!B:C,2,)</f>
        <v>#N/A</v>
      </c>
      <c r="AE71" s="43" t="s">
        <v>828</v>
      </c>
      <c r="AF71" s="36">
        <v>46118</v>
      </c>
      <c r="AG71" s="35">
        <f t="shared" si="28"/>
        <v>2</v>
      </c>
      <c r="AH71" s="35" t="str">
        <f t="shared" si="29"/>
        <v>Saturday</v>
      </c>
      <c r="AI71" s="35" t="str">
        <f t="shared" si="30"/>
        <v>Monday</v>
      </c>
      <c r="AJ71" s="35" t="str">
        <f>VLOOKUP(AC71,'Currency Sheet'!A:C,3,)</f>
        <v>DOLLAR</v>
      </c>
      <c r="AK71" s="35" t="e">
        <f>VLOOKUP(X71,'Customer List'!B:D,3,)</f>
        <v>#N/A</v>
      </c>
    </row>
    <row r="72" spans="1:37" hidden="1" x14ac:dyDescent="0.25">
      <c r="A72" s="62">
        <f t="shared" si="31"/>
        <v>66</v>
      </c>
      <c r="B72" s="62" t="s">
        <v>887</v>
      </c>
      <c r="C72" s="62" t="s">
        <v>589</v>
      </c>
      <c r="D72" s="6" t="s">
        <v>589</v>
      </c>
      <c r="E72" s="6">
        <v>45958</v>
      </c>
      <c r="F72" s="63">
        <v>0</v>
      </c>
      <c r="G72" s="64">
        <f t="shared" si="24"/>
        <v>0</v>
      </c>
      <c r="H72" s="64">
        <f t="shared" si="25"/>
        <v>0</v>
      </c>
      <c r="I72" s="62" t="s">
        <v>644</v>
      </c>
      <c r="J72" s="62"/>
      <c r="K72" s="8"/>
      <c r="L72" s="10"/>
      <c r="M72" s="62">
        <v>1</v>
      </c>
      <c r="N72" s="8"/>
      <c r="O72" s="62">
        <f t="shared" si="26"/>
        <v>1</v>
      </c>
      <c r="P72" s="62"/>
      <c r="Q72" s="62"/>
      <c r="R72" s="6"/>
      <c r="S72" s="64"/>
      <c r="T72" s="22">
        <v>5</v>
      </c>
      <c r="U72" s="64">
        <f t="shared" si="27"/>
        <v>0</v>
      </c>
      <c r="V72" s="22"/>
      <c r="W72" s="22"/>
      <c r="X72" s="62" t="s">
        <v>789</v>
      </c>
      <c r="Y72" s="62"/>
      <c r="Z72" s="62"/>
      <c r="AA72" s="65">
        <v>-20</v>
      </c>
      <c r="AB72" s="66" t="s">
        <v>589</v>
      </c>
      <c r="AC72" s="62" t="s">
        <v>887</v>
      </c>
      <c r="AD72" s="62" t="str">
        <f>VLOOKUP(X72,'Customer List'!B:C,2,)</f>
        <v>STOCK</v>
      </c>
      <c r="AE72" s="67" t="s">
        <v>828</v>
      </c>
      <c r="AF72" s="6"/>
      <c r="AG72" s="62" t="str">
        <f t="shared" si="28"/>
        <v/>
      </c>
      <c r="AH72" s="62" t="str">
        <f t="shared" si="29"/>
        <v/>
      </c>
      <c r="AI72" s="62" t="str">
        <f t="shared" si="30"/>
        <v/>
      </c>
      <c r="AJ72" s="62" t="str">
        <f>VLOOKUP(AC72,'Currency Sheet'!A:C,3,)</f>
        <v>DOLLAR</v>
      </c>
      <c r="AK72" s="62" t="str">
        <f>VLOOKUP(X72,'Customer List'!B:D,3,)</f>
        <v>STOCK</v>
      </c>
    </row>
    <row r="73" spans="1:37" hidden="1" x14ac:dyDescent="0.25">
      <c r="A73" s="62">
        <f t="shared" si="31"/>
        <v>67</v>
      </c>
      <c r="B73" s="62" t="s">
        <v>810</v>
      </c>
      <c r="C73" s="62" t="s">
        <v>590</v>
      </c>
      <c r="D73" s="6">
        <v>45946</v>
      </c>
      <c r="E73" s="6">
        <v>45960</v>
      </c>
      <c r="F73" s="63">
        <v>6840</v>
      </c>
      <c r="G73" s="64">
        <f t="shared" si="24"/>
        <v>6840</v>
      </c>
      <c r="H73" s="64">
        <f t="shared" si="25"/>
        <v>6840</v>
      </c>
      <c r="I73" s="62" t="s">
        <v>641</v>
      </c>
      <c r="J73" s="62"/>
      <c r="K73" s="8"/>
      <c r="L73" s="10"/>
      <c r="M73" s="62">
        <v>1</v>
      </c>
      <c r="N73" s="8"/>
      <c r="O73" s="62">
        <f t="shared" si="26"/>
        <v>1</v>
      </c>
      <c r="P73" s="62"/>
      <c r="Q73" s="62"/>
      <c r="R73" s="6"/>
      <c r="S73" s="64"/>
      <c r="T73" s="22">
        <v>5</v>
      </c>
      <c r="U73" s="64">
        <f t="shared" si="27"/>
        <v>0</v>
      </c>
      <c r="V73" s="22"/>
      <c r="W73" s="22"/>
      <c r="X73" s="62" t="s">
        <v>789</v>
      </c>
      <c r="Y73" s="62"/>
      <c r="Z73" s="62"/>
      <c r="AA73" s="65" t="s">
        <v>808</v>
      </c>
      <c r="AB73" s="66"/>
      <c r="AC73" s="62" t="s">
        <v>810</v>
      </c>
      <c r="AD73" s="62" t="str">
        <f>VLOOKUP(X73,'Customer List'!B:C,2,)</f>
        <v>STOCK</v>
      </c>
      <c r="AE73" s="67" t="s">
        <v>828</v>
      </c>
      <c r="AF73" s="6"/>
      <c r="AG73" s="62" t="str">
        <f t="shared" si="28"/>
        <v/>
      </c>
      <c r="AH73" s="62" t="str">
        <f t="shared" si="29"/>
        <v/>
      </c>
      <c r="AI73" s="62" t="str">
        <f t="shared" si="30"/>
        <v/>
      </c>
      <c r="AJ73" s="62" t="str">
        <f>VLOOKUP(AC73,'Currency Sheet'!A:C,3,)</f>
        <v>INR</v>
      </c>
      <c r="AK73" s="62" t="str">
        <f>VLOOKUP(X73,'Customer List'!B:D,3,)</f>
        <v>STOCK</v>
      </c>
    </row>
    <row r="74" spans="1:37" hidden="1" x14ac:dyDescent="0.25">
      <c r="A74" s="62">
        <f t="shared" si="31"/>
        <v>68</v>
      </c>
      <c r="B74" s="62" t="s">
        <v>887</v>
      </c>
      <c r="C74" s="62" t="s">
        <v>591</v>
      </c>
      <c r="D74" s="6">
        <v>45968</v>
      </c>
      <c r="E74" s="6">
        <v>45971</v>
      </c>
      <c r="F74" s="63">
        <v>27.6</v>
      </c>
      <c r="G74" s="64">
        <f t="shared" si="24"/>
        <v>2428.8000000000002</v>
      </c>
      <c r="H74" s="64">
        <f t="shared" si="25"/>
        <v>2428.8000000000002</v>
      </c>
      <c r="I74" s="62" t="s">
        <v>645</v>
      </c>
      <c r="J74" s="62"/>
      <c r="K74" s="8"/>
      <c r="L74" s="10"/>
      <c r="M74" s="62">
        <v>1</v>
      </c>
      <c r="N74" s="8"/>
      <c r="O74" s="62">
        <f t="shared" si="26"/>
        <v>1</v>
      </c>
      <c r="P74" s="62"/>
      <c r="Q74" s="62"/>
      <c r="R74" s="6"/>
      <c r="S74" s="64">
        <v>0</v>
      </c>
      <c r="T74" s="22">
        <v>5</v>
      </c>
      <c r="U74" s="64">
        <f t="shared" si="27"/>
        <v>0</v>
      </c>
      <c r="V74" s="22"/>
      <c r="W74" s="22"/>
      <c r="X74" s="62" t="s">
        <v>792</v>
      </c>
      <c r="Y74" s="62"/>
      <c r="Z74" s="62"/>
      <c r="AA74" s="65">
        <v>-20</v>
      </c>
      <c r="AB74" s="66"/>
      <c r="AC74" s="62" t="s">
        <v>887</v>
      </c>
      <c r="AD74" s="62" t="str">
        <f>VLOOKUP(X74,'Customer List'!B:C,2,)</f>
        <v>Delhi</v>
      </c>
      <c r="AE74" s="67" t="s">
        <v>829</v>
      </c>
      <c r="AF74" s="6"/>
      <c r="AG74" s="62" t="str">
        <f t="shared" si="28"/>
        <v/>
      </c>
      <c r="AH74" s="62" t="str">
        <f t="shared" si="29"/>
        <v>Saturday</v>
      </c>
      <c r="AI74" s="62" t="str">
        <f t="shared" si="30"/>
        <v/>
      </c>
      <c r="AJ74" s="62" t="str">
        <f>VLOOKUP(AC74,'Currency Sheet'!A:C,3,)</f>
        <v>DOLLAR</v>
      </c>
      <c r="AK74" s="62" t="str">
        <f>VLOOKUP(X74,'Customer List'!B:D,3,)</f>
        <v>Local</v>
      </c>
    </row>
    <row r="75" spans="1:37" hidden="1" x14ac:dyDescent="0.25">
      <c r="A75" s="62">
        <f t="shared" si="31"/>
        <v>69</v>
      </c>
      <c r="B75" s="62" t="s">
        <v>824</v>
      </c>
      <c r="C75" s="62" t="s">
        <v>592</v>
      </c>
      <c r="D75" s="6">
        <v>45965</v>
      </c>
      <c r="E75" s="6">
        <v>45975</v>
      </c>
      <c r="F75" s="63">
        <v>0</v>
      </c>
      <c r="G75" s="64">
        <f t="shared" si="24"/>
        <v>0</v>
      </c>
      <c r="H75" s="64">
        <f t="shared" si="25"/>
        <v>0</v>
      </c>
      <c r="I75" s="62">
        <v>331222</v>
      </c>
      <c r="J75" s="62" t="s">
        <v>734</v>
      </c>
      <c r="K75" s="8" t="s">
        <v>865</v>
      </c>
      <c r="L75" s="10">
        <v>47226</v>
      </c>
      <c r="M75" s="62">
        <v>1</v>
      </c>
      <c r="N75" s="8"/>
      <c r="O75" s="62">
        <f t="shared" si="26"/>
        <v>1</v>
      </c>
      <c r="P75" s="62"/>
      <c r="Q75" s="62"/>
      <c r="R75" s="6"/>
      <c r="S75" s="64"/>
      <c r="T75" s="22">
        <v>5</v>
      </c>
      <c r="U75" s="64">
        <f t="shared" si="27"/>
        <v>0</v>
      </c>
      <c r="V75" s="22"/>
      <c r="W75" s="22"/>
      <c r="X75" s="62" t="s">
        <v>257</v>
      </c>
      <c r="Y75" s="62"/>
      <c r="Z75" s="62"/>
      <c r="AA75" s="65">
        <v>4</v>
      </c>
      <c r="AB75" s="66" t="s">
        <v>589</v>
      </c>
      <c r="AC75" s="62" t="s">
        <v>824</v>
      </c>
      <c r="AD75" s="62" t="str">
        <f>VLOOKUP(X75,'Customer List'!B:C,2,)</f>
        <v>STOCK</v>
      </c>
      <c r="AE75" s="67" t="s">
        <v>828</v>
      </c>
      <c r="AF75" s="6"/>
      <c r="AG75" s="62" t="str">
        <f t="shared" si="28"/>
        <v/>
      </c>
      <c r="AH75" s="62" t="str">
        <f t="shared" si="29"/>
        <v/>
      </c>
      <c r="AI75" s="62" t="str">
        <f t="shared" si="30"/>
        <v/>
      </c>
      <c r="AJ75" s="62" t="str">
        <f>VLOOKUP(AC75,'Currency Sheet'!A:C,3,)</f>
        <v>DOLLAR</v>
      </c>
      <c r="AK75" s="62" t="str">
        <f>VLOOKUP(X75,'Customer List'!B:D,3,)</f>
        <v>STOCK</v>
      </c>
    </row>
    <row r="76" spans="1:37" hidden="1" x14ac:dyDescent="0.25">
      <c r="A76" s="62">
        <f t="shared" si="31"/>
        <v>70</v>
      </c>
      <c r="B76" s="62" t="s">
        <v>888</v>
      </c>
      <c r="C76" s="62">
        <v>71454</v>
      </c>
      <c r="D76" s="6">
        <v>45975</v>
      </c>
      <c r="E76" s="6">
        <v>45979</v>
      </c>
      <c r="F76" s="63">
        <v>175.6</v>
      </c>
      <c r="G76" s="64">
        <f t="shared" si="24"/>
        <v>15452.8</v>
      </c>
      <c r="H76" s="64">
        <f t="shared" si="25"/>
        <v>30905.599999999999</v>
      </c>
      <c r="I76" s="62">
        <v>2227</v>
      </c>
      <c r="J76" s="62"/>
      <c r="K76" s="8"/>
      <c r="L76" s="10"/>
      <c r="M76" s="62">
        <v>2</v>
      </c>
      <c r="N76" s="8"/>
      <c r="O76" s="62">
        <f t="shared" si="26"/>
        <v>2</v>
      </c>
      <c r="P76" s="62"/>
      <c r="Q76" s="62"/>
      <c r="R76" s="6"/>
      <c r="S76" s="64"/>
      <c r="T76" s="22">
        <v>5</v>
      </c>
      <c r="U76" s="64">
        <f t="shared" si="27"/>
        <v>0</v>
      </c>
      <c r="V76" s="22"/>
      <c r="W76" s="22"/>
      <c r="X76" s="62" t="s">
        <v>257</v>
      </c>
      <c r="Y76" s="62"/>
      <c r="Z76" s="62"/>
      <c r="AA76" s="65">
        <v>-20</v>
      </c>
      <c r="AB76" s="66"/>
      <c r="AC76" s="62" t="s">
        <v>888</v>
      </c>
      <c r="AD76" s="62" t="str">
        <f>VLOOKUP(X76,'Customer List'!B:C,2,)</f>
        <v>STOCK</v>
      </c>
      <c r="AE76" s="67" t="s">
        <v>828</v>
      </c>
      <c r="AF76" s="6"/>
      <c r="AG76" s="62" t="str">
        <f t="shared" si="28"/>
        <v/>
      </c>
      <c r="AH76" s="62" t="str">
        <f t="shared" si="29"/>
        <v/>
      </c>
      <c r="AI76" s="62" t="str">
        <f t="shared" si="30"/>
        <v/>
      </c>
      <c r="AJ76" s="62" t="str">
        <f>VLOOKUP(AC76,'Currency Sheet'!A:C,3,)</f>
        <v>DOLLAR</v>
      </c>
      <c r="AK76" s="62" t="str">
        <f>VLOOKUP(X76,'Customer List'!B:D,3,)</f>
        <v>STOCK</v>
      </c>
    </row>
    <row r="77" spans="1:37" hidden="1" x14ac:dyDescent="0.25">
      <c r="A77" s="62">
        <f t="shared" si="31"/>
        <v>71</v>
      </c>
      <c r="B77" s="62" t="s">
        <v>888</v>
      </c>
      <c r="C77" s="62">
        <v>71454</v>
      </c>
      <c r="D77" s="6">
        <v>45975</v>
      </c>
      <c r="E77" s="6">
        <v>45979</v>
      </c>
      <c r="F77" s="63">
        <v>455.4</v>
      </c>
      <c r="G77" s="64">
        <f t="shared" si="24"/>
        <v>40075.199999999997</v>
      </c>
      <c r="H77" s="64">
        <f t="shared" si="25"/>
        <v>80150.399999999994</v>
      </c>
      <c r="I77" s="62" t="s">
        <v>646</v>
      </c>
      <c r="J77" s="62"/>
      <c r="K77" s="8"/>
      <c r="L77" s="10"/>
      <c r="M77" s="62">
        <v>2</v>
      </c>
      <c r="N77" s="8"/>
      <c r="O77" s="62">
        <f t="shared" si="26"/>
        <v>2</v>
      </c>
      <c r="P77" s="62"/>
      <c r="Q77" s="62"/>
      <c r="R77" s="6"/>
      <c r="S77" s="64"/>
      <c r="T77" s="22">
        <v>5</v>
      </c>
      <c r="U77" s="64">
        <f t="shared" si="27"/>
        <v>0</v>
      </c>
      <c r="V77" s="22"/>
      <c r="W77" s="22"/>
      <c r="X77" s="62" t="s">
        <v>257</v>
      </c>
      <c r="Y77" s="62"/>
      <c r="Z77" s="62"/>
      <c r="AA77" s="65">
        <v>-20</v>
      </c>
      <c r="AB77" s="66"/>
      <c r="AC77" s="62" t="s">
        <v>888</v>
      </c>
      <c r="AD77" s="62" t="str">
        <f>VLOOKUP(X77,'Customer List'!B:C,2,)</f>
        <v>STOCK</v>
      </c>
      <c r="AE77" s="67" t="s">
        <v>828</v>
      </c>
      <c r="AF77" s="6"/>
      <c r="AG77" s="62" t="str">
        <f t="shared" si="28"/>
        <v/>
      </c>
      <c r="AH77" s="62" t="str">
        <f t="shared" si="29"/>
        <v/>
      </c>
      <c r="AI77" s="62" t="str">
        <f t="shared" si="30"/>
        <v/>
      </c>
      <c r="AJ77" s="62" t="str">
        <f>VLOOKUP(AC77,'Currency Sheet'!A:C,3,)</f>
        <v>DOLLAR</v>
      </c>
      <c r="AK77" s="62" t="str">
        <f>VLOOKUP(X77,'Customer List'!B:D,3,)</f>
        <v>STOCK</v>
      </c>
    </row>
    <row r="78" spans="1:37" hidden="1" x14ac:dyDescent="0.25">
      <c r="A78" s="62">
        <f t="shared" si="31"/>
        <v>72</v>
      </c>
      <c r="B78" s="62" t="s">
        <v>888</v>
      </c>
      <c r="C78" s="62">
        <v>71454</v>
      </c>
      <c r="D78" s="6">
        <v>45975</v>
      </c>
      <c r="E78" s="6">
        <v>45979</v>
      </c>
      <c r="F78" s="63">
        <v>386</v>
      </c>
      <c r="G78" s="64">
        <f t="shared" si="24"/>
        <v>33968</v>
      </c>
      <c r="H78" s="64">
        <f t="shared" si="25"/>
        <v>67936</v>
      </c>
      <c r="I78" s="62" t="s">
        <v>647</v>
      </c>
      <c r="J78" s="62"/>
      <c r="K78" s="8"/>
      <c r="L78" s="10"/>
      <c r="M78" s="62">
        <v>2</v>
      </c>
      <c r="N78" s="8"/>
      <c r="O78" s="62">
        <f t="shared" si="26"/>
        <v>2</v>
      </c>
      <c r="P78" s="62"/>
      <c r="Q78" s="62"/>
      <c r="R78" s="6"/>
      <c r="S78" s="64"/>
      <c r="T78" s="22">
        <v>5</v>
      </c>
      <c r="U78" s="64">
        <f t="shared" si="27"/>
        <v>0</v>
      </c>
      <c r="V78" s="22"/>
      <c r="W78" s="22"/>
      <c r="X78" s="62" t="s">
        <v>257</v>
      </c>
      <c r="Y78" s="62"/>
      <c r="Z78" s="62"/>
      <c r="AA78" s="65">
        <v>-20</v>
      </c>
      <c r="AB78" s="66"/>
      <c r="AC78" s="62" t="s">
        <v>888</v>
      </c>
      <c r="AD78" s="62" t="str">
        <f>VLOOKUP(X78,'Customer List'!B:C,2,)</f>
        <v>STOCK</v>
      </c>
      <c r="AE78" s="67" t="s">
        <v>828</v>
      </c>
      <c r="AF78" s="6"/>
      <c r="AG78" s="62" t="str">
        <f t="shared" si="28"/>
        <v/>
      </c>
      <c r="AH78" s="62" t="str">
        <f t="shared" si="29"/>
        <v/>
      </c>
      <c r="AI78" s="62" t="str">
        <f t="shared" si="30"/>
        <v/>
      </c>
      <c r="AJ78" s="62" t="str">
        <f>VLOOKUP(AC78,'Currency Sheet'!A:C,3,)</f>
        <v>DOLLAR</v>
      </c>
      <c r="AK78" s="62" t="str">
        <f>VLOOKUP(X78,'Customer List'!B:D,3,)</f>
        <v>STOCK</v>
      </c>
    </row>
    <row r="79" spans="1:37" ht="15.75" hidden="1" x14ac:dyDescent="0.25">
      <c r="A79" s="62">
        <f t="shared" si="31"/>
        <v>73</v>
      </c>
      <c r="B79" s="62" t="s">
        <v>889</v>
      </c>
      <c r="C79" s="62">
        <v>67303</v>
      </c>
      <c r="D79" s="6">
        <v>45980</v>
      </c>
      <c r="E79" s="6">
        <v>45985</v>
      </c>
      <c r="F79" s="63">
        <v>17.5</v>
      </c>
      <c r="G79" s="64">
        <f t="shared" si="24"/>
        <v>1540</v>
      </c>
      <c r="H79" s="64">
        <f t="shared" si="25"/>
        <v>3080</v>
      </c>
      <c r="I79" s="62" t="s">
        <v>648</v>
      </c>
      <c r="J79" s="62" t="s">
        <v>735</v>
      </c>
      <c r="K79" s="8"/>
      <c r="L79" s="10"/>
      <c r="M79" s="62">
        <v>2</v>
      </c>
      <c r="N79" s="8"/>
      <c r="O79" s="62">
        <f t="shared" si="26"/>
        <v>2</v>
      </c>
      <c r="P79" s="62"/>
      <c r="Q79" s="62"/>
      <c r="R79" s="6"/>
      <c r="S79" s="64">
        <v>0</v>
      </c>
      <c r="T79" s="22">
        <v>5</v>
      </c>
      <c r="U79" s="64">
        <f t="shared" si="27"/>
        <v>0</v>
      </c>
      <c r="V79" s="22"/>
      <c r="W79" s="22"/>
      <c r="X79" s="69" t="s">
        <v>340</v>
      </c>
      <c r="Y79" s="62"/>
      <c r="Z79" s="62"/>
      <c r="AA79" s="65" t="s">
        <v>809</v>
      </c>
      <c r="AB79" s="67" t="s">
        <v>825</v>
      </c>
      <c r="AC79" s="62" t="s">
        <v>889</v>
      </c>
      <c r="AD79" s="62" t="str">
        <f>VLOOKUP(X79,'Customer List'!B:C,2,)</f>
        <v>delhi</v>
      </c>
      <c r="AE79" s="67" t="s">
        <v>829</v>
      </c>
      <c r="AF79" s="6"/>
      <c r="AG79" s="62" t="str">
        <f t="shared" si="28"/>
        <v/>
      </c>
      <c r="AH79" s="62" t="str">
        <f t="shared" si="29"/>
        <v>Saturday</v>
      </c>
      <c r="AI79" s="62" t="str">
        <f t="shared" si="30"/>
        <v/>
      </c>
      <c r="AJ79" s="62" t="str">
        <f>VLOOKUP(AC79,'Currency Sheet'!A:C,3,)</f>
        <v>DOLLAR</v>
      </c>
      <c r="AK79" s="62" t="str">
        <f>VLOOKUP(X79,'Customer List'!B:D,3,)</f>
        <v>Local</v>
      </c>
    </row>
    <row r="80" spans="1:37" hidden="1" x14ac:dyDescent="0.25">
      <c r="A80" s="62">
        <f t="shared" si="31"/>
        <v>74</v>
      </c>
      <c r="B80" s="62" t="s">
        <v>824</v>
      </c>
      <c r="C80" s="62" t="s">
        <v>593</v>
      </c>
      <c r="D80" s="6">
        <v>45982</v>
      </c>
      <c r="E80" s="6">
        <v>45987</v>
      </c>
      <c r="F80" s="63">
        <v>35.4</v>
      </c>
      <c r="G80" s="64">
        <f t="shared" si="24"/>
        <v>3115.2</v>
      </c>
      <c r="H80" s="64">
        <f t="shared" si="25"/>
        <v>6230.4</v>
      </c>
      <c r="I80" s="62">
        <v>420801</v>
      </c>
      <c r="J80" s="62" t="s">
        <v>736</v>
      </c>
      <c r="K80" s="8"/>
      <c r="L80" s="10"/>
      <c r="M80" s="62">
        <v>2</v>
      </c>
      <c r="N80" s="8"/>
      <c r="O80" s="62">
        <f t="shared" si="26"/>
        <v>2</v>
      </c>
      <c r="P80" s="62"/>
      <c r="Q80" s="62"/>
      <c r="R80" s="6"/>
      <c r="S80" s="64">
        <v>0</v>
      </c>
      <c r="T80" s="22">
        <v>5</v>
      </c>
      <c r="U80" s="64">
        <f t="shared" si="27"/>
        <v>0</v>
      </c>
      <c r="V80" s="22"/>
      <c r="W80" s="22"/>
      <c r="X80" s="62" t="s">
        <v>793</v>
      </c>
      <c r="Y80" s="62"/>
      <c r="Z80" s="62"/>
      <c r="AA80" s="65">
        <v>4</v>
      </c>
      <c r="AB80" s="66"/>
      <c r="AC80" s="62" t="s">
        <v>824</v>
      </c>
      <c r="AD80" s="62" t="str">
        <f>VLOOKUP(X80,'Customer List'!B:C,2,)</f>
        <v>Delhi</v>
      </c>
      <c r="AE80" s="67" t="s">
        <v>832</v>
      </c>
      <c r="AF80" s="6"/>
      <c r="AG80" s="62" t="str">
        <f t="shared" si="28"/>
        <v/>
      </c>
      <c r="AH80" s="62" t="str">
        <f t="shared" si="29"/>
        <v>Saturday</v>
      </c>
      <c r="AI80" s="62" t="str">
        <f t="shared" si="30"/>
        <v/>
      </c>
      <c r="AJ80" s="62" t="str">
        <f>VLOOKUP(AC80,'Currency Sheet'!A:C,3,)</f>
        <v>DOLLAR</v>
      </c>
      <c r="AK80" s="62" t="str">
        <f>VLOOKUP(X80,'Customer List'!B:D,3,)</f>
        <v>Local</v>
      </c>
    </row>
    <row r="81" spans="1:37" hidden="1" x14ac:dyDescent="0.25">
      <c r="A81" s="62">
        <f t="shared" si="31"/>
        <v>75</v>
      </c>
      <c r="B81" s="62" t="s">
        <v>810</v>
      </c>
      <c r="C81" s="62" t="s">
        <v>594</v>
      </c>
      <c r="D81" s="6">
        <v>45981</v>
      </c>
      <c r="E81" s="6">
        <v>45987</v>
      </c>
      <c r="F81" s="63">
        <v>3800</v>
      </c>
      <c r="G81" s="64">
        <f t="shared" si="24"/>
        <v>3800</v>
      </c>
      <c r="H81" s="64">
        <f t="shared" si="25"/>
        <v>19000</v>
      </c>
      <c r="I81" s="62" t="s">
        <v>649</v>
      </c>
      <c r="J81" s="62"/>
      <c r="K81" s="8"/>
      <c r="L81" s="10"/>
      <c r="M81" s="62">
        <v>5</v>
      </c>
      <c r="N81" s="8"/>
      <c r="O81" s="62">
        <f t="shared" si="26"/>
        <v>5</v>
      </c>
      <c r="P81" s="62"/>
      <c r="Q81" s="62"/>
      <c r="R81" s="6"/>
      <c r="S81" s="64"/>
      <c r="T81" s="22">
        <v>5</v>
      </c>
      <c r="U81" s="64">
        <f t="shared" si="27"/>
        <v>0</v>
      </c>
      <c r="V81" s="22"/>
      <c r="W81" s="22"/>
      <c r="X81" s="62" t="s">
        <v>257</v>
      </c>
      <c r="Y81" s="62"/>
      <c r="Z81" s="62"/>
      <c r="AA81" s="65">
        <v>-20</v>
      </c>
      <c r="AB81" s="66"/>
      <c r="AC81" s="62" t="s">
        <v>810</v>
      </c>
      <c r="AD81" s="62" t="str">
        <f>VLOOKUP(X81,'Customer List'!B:C,2,)</f>
        <v>STOCK</v>
      </c>
      <c r="AE81" s="67" t="s">
        <v>828</v>
      </c>
      <c r="AF81" s="6"/>
      <c r="AG81" s="62" t="str">
        <f t="shared" si="28"/>
        <v/>
      </c>
      <c r="AH81" s="62" t="str">
        <f t="shared" si="29"/>
        <v/>
      </c>
      <c r="AI81" s="62" t="str">
        <f t="shared" si="30"/>
        <v/>
      </c>
      <c r="AJ81" s="62" t="str">
        <f>VLOOKUP(AC81,'Currency Sheet'!A:C,3,)</f>
        <v>INR</v>
      </c>
      <c r="AK81" s="62" t="str">
        <f>VLOOKUP(X81,'Customer List'!B:D,3,)</f>
        <v>STOCK</v>
      </c>
    </row>
    <row r="82" spans="1:37" s="56" customFormat="1" hidden="1" x14ac:dyDescent="0.25">
      <c r="A82" s="48">
        <f t="shared" si="31"/>
        <v>76</v>
      </c>
      <c r="B82" s="48" t="s">
        <v>810</v>
      </c>
      <c r="C82" s="48" t="s">
        <v>594</v>
      </c>
      <c r="D82" s="50">
        <v>45981</v>
      </c>
      <c r="E82" s="50">
        <v>45987</v>
      </c>
      <c r="F82" s="57">
        <v>3800</v>
      </c>
      <c r="G82" s="51">
        <f t="shared" si="24"/>
        <v>3800</v>
      </c>
      <c r="H82" s="51">
        <f t="shared" si="25"/>
        <v>7600</v>
      </c>
      <c r="I82" s="48" t="s">
        <v>649</v>
      </c>
      <c r="J82" s="48"/>
      <c r="K82" s="47"/>
      <c r="L82" s="49"/>
      <c r="M82" s="48">
        <v>2</v>
      </c>
      <c r="N82" s="47">
        <v>2</v>
      </c>
      <c r="O82" s="48">
        <f t="shared" si="26"/>
        <v>0</v>
      </c>
      <c r="P82" s="48">
        <v>258</v>
      </c>
      <c r="Q82" s="50">
        <v>46146</v>
      </c>
      <c r="R82" s="50">
        <v>46146</v>
      </c>
      <c r="S82" s="51">
        <v>8400</v>
      </c>
      <c r="T82" s="52">
        <v>5</v>
      </c>
      <c r="U82" s="51">
        <f t="shared" si="27"/>
        <v>420</v>
      </c>
      <c r="V82" s="52">
        <v>0</v>
      </c>
      <c r="W82" s="52">
        <v>8820</v>
      </c>
      <c r="X82" s="48" t="s">
        <v>2281</v>
      </c>
      <c r="Y82" s="48" t="s">
        <v>1105</v>
      </c>
      <c r="Z82" s="48" t="s">
        <v>2282</v>
      </c>
      <c r="AA82" s="53">
        <v>-20</v>
      </c>
      <c r="AB82" s="54"/>
      <c r="AC82" s="48" t="s">
        <v>810</v>
      </c>
      <c r="AD82" s="48" t="str">
        <f>VLOOKUP(X82,'Customer List'!B:C,2,)</f>
        <v>DELHI</v>
      </c>
      <c r="AE82" s="55" t="s">
        <v>828</v>
      </c>
      <c r="AF82" s="50"/>
      <c r="AG82" s="48" t="str">
        <f t="shared" si="28"/>
        <v/>
      </c>
      <c r="AH82" s="48" t="str">
        <f t="shared" si="29"/>
        <v>Saturday</v>
      </c>
      <c r="AI82" s="48" t="str">
        <f t="shared" si="30"/>
        <v/>
      </c>
      <c r="AJ82" s="48" t="str">
        <f>VLOOKUP(AC82,'Currency Sheet'!A:C,3,)</f>
        <v>INR</v>
      </c>
      <c r="AK82" s="48" t="str">
        <f>VLOOKUP(X82,'Customer List'!B:D,3,)</f>
        <v>Local</v>
      </c>
    </row>
    <row r="83" spans="1:37" hidden="1" x14ac:dyDescent="0.25">
      <c r="A83" s="62">
        <f t="shared" si="31"/>
        <v>77</v>
      </c>
      <c r="B83" s="62" t="s">
        <v>271</v>
      </c>
      <c r="C83" s="62" t="s">
        <v>595</v>
      </c>
      <c r="D83" s="6">
        <v>45985</v>
      </c>
      <c r="E83" s="6">
        <v>45992</v>
      </c>
      <c r="F83" s="63">
        <v>2390</v>
      </c>
      <c r="G83" s="64">
        <f t="shared" si="24"/>
        <v>2390</v>
      </c>
      <c r="H83" s="64">
        <f t="shared" si="25"/>
        <v>59750</v>
      </c>
      <c r="I83" s="70" t="s">
        <v>1869</v>
      </c>
      <c r="J83" s="62" t="s">
        <v>686</v>
      </c>
      <c r="K83" s="8">
        <v>251052103</v>
      </c>
      <c r="L83" s="10"/>
      <c r="M83" s="62">
        <v>25</v>
      </c>
      <c r="N83" s="8"/>
      <c r="O83" s="62">
        <f t="shared" si="26"/>
        <v>25</v>
      </c>
      <c r="P83" s="62"/>
      <c r="Q83" s="62"/>
      <c r="R83" s="6"/>
      <c r="S83" s="64"/>
      <c r="T83" s="22">
        <v>5</v>
      </c>
      <c r="U83" s="64">
        <f t="shared" si="27"/>
        <v>0</v>
      </c>
      <c r="V83" s="22"/>
      <c r="W83" s="22"/>
      <c r="X83" s="62" t="s">
        <v>257</v>
      </c>
      <c r="Y83" s="62"/>
      <c r="Z83" s="62"/>
      <c r="AA83" s="65" t="s">
        <v>808</v>
      </c>
      <c r="AB83" s="66"/>
      <c r="AC83" s="62" t="s">
        <v>271</v>
      </c>
      <c r="AD83" s="62" t="str">
        <f>VLOOKUP(X83,'Customer List'!B:C,2,)</f>
        <v>STOCK</v>
      </c>
      <c r="AE83" s="67" t="s">
        <v>828</v>
      </c>
      <c r="AF83" s="6"/>
      <c r="AG83" s="62" t="str">
        <f t="shared" si="28"/>
        <v/>
      </c>
      <c r="AH83" s="62" t="str">
        <f t="shared" si="29"/>
        <v/>
      </c>
      <c r="AI83" s="62" t="str">
        <f t="shared" si="30"/>
        <v/>
      </c>
      <c r="AJ83" s="62" t="str">
        <f>VLOOKUP(AC83,'Currency Sheet'!A:C,3,)</f>
        <v>INR</v>
      </c>
      <c r="AK83" s="62" t="str">
        <f>VLOOKUP(X83,'Customer List'!B:D,3,)</f>
        <v>STOCK</v>
      </c>
    </row>
    <row r="84" spans="1:37" s="56" customFormat="1" hidden="1" x14ac:dyDescent="0.25">
      <c r="A84" s="48">
        <f t="shared" si="31"/>
        <v>78</v>
      </c>
      <c r="B84" s="48" t="s">
        <v>271</v>
      </c>
      <c r="C84" s="48" t="s">
        <v>596</v>
      </c>
      <c r="D84" s="50">
        <v>45985</v>
      </c>
      <c r="E84" s="50">
        <v>45992</v>
      </c>
      <c r="F84" s="57">
        <v>7920</v>
      </c>
      <c r="G84" s="51">
        <f t="shared" si="24"/>
        <v>7920</v>
      </c>
      <c r="H84" s="64">
        <f t="shared" si="25"/>
        <v>7920</v>
      </c>
      <c r="I84" s="48" t="s">
        <v>650</v>
      </c>
      <c r="J84" s="48"/>
      <c r="K84" s="47"/>
      <c r="L84" s="49"/>
      <c r="M84" s="48">
        <v>1</v>
      </c>
      <c r="N84" s="47">
        <v>1</v>
      </c>
      <c r="O84" s="48">
        <f t="shared" si="26"/>
        <v>0</v>
      </c>
      <c r="P84" s="48" t="s">
        <v>1602</v>
      </c>
      <c r="Q84" s="50">
        <v>46127</v>
      </c>
      <c r="R84" s="50">
        <v>46127</v>
      </c>
      <c r="S84" s="51">
        <v>0</v>
      </c>
      <c r="T84" s="52">
        <v>5</v>
      </c>
      <c r="U84" s="51">
        <f t="shared" si="27"/>
        <v>0</v>
      </c>
      <c r="V84" s="52">
        <v>0</v>
      </c>
      <c r="W84" s="52">
        <v>0</v>
      </c>
      <c r="X84" s="48" t="s">
        <v>797</v>
      </c>
      <c r="Y84" s="48" t="s">
        <v>1120</v>
      </c>
      <c r="Z84" s="48" t="s">
        <v>1863</v>
      </c>
      <c r="AA84" s="53" t="s">
        <v>808</v>
      </c>
      <c r="AB84" s="54" t="s">
        <v>1606</v>
      </c>
      <c r="AC84" s="48" t="s">
        <v>271</v>
      </c>
      <c r="AD84" s="48" t="str">
        <f>VLOOKUP(X84,'Customer List'!B:C,2,)</f>
        <v>Delhi</v>
      </c>
      <c r="AE84" s="55" t="s">
        <v>828</v>
      </c>
      <c r="AF84" s="50"/>
      <c r="AG84" s="48" t="str">
        <f t="shared" si="28"/>
        <v/>
      </c>
      <c r="AH84" s="48" t="str">
        <f t="shared" si="29"/>
        <v>Saturday</v>
      </c>
      <c r="AI84" s="48" t="str">
        <f t="shared" si="30"/>
        <v/>
      </c>
      <c r="AJ84" s="48" t="str">
        <f>VLOOKUP(AC84,'Currency Sheet'!A:C,3,)</f>
        <v>INR</v>
      </c>
      <c r="AK84" s="48" t="str">
        <f>VLOOKUP(X84,'Customer List'!B:D,3,)</f>
        <v>Local</v>
      </c>
    </row>
    <row r="85" spans="1:37" hidden="1" x14ac:dyDescent="0.25">
      <c r="A85" s="62">
        <f t="shared" si="31"/>
        <v>79</v>
      </c>
      <c r="B85" s="62" t="s">
        <v>26</v>
      </c>
      <c r="C85" s="62">
        <v>90234844</v>
      </c>
      <c r="D85" s="6">
        <v>45996</v>
      </c>
      <c r="E85" s="6">
        <v>45999</v>
      </c>
      <c r="F85" s="63">
        <v>91.7</v>
      </c>
      <c r="G85" s="64">
        <f t="shared" si="24"/>
        <v>8069.6</v>
      </c>
      <c r="H85" s="64">
        <f t="shared" si="25"/>
        <v>8069.6</v>
      </c>
      <c r="I85" s="62" t="s">
        <v>651</v>
      </c>
      <c r="J85" s="62"/>
      <c r="K85" s="8"/>
      <c r="L85" s="10"/>
      <c r="M85" s="62">
        <v>1</v>
      </c>
      <c r="N85" s="8"/>
      <c r="O85" s="62">
        <f t="shared" si="26"/>
        <v>1</v>
      </c>
      <c r="P85" s="62"/>
      <c r="Q85" s="62"/>
      <c r="R85" s="6"/>
      <c r="S85" s="64"/>
      <c r="T85" s="22">
        <v>5</v>
      </c>
      <c r="U85" s="64">
        <f t="shared" si="27"/>
        <v>0</v>
      </c>
      <c r="V85" s="22"/>
      <c r="W85" s="22"/>
      <c r="X85" s="62" t="s">
        <v>257</v>
      </c>
      <c r="Y85" s="62"/>
      <c r="Z85" s="62"/>
      <c r="AA85" s="65">
        <v>4</v>
      </c>
      <c r="AB85" s="66"/>
      <c r="AC85" s="62" t="s">
        <v>26</v>
      </c>
      <c r="AD85" s="62" t="str">
        <f>VLOOKUP(X85,'Customer List'!B:C,2,)</f>
        <v>STOCK</v>
      </c>
      <c r="AE85" s="67" t="s">
        <v>828</v>
      </c>
      <c r="AF85" s="6"/>
      <c r="AG85" s="62" t="str">
        <f t="shared" si="28"/>
        <v/>
      </c>
      <c r="AH85" s="62" t="str">
        <f t="shared" si="29"/>
        <v/>
      </c>
      <c r="AI85" s="62" t="str">
        <f t="shared" si="30"/>
        <v/>
      </c>
      <c r="AJ85" s="62" t="str">
        <f>VLOOKUP(AC85,'Currency Sheet'!A:C,3,)</f>
        <v>DOLLAR</v>
      </c>
      <c r="AK85" s="62" t="str">
        <f>VLOOKUP(X85,'Customer List'!B:D,3,)</f>
        <v>STOCK</v>
      </c>
    </row>
    <row r="86" spans="1:37" s="56" customFormat="1" hidden="1" x14ac:dyDescent="0.25">
      <c r="A86" s="48">
        <f t="shared" si="31"/>
        <v>80</v>
      </c>
      <c r="B86" s="48" t="s">
        <v>271</v>
      </c>
      <c r="C86" s="58" t="s">
        <v>597</v>
      </c>
      <c r="D86" s="50">
        <v>46000</v>
      </c>
      <c r="E86" s="50">
        <v>46004</v>
      </c>
      <c r="F86" s="57">
        <v>6500</v>
      </c>
      <c r="G86" s="51">
        <f t="shared" si="24"/>
        <v>6500</v>
      </c>
      <c r="H86" s="64">
        <f t="shared" si="25"/>
        <v>6500</v>
      </c>
      <c r="I86" s="48" t="s">
        <v>652</v>
      </c>
      <c r="J86" s="48"/>
      <c r="K86" s="47"/>
      <c r="L86" s="49"/>
      <c r="M86" s="48">
        <v>1</v>
      </c>
      <c r="N86" s="47">
        <v>1</v>
      </c>
      <c r="O86" s="48">
        <f t="shared" si="26"/>
        <v>0</v>
      </c>
      <c r="P86" s="48" t="s">
        <v>1119</v>
      </c>
      <c r="Q86" s="50">
        <v>46120</v>
      </c>
      <c r="R86" s="50">
        <v>46120</v>
      </c>
      <c r="S86" s="51">
        <v>0</v>
      </c>
      <c r="T86" s="52">
        <v>18</v>
      </c>
      <c r="U86" s="51">
        <f t="shared" si="27"/>
        <v>0</v>
      </c>
      <c r="V86" s="52">
        <v>0</v>
      </c>
      <c r="W86" s="52">
        <v>0</v>
      </c>
      <c r="X86" s="48" t="s">
        <v>797</v>
      </c>
      <c r="Y86" s="48" t="s">
        <v>1120</v>
      </c>
      <c r="Z86" s="48" t="s">
        <v>821</v>
      </c>
      <c r="AA86" s="53" t="s">
        <v>808</v>
      </c>
      <c r="AB86" s="54" t="s">
        <v>1121</v>
      </c>
      <c r="AC86" s="48" t="s">
        <v>271</v>
      </c>
      <c r="AD86" s="48" t="str">
        <f>VLOOKUP(X86,'Customer List'!B:C,2,)</f>
        <v>Delhi</v>
      </c>
      <c r="AE86" s="55" t="s">
        <v>828</v>
      </c>
      <c r="AF86" s="50"/>
      <c r="AG86" s="48" t="str">
        <f t="shared" si="28"/>
        <v/>
      </c>
      <c r="AH86" s="48" t="str">
        <f t="shared" si="29"/>
        <v>Saturday</v>
      </c>
      <c r="AI86" s="48" t="str">
        <f t="shared" si="30"/>
        <v/>
      </c>
      <c r="AJ86" s="48" t="str">
        <f>VLOOKUP(AC86,'Currency Sheet'!A:C,3,)</f>
        <v>INR</v>
      </c>
      <c r="AK86" s="48" t="str">
        <f>VLOOKUP(X86,'Customer List'!B:D,3,)</f>
        <v>Local</v>
      </c>
    </row>
    <row r="87" spans="1:37" hidden="1" x14ac:dyDescent="0.25">
      <c r="A87" s="62">
        <f t="shared" si="31"/>
        <v>81</v>
      </c>
      <c r="B87" s="62" t="s">
        <v>271</v>
      </c>
      <c r="C87" s="62" t="s">
        <v>598</v>
      </c>
      <c r="D87" s="6">
        <v>46010</v>
      </c>
      <c r="E87" s="6">
        <v>46014</v>
      </c>
      <c r="F87" s="63">
        <v>60500</v>
      </c>
      <c r="G87" s="64">
        <f t="shared" si="24"/>
        <v>60500</v>
      </c>
      <c r="H87" s="64">
        <f t="shared" si="25"/>
        <v>242000</v>
      </c>
      <c r="I87" s="62" t="s">
        <v>653</v>
      </c>
      <c r="J87" s="62"/>
      <c r="K87" s="8">
        <v>4547001200</v>
      </c>
      <c r="L87" s="10"/>
      <c r="M87" s="62">
        <v>4</v>
      </c>
      <c r="N87" s="8"/>
      <c r="O87" s="62">
        <f t="shared" si="26"/>
        <v>4</v>
      </c>
      <c r="P87" s="62"/>
      <c r="Q87" s="6"/>
      <c r="R87" s="6"/>
      <c r="S87" s="64"/>
      <c r="T87" s="22">
        <v>5</v>
      </c>
      <c r="U87" s="64">
        <f t="shared" si="27"/>
        <v>0</v>
      </c>
      <c r="V87" s="22"/>
      <c r="W87" s="22"/>
      <c r="X87" s="62" t="s">
        <v>257</v>
      </c>
      <c r="Y87" s="62"/>
      <c r="Z87" s="62"/>
      <c r="AA87" s="65" t="s">
        <v>808</v>
      </c>
      <c r="AB87" s="66"/>
      <c r="AC87" s="62" t="s">
        <v>271</v>
      </c>
      <c r="AD87" s="62" t="str">
        <f>VLOOKUP(X87,'Customer List'!B:C,2,)</f>
        <v>STOCK</v>
      </c>
      <c r="AE87" s="67" t="s">
        <v>828</v>
      </c>
      <c r="AF87" s="6"/>
      <c r="AG87" s="62" t="str">
        <f t="shared" si="28"/>
        <v/>
      </c>
      <c r="AH87" s="62" t="str">
        <f t="shared" si="29"/>
        <v/>
      </c>
      <c r="AI87" s="62" t="str">
        <f t="shared" si="30"/>
        <v/>
      </c>
      <c r="AJ87" s="62" t="str">
        <f>VLOOKUP(AC87,'Currency Sheet'!A:C,3,)</f>
        <v>INR</v>
      </c>
      <c r="AK87" s="62" t="str">
        <f>VLOOKUP(X87,'Customer List'!B:D,3,)</f>
        <v>STOCK</v>
      </c>
    </row>
    <row r="88" spans="1:37" hidden="1" x14ac:dyDescent="0.25">
      <c r="A88" s="62">
        <f t="shared" si="31"/>
        <v>82</v>
      </c>
      <c r="B88" s="62" t="s">
        <v>810</v>
      </c>
      <c r="C88" s="62" t="s">
        <v>599</v>
      </c>
      <c r="D88" s="6">
        <v>46014</v>
      </c>
      <c r="E88" s="6">
        <v>46017</v>
      </c>
      <c r="F88" s="63">
        <v>9045</v>
      </c>
      <c r="G88" s="64">
        <f t="shared" si="24"/>
        <v>9045</v>
      </c>
      <c r="H88" s="64">
        <f t="shared" si="25"/>
        <v>9045</v>
      </c>
      <c r="I88" s="62">
        <v>6539025</v>
      </c>
      <c r="J88" s="62"/>
      <c r="K88" s="8"/>
      <c r="L88" s="10"/>
      <c r="M88" s="62">
        <v>1</v>
      </c>
      <c r="N88" s="8"/>
      <c r="O88" s="62">
        <f t="shared" si="26"/>
        <v>1</v>
      </c>
      <c r="P88" s="62"/>
      <c r="Q88" s="6"/>
      <c r="R88" s="6"/>
      <c r="S88" s="64"/>
      <c r="T88" s="22">
        <v>5</v>
      </c>
      <c r="U88" s="64">
        <f t="shared" si="27"/>
        <v>0</v>
      </c>
      <c r="V88" s="22"/>
      <c r="W88" s="22"/>
      <c r="X88" s="62" t="s">
        <v>257</v>
      </c>
      <c r="Y88" s="62"/>
      <c r="Z88" s="62"/>
      <c r="AA88" s="65" t="s">
        <v>808</v>
      </c>
      <c r="AB88" s="66"/>
      <c r="AC88" s="62" t="s">
        <v>810</v>
      </c>
      <c r="AD88" s="62" t="str">
        <f>VLOOKUP(X88,'Customer List'!B:C,2,)</f>
        <v>STOCK</v>
      </c>
      <c r="AE88" s="67" t="s">
        <v>828</v>
      </c>
      <c r="AF88" s="6"/>
      <c r="AG88" s="62" t="str">
        <f t="shared" si="28"/>
        <v/>
      </c>
      <c r="AH88" s="62" t="str">
        <f t="shared" si="29"/>
        <v/>
      </c>
      <c r="AI88" s="62" t="str">
        <f t="shared" si="30"/>
        <v/>
      </c>
      <c r="AJ88" s="62" t="str">
        <f>VLOOKUP(AC88,'Currency Sheet'!A:C,3,)</f>
        <v>INR</v>
      </c>
      <c r="AK88" s="62" t="str">
        <f>VLOOKUP(X88,'Customer List'!B:D,3,)</f>
        <v>STOCK</v>
      </c>
    </row>
    <row r="89" spans="1:37" hidden="1" x14ac:dyDescent="0.25">
      <c r="A89" s="62">
        <f t="shared" si="31"/>
        <v>83</v>
      </c>
      <c r="B89" s="62" t="s">
        <v>810</v>
      </c>
      <c r="C89" s="62" t="s">
        <v>599</v>
      </c>
      <c r="D89" s="6">
        <v>46014</v>
      </c>
      <c r="E89" s="6">
        <v>46017</v>
      </c>
      <c r="F89" s="63">
        <v>20111</v>
      </c>
      <c r="G89" s="64">
        <f t="shared" si="24"/>
        <v>20111</v>
      </c>
      <c r="H89" s="64">
        <f t="shared" si="25"/>
        <v>20111</v>
      </c>
      <c r="I89" s="62">
        <v>6542050</v>
      </c>
      <c r="J89" s="62"/>
      <c r="K89" s="8"/>
      <c r="L89" s="10"/>
      <c r="M89" s="62">
        <v>1</v>
      </c>
      <c r="N89" s="8"/>
      <c r="O89" s="62">
        <f t="shared" si="26"/>
        <v>1</v>
      </c>
      <c r="P89" s="62"/>
      <c r="Q89" s="6"/>
      <c r="R89" s="6"/>
      <c r="S89" s="64"/>
      <c r="T89" s="22">
        <v>5</v>
      </c>
      <c r="U89" s="64">
        <f t="shared" si="27"/>
        <v>0</v>
      </c>
      <c r="V89" s="22"/>
      <c r="W89" s="22"/>
      <c r="X89" s="62" t="s">
        <v>257</v>
      </c>
      <c r="Y89" s="62"/>
      <c r="Z89" s="62"/>
      <c r="AA89" s="65" t="s">
        <v>808</v>
      </c>
      <c r="AB89" s="66"/>
      <c r="AC89" s="62" t="s">
        <v>810</v>
      </c>
      <c r="AD89" s="62" t="str">
        <f>VLOOKUP(X89,'Customer List'!B:C,2,)</f>
        <v>STOCK</v>
      </c>
      <c r="AE89" s="67" t="s">
        <v>828</v>
      </c>
      <c r="AF89" s="6"/>
      <c r="AG89" s="62" t="str">
        <f t="shared" si="28"/>
        <v/>
      </c>
      <c r="AH89" s="62" t="str">
        <f t="shared" si="29"/>
        <v/>
      </c>
      <c r="AI89" s="62" t="str">
        <f t="shared" si="30"/>
        <v/>
      </c>
      <c r="AJ89" s="62" t="str">
        <f>VLOOKUP(AC89,'Currency Sheet'!A:C,3,)</f>
        <v>INR</v>
      </c>
      <c r="AK89" s="62" t="str">
        <f>VLOOKUP(X89,'Customer List'!B:D,3,)</f>
        <v>STOCK</v>
      </c>
    </row>
    <row r="90" spans="1:37" hidden="1" x14ac:dyDescent="0.25">
      <c r="A90" s="62">
        <f t="shared" si="31"/>
        <v>84</v>
      </c>
      <c r="B90" s="62" t="s">
        <v>810</v>
      </c>
      <c r="C90" s="62" t="s">
        <v>599</v>
      </c>
      <c r="D90" s="6">
        <v>46014</v>
      </c>
      <c r="E90" s="6">
        <v>46017</v>
      </c>
      <c r="F90" s="63">
        <v>6555</v>
      </c>
      <c r="G90" s="64">
        <f t="shared" si="24"/>
        <v>6555</v>
      </c>
      <c r="H90" s="64">
        <f t="shared" si="25"/>
        <v>39330</v>
      </c>
      <c r="I90" s="62">
        <v>6552050</v>
      </c>
      <c r="J90" s="62"/>
      <c r="K90" s="8"/>
      <c r="L90" s="10"/>
      <c r="M90" s="62">
        <v>6</v>
      </c>
      <c r="N90" s="8"/>
      <c r="O90" s="62">
        <f t="shared" si="26"/>
        <v>6</v>
      </c>
      <c r="P90" s="62"/>
      <c r="Q90" s="6"/>
      <c r="R90" s="6"/>
      <c r="S90" s="64"/>
      <c r="T90" s="22">
        <v>5</v>
      </c>
      <c r="U90" s="64">
        <f t="shared" si="27"/>
        <v>0</v>
      </c>
      <c r="V90" s="22"/>
      <c r="W90" s="22"/>
      <c r="X90" s="62" t="s">
        <v>257</v>
      </c>
      <c r="Y90" s="62"/>
      <c r="Z90" s="62"/>
      <c r="AA90" s="65" t="s">
        <v>808</v>
      </c>
      <c r="AB90" s="66"/>
      <c r="AC90" s="62" t="s">
        <v>810</v>
      </c>
      <c r="AD90" s="62" t="str">
        <f>VLOOKUP(X90,'Customer List'!B:C,2,)</f>
        <v>STOCK</v>
      </c>
      <c r="AE90" s="67" t="s">
        <v>828</v>
      </c>
      <c r="AF90" s="6"/>
      <c r="AG90" s="62" t="str">
        <f t="shared" si="28"/>
        <v/>
      </c>
      <c r="AH90" s="62" t="str">
        <f t="shared" si="29"/>
        <v/>
      </c>
      <c r="AI90" s="62" t="str">
        <f t="shared" si="30"/>
        <v/>
      </c>
      <c r="AJ90" s="62" t="str">
        <f>VLOOKUP(AC90,'Currency Sheet'!A:C,3,)</f>
        <v>INR</v>
      </c>
      <c r="AK90" s="62" t="str">
        <f>VLOOKUP(X90,'Customer List'!B:D,3,)</f>
        <v>STOCK</v>
      </c>
    </row>
    <row r="91" spans="1:37" s="44" customFormat="1" hidden="1" x14ac:dyDescent="0.25">
      <c r="A91" s="35">
        <f t="shared" si="31"/>
        <v>85</v>
      </c>
      <c r="B91" s="35" t="s">
        <v>27</v>
      </c>
      <c r="C91" s="35" t="s">
        <v>600</v>
      </c>
      <c r="D91" s="36">
        <v>46009</v>
      </c>
      <c r="E91" s="36">
        <v>46018</v>
      </c>
      <c r="F91" s="37">
        <v>69</v>
      </c>
      <c r="G91" s="38">
        <f t="shared" si="24"/>
        <v>6072</v>
      </c>
      <c r="H91" s="64">
        <f t="shared" si="25"/>
        <v>6072</v>
      </c>
      <c r="I91" s="35" t="s">
        <v>654</v>
      </c>
      <c r="J91" s="35"/>
      <c r="K91" s="34">
        <v>2506013</v>
      </c>
      <c r="L91" s="39">
        <v>46192</v>
      </c>
      <c r="M91" s="35">
        <v>1</v>
      </c>
      <c r="N91" s="34">
        <v>1</v>
      </c>
      <c r="O91" s="35">
        <f t="shared" si="26"/>
        <v>0</v>
      </c>
      <c r="P91" s="35">
        <v>78</v>
      </c>
      <c r="Q91" s="36">
        <v>46125</v>
      </c>
      <c r="R91" s="36">
        <v>46125</v>
      </c>
      <c r="S91" s="38">
        <v>9652.5</v>
      </c>
      <c r="T91" s="40">
        <v>5</v>
      </c>
      <c r="U91" s="38">
        <f t="shared" si="27"/>
        <v>482.625</v>
      </c>
      <c r="V91" s="40">
        <v>0</v>
      </c>
      <c r="W91" s="40">
        <v>179108</v>
      </c>
      <c r="X91" s="35" t="s">
        <v>240</v>
      </c>
      <c r="Y91" s="34">
        <v>58164246114</v>
      </c>
      <c r="Z91" s="35" t="s">
        <v>1112</v>
      </c>
      <c r="AA91" s="41">
        <v>4</v>
      </c>
      <c r="AB91" s="42" t="s">
        <v>826</v>
      </c>
      <c r="AC91" s="35" t="s">
        <v>27</v>
      </c>
      <c r="AD91" s="35" t="str">
        <f>VLOOKUP(X91,'Customer List'!B:C,2,)</f>
        <v>Kolkata</v>
      </c>
      <c r="AE91" s="43" t="s">
        <v>476</v>
      </c>
      <c r="AF91" s="36">
        <v>46127</v>
      </c>
      <c r="AG91" s="35">
        <f t="shared" si="28"/>
        <v>2</v>
      </c>
      <c r="AH91" s="35" t="str">
        <f t="shared" si="29"/>
        <v>Friday</v>
      </c>
      <c r="AI91" s="35" t="str">
        <f t="shared" si="30"/>
        <v>Wednesday</v>
      </c>
      <c r="AJ91" s="35" t="str">
        <f>VLOOKUP(AC91,'Currency Sheet'!A:C,3,)</f>
        <v>DOLLAR</v>
      </c>
      <c r="AK91" s="35" t="str">
        <f>VLOOKUP(X91,'Customer List'!B:D,3,)</f>
        <v>OutStation</v>
      </c>
    </row>
    <row r="92" spans="1:37" s="44" customFormat="1" hidden="1" x14ac:dyDescent="0.25">
      <c r="A92" s="35">
        <f t="shared" si="31"/>
        <v>86</v>
      </c>
      <c r="B92" s="35" t="s">
        <v>27</v>
      </c>
      <c r="C92" s="35" t="s">
        <v>600</v>
      </c>
      <c r="D92" s="36">
        <v>46009</v>
      </c>
      <c r="E92" s="36">
        <v>46018</v>
      </c>
      <c r="F92" s="37">
        <v>69</v>
      </c>
      <c r="G92" s="38">
        <f t="shared" si="24"/>
        <v>6072</v>
      </c>
      <c r="H92" s="64">
        <f t="shared" si="25"/>
        <v>6072</v>
      </c>
      <c r="I92" s="35" t="s">
        <v>654</v>
      </c>
      <c r="J92" s="35"/>
      <c r="K92" s="34">
        <v>2506013</v>
      </c>
      <c r="L92" s="39">
        <v>46192</v>
      </c>
      <c r="M92" s="35">
        <v>1</v>
      </c>
      <c r="N92" s="34">
        <v>1</v>
      </c>
      <c r="O92" s="35">
        <f t="shared" si="26"/>
        <v>0</v>
      </c>
      <c r="P92" s="35">
        <v>242</v>
      </c>
      <c r="Q92" s="36">
        <v>46141</v>
      </c>
      <c r="R92" s="36">
        <v>46141</v>
      </c>
      <c r="S92" s="38">
        <v>10395</v>
      </c>
      <c r="T92" s="40">
        <v>5</v>
      </c>
      <c r="U92" s="38">
        <f t="shared" si="27"/>
        <v>519.75</v>
      </c>
      <c r="V92" s="40">
        <v>0.25</v>
      </c>
      <c r="W92" s="40">
        <v>93574</v>
      </c>
      <c r="X92" s="35" t="s">
        <v>267</v>
      </c>
      <c r="Y92" s="35">
        <v>58164889624</v>
      </c>
      <c r="Z92" s="35" t="s">
        <v>1112</v>
      </c>
      <c r="AA92" s="41">
        <v>4</v>
      </c>
      <c r="AB92" s="42" t="s">
        <v>826</v>
      </c>
      <c r="AC92" s="35" t="s">
        <v>27</v>
      </c>
      <c r="AD92" s="35" t="str">
        <f>VLOOKUP(X92,'Customer List'!B:C,2,)</f>
        <v>Hyderabad</v>
      </c>
      <c r="AE92" s="43" t="s">
        <v>476</v>
      </c>
      <c r="AF92" s="36">
        <v>46142</v>
      </c>
      <c r="AG92" s="35">
        <f t="shared" si="28"/>
        <v>1</v>
      </c>
      <c r="AH92" s="35" t="str">
        <f t="shared" si="29"/>
        <v>Saturday</v>
      </c>
      <c r="AI92" s="35" t="str">
        <f t="shared" si="30"/>
        <v>Thursday</v>
      </c>
      <c r="AJ92" s="35" t="str">
        <f>VLOOKUP(AC92,'Currency Sheet'!A:C,3,)</f>
        <v>DOLLAR</v>
      </c>
      <c r="AK92" s="35" t="str">
        <f>VLOOKUP(X92,'Customer List'!B:D,3,)</f>
        <v>OutStation</v>
      </c>
    </row>
    <row r="93" spans="1:37" hidden="1" x14ac:dyDescent="0.25">
      <c r="A93" s="62">
        <f t="shared" si="31"/>
        <v>87</v>
      </c>
      <c r="B93" s="62" t="s">
        <v>27</v>
      </c>
      <c r="C93" s="62" t="s">
        <v>600</v>
      </c>
      <c r="D93" s="6">
        <v>46009</v>
      </c>
      <c r="E93" s="6">
        <v>46018</v>
      </c>
      <c r="F93" s="63">
        <v>237</v>
      </c>
      <c r="G93" s="64">
        <f t="shared" si="24"/>
        <v>20856</v>
      </c>
      <c r="H93" s="64">
        <f t="shared" si="25"/>
        <v>62568</v>
      </c>
      <c r="I93" s="62" t="s">
        <v>643</v>
      </c>
      <c r="J93" s="62"/>
      <c r="K93" s="8">
        <v>3243604</v>
      </c>
      <c r="L93" s="10">
        <v>46356</v>
      </c>
      <c r="M93" s="62">
        <v>3</v>
      </c>
      <c r="N93" s="8"/>
      <c r="O93" s="62">
        <f t="shared" si="26"/>
        <v>3</v>
      </c>
      <c r="P93" s="62"/>
      <c r="Q93" s="6"/>
      <c r="R93" s="6"/>
      <c r="S93" s="64"/>
      <c r="T93" s="22">
        <v>5</v>
      </c>
      <c r="U93" s="64">
        <f t="shared" si="27"/>
        <v>0</v>
      </c>
      <c r="V93" s="22"/>
      <c r="W93" s="22"/>
      <c r="X93" s="62" t="s">
        <v>794</v>
      </c>
      <c r="Y93" s="62"/>
      <c r="Z93" s="62"/>
      <c r="AA93" s="65">
        <v>4</v>
      </c>
      <c r="AB93" s="66" t="s">
        <v>826</v>
      </c>
      <c r="AC93" s="62" t="s">
        <v>27</v>
      </c>
      <c r="AD93" s="62" t="str">
        <f>VLOOKUP(X93,'Customer List'!B:C,2,)</f>
        <v>STOCK</v>
      </c>
      <c r="AE93" s="67" t="s">
        <v>476</v>
      </c>
      <c r="AF93" s="6"/>
      <c r="AG93" s="62" t="str">
        <f t="shared" si="28"/>
        <v/>
      </c>
      <c r="AH93" s="62" t="str">
        <f t="shared" si="29"/>
        <v/>
      </c>
      <c r="AI93" s="62" t="str">
        <f t="shared" si="30"/>
        <v/>
      </c>
      <c r="AJ93" s="62" t="str">
        <f>VLOOKUP(AC93,'Currency Sheet'!A:C,3,)</f>
        <v>DOLLAR</v>
      </c>
      <c r="AK93" s="62" t="str">
        <f>VLOOKUP(X93,'Customer List'!B:D,3,)</f>
        <v>STOCK</v>
      </c>
    </row>
    <row r="94" spans="1:37" hidden="1" x14ac:dyDescent="0.25">
      <c r="A94" s="62">
        <f t="shared" si="31"/>
        <v>88</v>
      </c>
      <c r="B94" s="62" t="s">
        <v>27</v>
      </c>
      <c r="C94" s="62" t="s">
        <v>600</v>
      </c>
      <c r="D94" s="6">
        <v>46009</v>
      </c>
      <c r="E94" s="6">
        <v>46018</v>
      </c>
      <c r="F94" s="63">
        <v>393</v>
      </c>
      <c r="G94" s="64">
        <f t="shared" si="24"/>
        <v>34584</v>
      </c>
      <c r="H94" s="64">
        <f t="shared" si="25"/>
        <v>69168</v>
      </c>
      <c r="I94" s="62" t="s">
        <v>655</v>
      </c>
      <c r="J94" s="62"/>
      <c r="K94" s="8">
        <v>3316597</v>
      </c>
      <c r="L94" s="10">
        <v>46630</v>
      </c>
      <c r="M94" s="62">
        <v>2</v>
      </c>
      <c r="N94" s="8"/>
      <c r="O94" s="62">
        <f t="shared" si="26"/>
        <v>2</v>
      </c>
      <c r="P94" s="62"/>
      <c r="Q94" s="6"/>
      <c r="R94" s="6"/>
      <c r="S94" s="64"/>
      <c r="T94" s="22">
        <v>5</v>
      </c>
      <c r="U94" s="64">
        <f t="shared" si="27"/>
        <v>0</v>
      </c>
      <c r="V94" s="22"/>
      <c r="W94" s="22"/>
      <c r="X94" s="62" t="s">
        <v>794</v>
      </c>
      <c r="Y94" s="62"/>
      <c r="Z94" s="62"/>
      <c r="AA94" s="65">
        <v>4</v>
      </c>
      <c r="AB94" s="66" t="s">
        <v>826</v>
      </c>
      <c r="AC94" s="62" t="s">
        <v>27</v>
      </c>
      <c r="AD94" s="62" t="str">
        <f>VLOOKUP(X94,'Customer List'!B:C,2,)</f>
        <v>STOCK</v>
      </c>
      <c r="AE94" s="67" t="s">
        <v>476</v>
      </c>
      <c r="AF94" s="6"/>
      <c r="AG94" s="62" t="str">
        <f t="shared" si="28"/>
        <v/>
      </c>
      <c r="AH94" s="62" t="str">
        <f t="shared" si="29"/>
        <v/>
      </c>
      <c r="AI94" s="62" t="str">
        <f t="shared" si="30"/>
        <v/>
      </c>
      <c r="AJ94" s="62" t="str">
        <f>VLOOKUP(AC94,'Currency Sheet'!A:C,3,)</f>
        <v>DOLLAR</v>
      </c>
      <c r="AK94" s="62" t="str">
        <f>VLOOKUP(X94,'Customer List'!B:D,3,)</f>
        <v>STOCK</v>
      </c>
    </row>
    <row r="95" spans="1:37" hidden="1" x14ac:dyDescent="0.25">
      <c r="A95" s="62">
        <f t="shared" si="31"/>
        <v>89</v>
      </c>
      <c r="B95" s="62" t="s">
        <v>27</v>
      </c>
      <c r="C95" s="62" t="s">
        <v>600</v>
      </c>
      <c r="D95" s="6">
        <v>46009</v>
      </c>
      <c r="E95" s="6">
        <v>46018</v>
      </c>
      <c r="F95" s="63">
        <v>393</v>
      </c>
      <c r="G95" s="64">
        <f t="shared" ref="G95" si="32">IF(AJ95="DOLLAR",F95*88,F95)</f>
        <v>34584</v>
      </c>
      <c r="H95" s="64">
        <f t="shared" ref="H95" si="33">G95*M95</f>
        <v>34584</v>
      </c>
      <c r="I95" s="62" t="s">
        <v>655</v>
      </c>
      <c r="J95" s="62"/>
      <c r="K95" s="8">
        <v>3316597</v>
      </c>
      <c r="L95" s="10">
        <v>46630</v>
      </c>
      <c r="M95" s="62">
        <v>1</v>
      </c>
      <c r="N95" s="8">
        <v>1</v>
      </c>
      <c r="O95" s="62">
        <f t="shared" ref="O95" si="34">M95-N95</f>
        <v>0</v>
      </c>
      <c r="P95" s="62">
        <v>357</v>
      </c>
      <c r="Q95" s="6">
        <v>46164</v>
      </c>
      <c r="R95" s="6">
        <v>46165</v>
      </c>
      <c r="S95" s="64">
        <v>54795</v>
      </c>
      <c r="T95" s="22">
        <v>5</v>
      </c>
      <c r="U95" s="64">
        <f t="shared" ref="U95" si="35">S95*T95%</f>
        <v>2739.75</v>
      </c>
      <c r="V95" s="22">
        <v>-0.44</v>
      </c>
      <c r="W95" s="22"/>
      <c r="X95" s="62" t="s">
        <v>1111</v>
      </c>
      <c r="Y95" s="62" t="s">
        <v>2895</v>
      </c>
      <c r="Z95" s="62" t="s">
        <v>1112</v>
      </c>
      <c r="AA95" s="65">
        <v>4</v>
      </c>
      <c r="AB95" s="66" t="s">
        <v>2659</v>
      </c>
      <c r="AC95" s="62" t="s">
        <v>27</v>
      </c>
      <c r="AD95" s="62" t="str">
        <f>VLOOKUP(X95,'Customer List'!B:C,2,)</f>
        <v>Kanpur</v>
      </c>
      <c r="AE95" s="67" t="s">
        <v>476</v>
      </c>
      <c r="AF95" s="6">
        <v>46167</v>
      </c>
      <c r="AG95" s="62">
        <f t="shared" ref="AG95" si="36">IF(AF95="", "", AF95-R95)</f>
        <v>2</v>
      </c>
      <c r="AH95" s="62" t="str">
        <f t="shared" ref="AH95" si="37">IF(S95="", "", TEXT(S95, "dddd"))</f>
        <v>Friday</v>
      </c>
      <c r="AI95" s="62" t="str">
        <f t="shared" ref="AI95" si="38">IF(AF95="", "", TEXT(AF95, "dddd"))</f>
        <v>Monday</v>
      </c>
      <c r="AJ95" s="62" t="str">
        <f>VLOOKUP(AC95,'Currency Sheet'!A:C,3,)</f>
        <v>DOLLAR</v>
      </c>
      <c r="AK95" s="62" t="str">
        <f>VLOOKUP(X95,'Customer List'!B:D,3,)</f>
        <v>OutStation</v>
      </c>
    </row>
    <row r="96" spans="1:37" ht="30" hidden="1" x14ac:dyDescent="0.25">
      <c r="A96" s="62">
        <f>A94+1</f>
        <v>89</v>
      </c>
      <c r="B96" s="62" t="s">
        <v>824</v>
      </c>
      <c r="C96" s="62" t="s">
        <v>601</v>
      </c>
      <c r="D96" s="6">
        <v>46008</v>
      </c>
      <c r="E96" s="6">
        <v>46018</v>
      </c>
      <c r="F96" s="63">
        <v>193.8</v>
      </c>
      <c r="G96" s="64">
        <f t="shared" si="24"/>
        <v>17054.400000000001</v>
      </c>
      <c r="H96" s="64">
        <f t="shared" si="25"/>
        <v>17054.400000000001</v>
      </c>
      <c r="I96" s="62">
        <v>663104</v>
      </c>
      <c r="J96" s="62"/>
      <c r="K96" s="8" t="s">
        <v>866</v>
      </c>
      <c r="L96" s="10">
        <v>47238</v>
      </c>
      <c r="M96" s="62">
        <v>1</v>
      </c>
      <c r="N96" s="8"/>
      <c r="O96" s="62">
        <f t="shared" si="26"/>
        <v>1</v>
      </c>
      <c r="P96" s="62"/>
      <c r="Q96" s="6"/>
      <c r="R96" s="6"/>
      <c r="S96" s="64"/>
      <c r="T96" s="22">
        <v>5</v>
      </c>
      <c r="U96" s="64">
        <f t="shared" si="27"/>
        <v>0</v>
      </c>
      <c r="V96" s="22"/>
      <c r="W96" s="22"/>
      <c r="X96" s="62" t="s">
        <v>789</v>
      </c>
      <c r="Y96" s="62"/>
      <c r="Z96" s="62"/>
      <c r="AA96" s="65">
        <v>4</v>
      </c>
      <c r="AB96" s="66" t="s">
        <v>2238</v>
      </c>
      <c r="AC96" s="62" t="s">
        <v>824</v>
      </c>
      <c r="AD96" s="62" t="str">
        <f>VLOOKUP(X96,'Customer List'!B:C,2,)</f>
        <v>STOCK</v>
      </c>
      <c r="AE96" s="67" t="s">
        <v>828</v>
      </c>
      <c r="AF96" s="6"/>
      <c r="AG96" s="62" t="str">
        <f t="shared" si="28"/>
        <v/>
      </c>
      <c r="AH96" s="62" t="str">
        <f t="shared" si="29"/>
        <v/>
      </c>
      <c r="AI96" s="62" t="str">
        <f t="shared" si="30"/>
        <v/>
      </c>
      <c r="AJ96" s="62" t="str">
        <f>VLOOKUP(AC96,'Currency Sheet'!A:C,3,)</f>
        <v>DOLLAR</v>
      </c>
      <c r="AK96" s="62" t="str">
        <f>VLOOKUP(X96,'Customer List'!B:D,3,)</f>
        <v>STOCK</v>
      </c>
    </row>
    <row r="97" spans="1:37" hidden="1" x14ac:dyDescent="0.25">
      <c r="A97" s="62">
        <f t="shared" si="31"/>
        <v>90</v>
      </c>
      <c r="B97" s="62" t="s">
        <v>824</v>
      </c>
      <c r="C97" s="62" t="s">
        <v>602</v>
      </c>
      <c r="D97" s="6">
        <v>46010</v>
      </c>
      <c r="E97" s="6">
        <v>46018</v>
      </c>
      <c r="F97" s="63">
        <v>33</v>
      </c>
      <c r="G97" s="64">
        <f t="shared" si="24"/>
        <v>2904</v>
      </c>
      <c r="H97" s="64">
        <f t="shared" si="25"/>
        <v>2904</v>
      </c>
      <c r="I97" s="62">
        <v>300306</v>
      </c>
      <c r="J97" s="62"/>
      <c r="K97" s="8" t="s">
        <v>867</v>
      </c>
      <c r="L97" s="10">
        <v>47411</v>
      </c>
      <c r="M97" s="62">
        <v>1</v>
      </c>
      <c r="N97" s="8"/>
      <c r="O97" s="62">
        <f t="shared" si="26"/>
        <v>1</v>
      </c>
      <c r="P97" s="62"/>
      <c r="Q97" s="6"/>
      <c r="R97" s="6"/>
      <c r="S97" s="64"/>
      <c r="T97" s="22">
        <v>5</v>
      </c>
      <c r="U97" s="64">
        <f t="shared" si="27"/>
        <v>0</v>
      </c>
      <c r="V97" s="22"/>
      <c r="W97" s="22"/>
      <c r="X97" s="62" t="s">
        <v>794</v>
      </c>
      <c r="Y97" s="62"/>
      <c r="Z97" s="62"/>
      <c r="AA97" s="65">
        <v>4</v>
      </c>
      <c r="AB97" s="66" t="s">
        <v>826</v>
      </c>
      <c r="AC97" s="62" t="s">
        <v>824</v>
      </c>
      <c r="AD97" s="62" t="str">
        <f>VLOOKUP(X97,'Customer List'!B:C,2,)</f>
        <v>STOCK</v>
      </c>
      <c r="AE97" s="67" t="s">
        <v>476</v>
      </c>
      <c r="AF97" s="6"/>
      <c r="AG97" s="62" t="str">
        <f t="shared" si="28"/>
        <v/>
      </c>
      <c r="AH97" s="62" t="str">
        <f t="shared" si="29"/>
        <v/>
      </c>
      <c r="AI97" s="62" t="str">
        <f t="shared" si="30"/>
        <v/>
      </c>
      <c r="AJ97" s="62" t="str">
        <f>VLOOKUP(AC97,'Currency Sheet'!A:C,3,)</f>
        <v>DOLLAR</v>
      </c>
      <c r="AK97" s="62" t="str">
        <f>VLOOKUP(X97,'Customer List'!B:D,3,)</f>
        <v>STOCK</v>
      </c>
    </row>
    <row r="98" spans="1:37" s="44" customFormat="1" hidden="1" x14ac:dyDescent="0.25">
      <c r="A98" s="35">
        <f t="shared" si="31"/>
        <v>91</v>
      </c>
      <c r="B98" s="35" t="s">
        <v>824</v>
      </c>
      <c r="C98" s="35" t="s">
        <v>602</v>
      </c>
      <c r="D98" s="36">
        <v>46010</v>
      </c>
      <c r="E98" s="36">
        <v>46018</v>
      </c>
      <c r="F98" s="37">
        <v>33</v>
      </c>
      <c r="G98" s="38">
        <f t="shared" si="24"/>
        <v>2904</v>
      </c>
      <c r="H98" s="64">
        <f t="shared" si="25"/>
        <v>11616</v>
      </c>
      <c r="I98" s="35">
        <v>300306</v>
      </c>
      <c r="J98" s="35"/>
      <c r="K98" s="34" t="s">
        <v>867</v>
      </c>
      <c r="L98" s="39">
        <v>47411</v>
      </c>
      <c r="M98" s="35">
        <v>4</v>
      </c>
      <c r="N98" s="34">
        <v>4</v>
      </c>
      <c r="O98" s="35">
        <f t="shared" si="26"/>
        <v>0</v>
      </c>
      <c r="P98" s="45">
        <v>41</v>
      </c>
      <c r="Q98" s="46">
        <v>46118</v>
      </c>
      <c r="R98" s="36">
        <v>46119</v>
      </c>
      <c r="S98" s="38">
        <v>23870</v>
      </c>
      <c r="T98" s="40">
        <v>5</v>
      </c>
      <c r="U98" s="38">
        <f t="shared" si="27"/>
        <v>1193.5</v>
      </c>
      <c r="V98" s="40">
        <v>0.12</v>
      </c>
      <c r="W98" s="40">
        <v>402725</v>
      </c>
      <c r="X98" s="35" t="s">
        <v>233</v>
      </c>
      <c r="Y98" s="35">
        <v>58163971795</v>
      </c>
      <c r="Z98" s="35" t="s">
        <v>1112</v>
      </c>
      <c r="AA98" s="41">
        <v>4</v>
      </c>
      <c r="AB98" s="42" t="s">
        <v>826</v>
      </c>
      <c r="AC98" s="35" t="s">
        <v>824</v>
      </c>
      <c r="AD98" s="35" t="str">
        <f>VLOOKUP(X98,'Customer List'!B:C,2,)</f>
        <v>Banglore</v>
      </c>
      <c r="AE98" s="43" t="s">
        <v>476</v>
      </c>
      <c r="AF98" s="36"/>
      <c r="AG98" s="35" t="str">
        <f t="shared" si="28"/>
        <v/>
      </c>
      <c r="AH98" s="35" t="str">
        <f t="shared" si="29"/>
        <v>Saturday</v>
      </c>
      <c r="AI98" s="36">
        <v>46120</v>
      </c>
      <c r="AJ98" s="35" t="str">
        <f>VLOOKUP(AC98,'Currency Sheet'!A:C,3,)</f>
        <v>DOLLAR</v>
      </c>
      <c r="AK98" s="35" t="str">
        <f>VLOOKUP(X98,'Customer List'!B:D,3,)</f>
        <v>OutStation</v>
      </c>
    </row>
    <row r="99" spans="1:37" s="44" customFormat="1" hidden="1" x14ac:dyDescent="0.25">
      <c r="A99" s="35">
        <f t="shared" si="31"/>
        <v>92</v>
      </c>
      <c r="B99" s="35" t="s">
        <v>824</v>
      </c>
      <c r="C99" s="35" t="s">
        <v>602</v>
      </c>
      <c r="D99" s="36">
        <v>46010</v>
      </c>
      <c r="E99" s="36">
        <v>46018</v>
      </c>
      <c r="F99" s="37">
        <v>175.2</v>
      </c>
      <c r="G99" s="38">
        <f t="shared" si="24"/>
        <v>15417.599999999999</v>
      </c>
      <c r="H99" s="64">
        <f t="shared" si="25"/>
        <v>15417.599999999999</v>
      </c>
      <c r="I99" s="35">
        <v>302216</v>
      </c>
      <c r="J99" s="35"/>
      <c r="K99" s="34" t="s">
        <v>868</v>
      </c>
      <c r="L99" s="39">
        <v>47054</v>
      </c>
      <c r="M99" s="35">
        <v>1</v>
      </c>
      <c r="N99" s="34">
        <v>1</v>
      </c>
      <c r="O99" s="35">
        <f t="shared" si="26"/>
        <v>0</v>
      </c>
      <c r="P99" s="35">
        <v>15</v>
      </c>
      <c r="Q99" s="36">
        <v>46118</v>
      </c>
      <c r="R99" s="36">
        <v>46118</v>
      </c>
      <c r="S99" s="38">
        <v>28616</v>
      </c>
      <c r="T99" s="40">
        <v>5</v>
      </c>
      <c r="U99" s="38">
        <f t="shared" si="27"/>
        <v>1430.8000000000002</v>
      </c>
      <c r="V99" s="40">
        <v>-0.2</v>
      </c>
      <c r="W99" s="40">
        <v>309943</v>
      </c>
      <c r="X99" s="35" t="s">
        <v>23</v>
      </c>
      <c r="Y99" s="35" t="s">
        <v>1105</v>
      </c>
      <c r="Z99" s="35" t="s">
        <v>1105</v>
      </c>
      <c r="AA99" s="41">
        <v>4</v>
      </c>
      <c r="AB99" s="42" t="s">
        <v>826</v>
      </c>
      <c r="AC99" s="35" t="s">
        <v>824</v>
      </c>
      <c r="AD99" s="35" t="str">
        <f>VLOOKUP(X99,'Customer List'!B:C,2,)</f>
        <v>Delhi</v>
      </c>
      <c r="AE99" s="43" t="s">
        <v>476</v>
      </c>
      <c r="AF99" s="36"/>
      <c r="AG99" s="35" t="str">
        <f t="shared" si="28"/>
        <v/>
      </c>
      <c r="AH99" s="35" t="str">
        <f t="shared" si="29"/>
        <v>Saturday</v>
      </c>
      <c r="AI99" s="35" t="str">
        <f t="shared" ref="AI99:AI134" si="39">IF(AF99="", "", TEXT(AF99, "dddd"))</f>
        <v/>
      </c>
      <c r="AJ99" s="35" t="str">
        <f>VLOOKUP(AC99,'Currency Sheet'!A:C,3,)</f>
        <v>DOLLAR</v>
      </c>
      <c r="AK99" s="35" t="str">
        <f>VLOOKUP(X99,'Customer List'!B:D,3,)</f>
        <v>Local</v>
      </c>
    </row>
    <row r="100" spans="1:37" s="44" customFormat="1" hidden="1" x14ac:dyDescent="0.25">
      <c r="A100" s="35">
        <f t="shared" si="31"/>
        <v>93</v>
      </c>
      <c r="B100" s="35" t="s">
        <v>824</v>
      </c>
      <c r="C100" s="35" t="s">
        <v>602</v>
      </c>
      <c r="D100" s="36">
        <v>46010</v>
      </c>
      <c r="E100" s="36">
        <v>46018</v>
      </c>
      <c r="F100" s="37">
        <v>64.2</v>
      </c>
      <c r="G100" s="38">
        <f t="shared" si="24"/>
        <v>5649.6</v>
      </c>
      <c r="H100" s="64">
        <f t="shared" si="25"/>
        <v>5649.6</v>
      </c>
      <c r="I100" s="35">
        <v>310904</v>
      </c>
      <c r="J100" s="35"/>
      <c r="K100" s="34"/>
      <c r="L100" s="39"/>
      <c r="M100" s="35">
        <v>1</v>
      </c>
      <c r="N100" s="34">
        <v>1</v>
      </c>
      <c r="O100" s="35">
        <f t="shared" si="26"/>
        <v>0</v>
      </c>
      <c r="P100" s="35">
        <v>6</v>
      </c>
      <c r="Q100" s="36">
        <v>46115</v>
      </c>
      <c r="R100" s="36">
        <v>46116</v>
      </c>
      <c r="S100" s="38">
        <v>19902</v>
      </c>
      <c r="T100" s="40">
        <v>5</v>
      </c>
      <c r="U100" s="38">
        <f t="shared" si="27"/>
        <v>995.1</v>
      </c>
      <c r="V100" s="40">
        <v>-0.3</v>
      </c>
      <c r="W100" s="40">
        <v>381030</v>
      </c>
      <c r="X100" s="35" t="s">
        <v>795</v>
      </c>
      <c r="Y100" s="35">
        <v>58163867204</v>
      </c>
      <c r="Z100" s="35" t="s">
        <v>1112</v>
      </c>
      <c r="AA100" s="41">
        <v>4</v>
      </c>
      <c r="AB100" s="42" t="s">
        <v>826</v>
      </c>
      <c r="AC100" s="35" t="s">
        <v>824</v>
      </c>
      <c r="AD100" s="35" t="str">
        <f>VLOOKUP(X100,'Customer List'!B:C,2,)</f>
        <v>Banglore</v>
      </c>
      <c r="AE100" s="43" t="s">
        <v>833</v>
      </c>
      <c r="AF100" s="36">
        <v>46118</v>
      </c>
      <c r="AG100" s="35">
        <f t="shared" si="28"/>
        <v>2</v>
      </c>
      <c r="AH100" s="35" t="str">
        <f t="shared" si="29"/>
        <v>Sunday</v>
      </c>
      <c r="AI100" s="35" t="str">
        <f t="shared" si="39"/>
        <v>Monday</v>
      </c>
      <c r="AJ100" s="35" t="str">
        <f>VLOOKUP(AC100,'Currency Sheet'!A:C,3,)</f>
        <v>DOLLAR</v>
      </c>
      <c r="AK100" s="35" t="str">
        <f>VLOOKUP(X100,'Customer List'!B:D,3,)</f>
        <v>OutStation</v>
      </c>
    </row>
    <row r="101" spans="1:37" hidden="1" x14ac:dyDescent="0.25">
      <c r="A101" s="62">
        <f t="shared" si="31"/>
        <v>94</v>
      </c>
      <c r="B101" s="62" t="s">
        <v>824</v>
      </c>
      <c r="C101" s="62" t="s">
        <v>602</v>
      </c>
      <c r="D101" s="6">
        <v>46010</v>
      </c>
      <c r="E101" s="6">
        <v>46018</v>
      </c>
      <c r="F101" s="63">
        <v>229.2</v>
      </c>
      <c r="G101" s="64">
        <f t="shared" si="24"/>
        <v>20169.599999999999</v>
      </c>
      <c r="H101" s="64">
        <f t="shared" si="25"/>
        <v>20169.599999999999</v>
      </c>
      <c r="I101" s="62">
        <v>312118</v>
      </c>
      <c r="J101" s="62"/>
      <c r="K101" s="8"/>
      <c r="L101" s="10"/>
      <c r="M101" s="62">
        <v>1</v>
      </c>
      <c r="N101" s="8"/>
      <c r="O101" s="62">
        <f t="shared" si="26"/>
        <v>1</v>
      </c>
      <c r="P101" s="62"/>
      <c r="Q101" s="6"/>
      <c r="R101" s="6"/>
      <c r="S101" s="64">
        <v>35526</v>
      </c>
      <c r="T101" s="22">
        <v>5</v>
      </c>
      <c r="U101" s="64">
        <f t="shared" si="27"/>
        <v>1776.3000000000002</v>
      </c>
      <c r="V101" s="22"/>
      <c r="W101" s="22"/>
      <c r="X101" s="62" t="s">
        <v>795</v>
      </c>
      <c r="Y101" s="62"/>
      <c r="Z101" s="62"/>
      <c r="AA101" s="65">
        <v>4</v>
      </c>
      <c r="AB101" s="66" t="s">
        <v>826</v>
      </c>
      <c r="AC101" s="62" t="s">
        <v>824</v>
      </c>
      <c r="AD101" s="62" t="str">
        <f>VLOOKUP(X101,'Customer List'!B:C,2,)</f>
        <v>Banglore</v>
      </c>
      <c r="AE101" s="67" t="s">
        <v>833</v>
      </c>
      <c r="AF101" s="6"/>
      <c r="AG101" s="62" t="str">
        <f t="shared" si="28"/>
        <v/>
      </c>
      <c r="AH101" s="62" t="str">
        <f t="shared" si="29"/>
        <v>Sunday</v>
      </c>
      <c r="AI101" s="62" t="str">
        <f t="shared" si="39"/>
        <v/>
      </c>
      <c r="AJ101" s="62" t="str">
        <f>VLOOKUP(AC101,'Currency Sheet'!A:C,3,)</f>
        <v>DOLLAR</v>
      </c>
      <c r="AK101" s="62" t="str">
        <f>VLOOKUP(X101,'Customer List'!B:D,3,)</f>
        <v>OutStation</v>
      </c>
    </row>
    <row r="102" spans="1:37" s="44" customFormat="1" hidden="1" x14ac:dyDescent="0.25">
      <c r="A102" s="35">
        <f t="shared" si="31"/>
        <v>95</v>
      </c>
      <c r="B102" s="35" t="s">
        <v>824</v>
      </c>
      <c r="C102" s="35" t="s">
        <v>602</v>
      </c>
      <c r="D102" s="36">
        <v>46010</v>
      </c>
      <c r="E102" s="36">
        <v>46018</v>
      </c>
      <c r="F102" s="37">
        <v>255.5</v>
      </c>
      <c r="G102" s="38">
        <f t="shared" si="24"/>
        <v>22484</v>
      </c>
      <c r="H102" s="64">
        <f t="shared" si="25"/>
        <v>44968</v>
      </c>
      <c r="I102" s="35">
        <v>317332</v>
      </c>
      <c r="J102" s="35"/>
      <c r="K102" s="34"/>
      <c r="L102" s="39"/>
      <c r="M102" s="35">
        <v>2</v>
      </c>
      <c r="N102" s="34">
        <v>2</v>
      </c>
      <c r="O102" s="35">
        <f t="shared" si="26"/>
        <v>0</v>
      </c>
      <c r="P102" s="35">
        <v>6</v>
      </c>
      <c r="Q102" s="36">
        <v>46115</v>
      </c>
      <c r="R102" s="36">
        <v>46116</v>
      </c>
      <c r="S102" s="38">
        <v>67890</v>
      </c>
      <c r="T102" s="40">
        <v>5</v>
      </c>
      <c r="U102" s="38">
        <f t="shared" si="27"/>
        <v>3394.5</v>
      </c>
      <c r="V102" s="40">
        <v>0</v>
      </c>
      <c r="W102" s="40">
        <v>381030</v>
      </c>
      <c r="X102" s="35" t="s">
        <v>795</v>
      </c>
      <c r="Y102" s="35">
        <v>58163867204</v>
      </c>
      <c r="Z102" s="35" t="s">
        <v>1112</v>
      </c>
      <c r="AA102" s="41">
        <v>4</v>
      </c>
      <c r="AB102" s="42" t="s">
        <v>826</v>
      </c>
      <c r="AC102" s="35" t="s">
        <v>824</v>
      </c>
      <c r="AD102" s="35" t="str">
        <f>VLOOKUP(X102,'Customer List'!B:C,2,)</f>
        <v>Banglore</v>
      </c>
      <c r="AE102" s="43" t="s">
        <v>833</v>
      </c>
      <c r="AF102" s="36">
        <v>46118</v>
      </c>
      <c r="AG102" s="35">
        <f t="shared" si="28"/>
        <v>2</v>
      </c>
      <c r="AH102" s="35" t="str">
        <f t="shared" si="29"/>
        <v>Wednesday</v>
      </c>
      <c r="AI102" s="35" t="str">
        <f t="shared" si="39"/>
        <v>Monday</v>
      </c>
      <c r="AJ102" s="35" t="str">
        <f>VLOOKUP(AC102,'Currency Sheet'!A:C,3,)</f>
        <v>DOLLAR</v>
      </c>
      <c r="AK102" s="35" t="str">
        <f>VLOOKUP(X102,'Customer List'!B:D,3,)</f>
        <v>OutStation</v>
      </c>
    </row>
    <row r="103" spans="1:37" s="44" customFormat="1" hidden="1" x14ac:dyDescent="0.25">
      <c r="A103" s="35">
        <f t="shared" ref="A103:A120" si="40">A102+1</f>
        <v>96</v>
      </c>
      <c r="B103" s="35" t="s">
        <v>824</v>
      </c>
      <c r="C103" s="35" t="s">
        <v>602</v>
      </c>
      <c r="D103" s="36">
        <v>46010</v>
      </c>
      <c r="E103" s="36">
        <v>46018</v>
      </c>
      <c r="F103" s="37">
        <v>292.59999999999997</v>
      </c>
      <c r="G103" s="38">
        <f t="shared" si="24"/>
        <v>25748.799999999996</v>
      </c>
      <c r="H103" s="64">
        <f t="shared" si="25"/>
        <v>51497.599999999991</v>
      </c>
      <c r="I103" s="35">
        <v>321142</v>
      </c>
      <c r="J103" s="35"/>
      <c r="K103" s="34"/>
      <c r="L103" s="39"/>
      <c r="M103" s="35">
        <v>2</v>
      </c>
      <c r="N103" s="34">
        <v>2</v>
      </c>
      <c r="O103" s="35">
        <f t="shared" si="26"/>
        <v>0</v>
      </c>
      <c r="P103" s="35">
        <v>6</v>
      </c>
      <c r="Q103" s="36">
        <v>46115</v>
      </c>
      <c r="R103" s="36">
        <v>46116</v>
      </c>
      <c r="S103" s="38">
        <v>77748</v>
      </c>
      <c r="T103" s="40">
        <v>5</v>
      </c>
      <c r="U103" s="38">
        <f t="shared" si="27"/>
        <v>3887.4</v>
      </c>
      <c r="V103" s="40">
        <v>0</v>
      </c>
      <c r="W103" s="40">
        <v>381030</v>
      </c>
      <c r="X103" s="35" t="s">
        <v>795</v>
      </c>
      <c r="Y103" s="35">
        <v>58163867204</v>
      </c>
      <c r="Z103" s="35" t="s">
        <v>1112</v>
      </c>
      <c r="AA103" s="41">
        <v>4</v>
      </c>
      <c r="AB103" s="42" t="s">
        <v>826</v>
      </c>
      <c r="AC103" s="35" t="s">
        <v>824</v>
      </c>
      <c r="AD103" s="35" t="str">
        <f>VLOOKUP(X103,'Customer List'!B:C,2,)</f>
        <v>Banglore</v>
      </c>
      <c r="AE103" s="43" t="s">
        <v>833</v>
      </c>
      <c r="AF103" s="36">
        <v>46118</v>
      </c>
      <c r="AG103" s="35">
        <f t="shared" si="28"/>
        <v>2</v>
      </c>
      <c r="AH103" s="35" t="str">
        <f t="shared" si="29"/>
        <v>Friday</v>
      </c>
      <c r="AI103" s="35" t="str">
        <f t="shared" si="39"/>
        <v>Monday</v>
      </c>
      <c r="AJ103" s="35" t="str">
        <f>VLOOKUP(AC103,'Currency Sheet'!A:C,3,)</f>
        <v>DOLLAR</v>
      </c>
      <c r="AK103" s="35" t="str">
        <f>VLOOKUP(X103,'Customer List'!B:D,3,)</f>
        <v>OutStation</v>
      </c>
    </row>
    <row r="104" spans="1:37" s="44" customFormat="1" hidden="1" x14ac:dyDescent="0.25">
      <c r="A104" s="35">
        <f t="shared" si="40"/>
        <v>97</v>
      </c>
      <c r="B104" s="35" t="s">
        <v>824</v>
      </c>
      <c r="C104" s="35" t="s">
        <v>602</v>
      </c>
      <c r="D104" s="36">
        <v>46010</v>
      </c>
      <c r="E104" s="36">
        <v>46018</v>
      </c>
      <c r="F104" s="37">
        <v>193.8</v>
      </c>
      <c r="G104" s="38">
        <f t="shared" si="24"/>
        <v>17054.400000000001</v>
      </c>
      <c r="H104" s="64">
        <f t="shared" si="25"/>
        <v>17054.400000000001</v>
      </c>
      <c r="I104" s="35">
        <v>333618</v>
      </c>
      <c r="J104" s="35"/>
      <c r="K104" s="34"/>
      <c r="L104" s="39"/>
      <c r="M104" s="35">
        <v>1</v>
      </c>
      <c r="N104" s="34">
        <v>1</v>
      </c>
      <c r="O104" s="35">
        <f t="shared" si="26"/>
        <v>0</v>
      </c>
      <c r="P104" s="35">
        <v>6</v>
      </c>
      <c r="Q104" s="36">
        <v>46115</v>
      </c>
      <c r="R104" s="36">
        <v>46116</v>
      </c>
      <c r="S104" s="38">
        <v>30039</v>
      </c>
      <c r="T104" s="40">
        <v>5</v>
      </c>
      <c r="U104" s="38">
        <f t="shared" si="27"/>
        <v>1501.95</v>
      </c>
      <c r="V104" s="40">
        <v>0</v>
      </c>
      <c r="W104" s="40">
        <v>381030</v>
      </c>
      <c r="X104" s="35" t="s">
        <v>795</v>
      </c>
      <c r="Y104" s="35">
        <v>58163867204</v>
      </c>
      <c r="Z104" s="35" t="s">
        <v>1112</v>
      </c>
      <c r="AA104" s="41">
        <v>4</v>
      </c>
      <c r="AB104" s="42" t="s">
        <v>826</v>
      </c>
      <c r="AC104" s="35" t="s">
        <v>824</v>
      </c>
      <c r="AD104" s="35" t="str">
        <f>VLOOKUP(X104,'Customer List'!B:C,2,)</f>
        <v>Banglore</v>
      </c>
      <c r="AE104" s="43" t="s">
        <v>833</v>
      </c>
      <c r="AF104" s="36">
        <v>46118</v>
      </c>
      <c r="AG104" s="35">
        <f t="shared" si="28"/>
        <v>2</v>
      </c>
      <c r="AH104" s="35" t="str">
        <f t="shared" si="29"/>
        <v>Monday</v>
      </c>
      <c r="AI104" s="35" t="str">
        <f t="shared" si="39"/>
        <v>Monday</v>
      </c>
      <c r="AJ104" s="35" t="str">
        <f>VLOOKUP(AC104,'Currency Sheet'!A:C,3,)</f>
        <v>DOLLAR</v>
      </c>
      <c r="AK104" s="35" t="str">
        <f>VLOOKUP(X104,'Customer List'!B:D,3,)</f>
        <v>OutStation</v>
      </c>
    </row>
    <row r="105" spans="1:37" s="44" customFormat="1" hidden="1" x14ac:dyDescent="0.25">
      <c r="A105" s="35">
        <f t="shared" si="40"/>
        <v>98</v>
      </c>
      <c r="B105" s="35" t="s">
        <v>824</v>
      </c>
      <c r="C105" s="35" t="s">
        <v>602</v>
      </c>
      <c r="D105" s="36">
        <v>46010</v>
      </c>
      <c r="E105" s="36">
        <v>46018</v>
      </c>
      <c r="F105" s="37">
        <v>219</v>
      </c>
      <c r="G105" s="38">
        <f t="shared" si="24"/>
        <v>19272</v>
      </c>
      <c r="H105" s="64">
        <f t="shared" si="25"/>
        <v>38544</v>
      </c>
      <c r="I105" s="35">
        <v>344710</v>
      </c>
      <c r="J105" s="35"/>
      <c r="K105" s="34"/>
      <c r="L105" s="39"/>
      <c r="M105" s="35">
        <v>2</v>
      </c>
      <c r="N105" s="34">
        <v>2</v>
      </c>
      <c r="O105" s="35">
        <f t="shared" si="26"/>
        <v>0</v>
      </c>
      <c r="P105" s="35">
        <v>6</v>
      </c>
      <c r="Q105" s="36">
        <v>46115</v>
      </c>
      <c r="R105" s="36">
        <v>46116</v>
      </c>
      <c r="S105" s="38">
        <v>67890</v>
      </c>
      <c r="T105" s="40">
        <v>5</v>
      </c>
      <c r="U105" s="38">
        <f t="shared" si="27"/>
        <v>3394.5</v>
      </c>
      <c r="V105" s="40">
        <v>0</v>
      </c>
      <c r="W105" s="40">
        <v>381030</v>
      </c>
      <c r="X105" s="35" t="s">
        <v>795</v>
      </c>
      <c r="Y105" s="35">
        <v>58163867204</v>
      </c>
      <c r="Z105" s="35" t="s">
        <v>1112</v>
      </c>
      <c r="AA105" s="41">
        <v>4</v>
      </c>
      <c r="AB105" s="42" t="s">
        <v>826</v>
      </c>
      <c r="AC105" s="35" t="s">
        <v>824</v>
      </c>
      <c r="AD105" s="35" t="str">
        <f>VLOOKUP(X105,'Customer List'!B:C,2,)</f>
        <v>Banglore</v>
      </c>
      <c r="AE105" s="43" t="s">
        <v>833</v>
      </c>
      <c r="AF105" s="36">
        <v>46118</v>
      </c>
      <c r="AG105" s="35">
        <f t="shared" si="28"/>
        <v>2</v>
      </c>
      <c r="AH105" s="35" t="str">
        <f t="shared" si="29"/>
        <v>Wednesday</v>
      </c>
      <c r="AI105" s="35" t="str">
        <f t="shared" si="39"/>
        <v>Monday</v>
      </c>
      <c r="AJ105" s="35" t="str">
        <f>VLOOKUP(AC105,'Currency Sheet'!A:C,3,)</f>
        <v>DOLLAR</v>
      </c>
      <c r="AK105" s="35" t="str">
        <f>VLOOKUP(X105,'Customer List'!B:D,3,)</f>
        <v>OutStation</v>
      </c>
    </row>
    <row r="106" spans="1:37" hidden="1" x14ac:dyDescent="0.25">
      <c r="A106" s="62">
        <f t="shared" si="40"/>
        <v>99</v>
      </c>
      <c r="B106" s="62" t="s">
        <v>824</v>
      </c>
      <c r="C106" s="62" t="s">
        <v>602</v>
      </c>
      <c r="D106" s="6">
        <v>46010</v>
      </c>
      <c r="E106" s="6">
        <v>46018</v>
      </c>
      <c r="F106" s="63">
        <v>175.2</v>
      </c>
      <c r="G106" s="64">
        <f t="shared" si="24"/>
        <v>15417.599999999999</v>
      </c>
      <c r="H106" s="64">
        <f t="shared" si="25"/>
        <v>15417.599999999999</v>
      </c>
      <c r="I106" s="62">
        <v>349506</v>
      </c>
      <c r="J106" s="62"/>
      <c r="K106" s="8"/>
      <c r="L106" s="10"/>
      <c r="M106" s="62">
        <v>1</v>
      </c>
      <c r="N106" s="8"/>
      <c r="O106" s="62">
        <f t="shared" si="26"/>
        <v>1</v>
      </c>
      <c r="P106" s="62"/>
      <c r="Q106" s="6"/>
      <c r="R106" s="6"/>
      <c r="S106" s="64">
        <v>27156</v>
      </c>
      <c r="T106" s="22">
        <v>5</v>
      </c>
      <c r="U106" s="64">
        <f t="shared" si="27"/>
        <v>1357.8000000000002</v>
      </c>
      <c r="V106" s="22"/>
      <c r="W106" s="22"/>
      <c r="X106" s="62" t="s">
        <v>795</v>
      </c>
      <c r="Y106" s="62"/>
      <c r="Z106" s="62"/>
      <c r="AA106" s="65">
        <v>4</v>
      </c>
      <c r="AB106" s="66" t="s">
        <v>826</v>
      </c>
      <c r="AC106" s="62" t="s">
        <v>824</v>
      </c>
      <c r="AD106" s="62" t="str">
        <f>VLOOKUP(X106,'Customer List'!B:C,2,)</f>
        <v>Banglore</v>
      </c>
      <c r="AE106" s="67" t="s">
        <v>833</v>
      </c>
      <c r="AF106" s="6"/>
      <c r="AG106" s="62" t="str">
        <f t="shared" si="28"/>
        <v/>
      </c>
      <c r="AH106" s="62" t="str">
        <f t="shared" si="29"/>
        <v>Tuesday</v>
      </c>
      <c r="AI106" s="62" t="str">
        <f t="shared" si="39"/>
        <v/>
      </c>
      <c r="AJ106" s="62" t="str">
        <f>VLOOKUP(AC106,'Currency Sheet'!A:C,3,)</f>
        <v>DOLLAR</v>
      </c>
      <c r="AK106" s="62" t="str">
        <f>VLOOKUP(X106,'Customer List'!B:D,3,)</f>
        <v>OutStation</v>
      </c>
    </row>
    <row r="107" spans="1:37" hidden="1" x14ac:dyDescent="0.25">
      <c r="A107" s="62">
        <f t="shared" si="40"/>
        <v>100</v>
      </c>
      <c r="B107" s="62" t="s">
        <v>824</v>
      </c>
      <c r="C107" s="62" t="s">
        <v>602</v>
      </c>
      <c r="D107" s="6">
        <v>46010</v>
      </c>
      <c r="E107" s="6">
        <v>46018</v>
      </c>
      <c r="F107" s="63">
        <v>53.4</v>
      </c>
      <c r="G107" s="64">
        <f t="shared" si="24"/>
        <v>4699.2</v>
      </c>
      <c r="H107" s="64">
        <f t="shared" si="25"/>
        <v>9398.4</v>
      </c>
      <c r="I107" s="62">
        <v>420201</v>
      </c>
      <c r="J107" s="62"/>
      <c r="K107" s="8" t="s">
        <v>869</v>
      </c>
      <c r="L107" s="10">
        <v>46674</v>
      </c>
      <c r="M107" s="62">
        <v>2</v>
      </c>
      <c r="N107" s="8"/>
      <c r="O107" s="62">
        <f t="shared" si="26"/>
        <v>2</v>
      </c>
      <c r="P107" s="62"/>
      <c r="Q107" s="6"/>
      <c r="R107" s="6"/>
      <c r="S107" s="64"/>
      <c r="T107" s="22">
        <v>5</v>
      </c>
      <c r="U107" s="64">
        <f t="shared" si="27"/>
        <v>0</v>
      </c>
      <c r="V107" s="22"/>
      <c r="W107" s="22"/>
      <c r="X107" s="62" t="s">
        <v>794</v>
      </c>
      <c r="Y107" s="62"/>
      <c r="Z107" s="62"/>
      <c r="AA107" s="65">
        <v>4</v>
      </c>
      <c r="AB107" s="66" t="s">
        <v>826</v>
      </c>
      <c r="AC107" s="62" t="s">
        <v>824</v>
      </c>
      <c r="AD107" s="62" t="str">
        <f>VLOOKUP(X107,'Customer List'!B:C,2,)</f>
        <v>STOCK</v>
      </c>
      <c r="AE107" s="67" t="s">
        <v>476</v>
      </c>
      <c r="AF107" s="6"/>
      <c r="AG107" s="62" t="str">
        <f t="shared" si="28"/>
        <v/>
      </c>
      <c r="AH107" s="62" t="str">
        <f t="shared" si="29"/>
        <v/>
      </c>
      <c r="AI107" s="62" t="str">
        <f t="shared" si="39"/>
        <v/>
      </c>
      <c r="AJ107" s="62" t="str">
        <f>VLOOKUP(AC107,'Currency Sheet'!A:C,3,)</f>
        <v>DOLLAR</v>
      </c>
      <c r="AK107" s="62" t="str">
        <f>VLOOKUP(X107,'Customer List'!B:D,3,)</f>
        <v>STOCK</v>
      </c>
    </row>
    <row r="108" spans="1:37" s="44" customFormat="1" hidden="1" x14ac:dyDescent="0.25">
      <c r="A108" s="35">
        <f t="shared" si="40"/>
        <v>101</v>
      </c>
      <c r="B108" s="35" t="s">
        <v>824</v>
      </c>
      <c r="C108" s="35" t="s">
        <v>602</v>
      </c>
      <c r="D108" s="36">
        <v>46010</v>
      </c>
      <c r="E108" s="36">
        <v>46018</v>
      </c>
      <c r="F108" s="37">
        <v>53.4</v>
      </c>
      <c r="G108" s="38">
        <f t="shared" si="24"/>
        <v>4699.2</v>
      </c>
      <c r="H108" s="64">
        <f t="shared" si="25"/>
        <v>9398.4</v>
      </c>
      <c r="I108" s="35">
        <v>420201</v>
      </c>
      <c r="J108" s="35"/>
      <c r="K108" s="34" t="s">
        <v>869</v>
      </c>
      <c r="L108" s="39">
        <v>46674</v>
      </c>
      <c r="M108" s="35">
        <v>2</v>
      </c>
      <c r="N108" s="34">
        <v>2</v>
      </c>
      <c r="O108" s="35">
        <f t="shared" si="26"/>
        <v>0</v>
      </c>
      <c r="P108" s="35">
        <v>192</v>
      </c>
      <c r="Q108" s="36">
        <v>46139</v>
      </c>
      <c r="R108" s="36">
        <v>46139</v>
      </c>
      <c r="S108" s="38">
        <v>16554</v>
      </c>
      <c r="T108" s="40">
        <v>5</v>
      </c>
      <c r="U108" s="38">
        <f t="shared" si="27"/>
        <v>827.7</v>
      </c>
      <c r="V108" s="40">
        <v>0.3</v>
      </c>
      <c r="W108" s="40">
        <v>17382</v>
      </c>
      <c r="X108" s="35" t="s">
        <v>1110</v>
      </c>
      <c r="Y108" s="35">
        <v>58164803270</v>
      </c>
      <c r="Z108" s="35" t="s">
        <v>1112</v>
      </c>
      <c r="AA108" s="41">
        <v>4</v>
      </c>
      <c r="AB108" s="42" t="s">
        <v>826</v>
      </c>
      <c r="AC108" s="35" t="s">
        <v>824</v>
      </c>
      <c r="AD108" s="35" t="str">
        <f>VLOOKUP(X108,'Customer List'!B:C,2,)</f>
        <v>Banglore</v>
      </c>
      <c r="AE108" s="43" t="s">
        <v>476</v>
      </c>
      <c r="AF108" s="36">
        <v>46140</v>
      </c>
      <c r="AG108" s="35">
        <f t="shared" si="28"/>
        <v>1</v>
      </c>
      <c r="AH108" s="35" t="str">
        <f t="shared" si="29"/>
        <v>Friday</v>
      </c>
      <c r="AI108" s="35" t="str">
        <f t="shared" si="39"/>
        <v>Tuesday</v>
      </c>
      <c r="AJ108" s="35" t="str">
        <f>VLOOKUP(AC108,'Currency Sheet'!A:C,3,)</f>
        <v>DOLLAR</v>
      </c>
      <c r="AK108" s="35" t="str">
        <f>VLOOKUP(X108,'Customer List'!B:D,3,)</f>
        <v>OutStation</v>
      </c>
    </row>
    <row r="109" spans="1:37" s="44" customFormat="1" hidden="1" x14ac:dyDescent="0.25">
      <c r="A109" s="35">
        <f t="shared" si="40"/>
        <v>102</v>
      </c>
      <c r="B109" s="35" t="s">
        <v>824</v>
      </c>
      <c r="C109" s="35" t="s">
        <v>602</v>
      </c>
      <c r="D109" s="36">
        <v>46010</v>
      </c>
      <c r="E109" s="36">
        <v>46018</v>
      </c>
      <c r="F109" s="37">
        <v>53.4</v>
      </c>
      <c r="G109" s="38">
        <f t="shared" si="24"/>
        <v>4699.2</v>
      </c>
      <c r="H109" s="64">
        <f t="shared" si="25"/>
        <v>14097.599999999999</v>
      </c>
      <c r="I109" s="35">
        <v>420201</v>
      </c>
      <c r="J109" s="35"/>
      <c r="K109" s="34" t="s">
        <v>869</v>
      </c>
      <c r="L109" s="39">
        <v>46674</v>
      </c>
      <c r="M109" s="35">
        <v>3</v>
      </c>
      <c r="N109" s="34">
        <v>3</v>
      </c>
      <c r="O109" s="35">
        <f t="shared" si="26"/>
        <v>0</v>
      </c>
      <c r="P109" s="35">
        <v>193</v>
      </c>
      <c r="Q109" s="36">
        <v>46139</v>
      </c>
      <c r="R109" s="36">
        <v>46139</v>
      </c>
      <c r="S109" s="38">
        <v>24831</v>
      </c>
      <c r="T109" s="40">
        <v>5</v>
      </c>
      <c r="U109" s="38">
        <f t="shared" si="27"/>
        <v>1241.5500000000002</v>
      </c>
      <c r="V109" s="40">
        <v>0.45</v>
      </c>
      <c r="W109" s="40">
        <v>26073</v>
      </c>
      <c r="X109" s="35" t="s">
        <v>1110</v>
      </c>
      <c r="Y109" s="35">
        <v>58164803270</v>
      </c>
      <c r="Z109" s="35" t="s">
        <v>1112</v>
      </c>
      <c r="AA109" s="41">
        <v>4</v>
      </c>
      <c r="AB109" s="42" t="s">
        <v>826</v>
      </c>
      <c r="AC109" s="35" t="s">
        <v>824</v>
      </c>
      <c r="AD109" s="35" t="str">
        <f>VLOOKUP(X109,'Customer List'!B:C,2,)</f>
        <v>Banglore</v>
      </c>
      <c r="AE109" s="43" t="s">
        <v>476</v>
      </c>
      <c r="AF109" s="36">
        <v>46140</v>
      </c>
      <c r="AG109" s="35">
        <f t="shared" si="28"/>
        <v>1</v>
      </c>
      <c r="AH109" s="35" t="str">
        <f t="shared" si="29"/>
        <v>Monday</v>
      </c>
      <c r="AI109" s="35" t="str">
        <f t="shared" si="39"/>
        <v>Tuesday</v>
      </c>
      <c r="AJ109" s="35" t="str">
        <f>VLOOKUP(AC109,'Currency Sheet'!A:C,3,)</f>
        <v>DOLLAR</v>
      </c>
      <c r="AK109" s="35" t="str">
        <f>VLOOKUP(X109,'Customer List'!B:D,3,)</f>
        <v>OutStation</v>
      </c>
    </row>
    <row r="110" spans="1:37" s="44" customFormat="1" hidden="1" x14ac:dyDescent="0.25">
      <c r="A110" s="35">
        <f t="shared" si="40"/>
        <v>103</v>
      </c>
      <c r="B110" s="35" t="s">
        <v>824</v>
      </c>
      <c r="C110" s="35" t="s">
        <v>602</v>
      </c>
      <c r="D110" s="36">
        <v>46010</v>
      </c>
      <c r="E110" s="36">
        <v>46018</v>
      </c>
      <c r="F110" s="37">
        <v>53.4</v>
      </c>
      <c r="G110" s="38">
        <f t="shared" si="24"/>
        <v>4699.2</v>
      </c>
      <c r="H110" s="64">
        <f t="shared" si="25"/>
        <v>4699.2</v>
      </c>
      <c r="I110" s="35">
        <v>420201</v>
      </c>
      <c r="J110" s="35"/>
      <c r="K110" s="34" t="s">
        <v>869</v>
      </c>
      <c r="L110" s="39">
        <v>46674</v>
      </c>
      <c r="M110" s="35">
        <v>1</v>
      </c>
      <c r="N110" s="34">
        <v>1</v>
      </c>
      <c r="O110" s="35">
        <f t="shared" si="26"/>
        <v>0</v>
      </c>
      <c r="P110" s="35">
        <v>49</v>
      </c>
      <c r="Q110" s="36">
        <v>46120</v>
      </c>
      <c r="R110" s="36">
        <v>46120</v>
      </c>
      <c r="S110" s="38">
        <v>10346</v>
      </c>
      <c r="T110" s="40">
        <v>5</v>
      </c>
      <c r="U110" s="38">
        <f t="shared" si="27"/>
        <v>517.30000000000007</v>
      </c>
      <c r="V110" s="40">
        <v>-0.3</v>
      </c>
      <c r="W110" s="40">
        <v>10863</v>
      </c>
      <c r="X110" s="35" t="s">
        <v>1145</v>
      </c>
      <c r="Y110" s="35" t="s">
        <v>1147</v>
      </c>
      <c r="Z110" s="35" t="s">
        <v>1112</v>
      </c>
      <c r="AA110" s="41">
        <v>4</v>
      </c>
      <c r="AB110" s="42" t="s">
        <v>826</v>
      </c>
      <c r="AC110" s="35" t="s">
        <v>824</v>
      </c>
      <c r="AD110" s="35" t="str">
        <f>VLOOKUP(X110,'Customer List'!B:C,2,)</f>
        <v>COIMBATORE</v>
      </c>
      <c r="AE110" s="43" t="s">
        <v>476</v>
      </c>
      <c r="AF110" s="36">
        <v>46125</v>
      </c>
      <c r="AG110" s="35">
        <f t="shared" si="28"/>
        <v>5</v>
      </c>
      <c r="AH110" s="35" t="str">
        <f t="shared" si="29"/>
        <v>Saturday</v>
      </c>
      <c r="AI110" s="35" t="str">
        <f t="shared" si="39"/>
        <v>Monday</v>
      </c>
      <c r="AJ110" s="35" t="str">
        <f>VLOOKUP(AC110,'Currency Sheet'!A:C,3,)</f>
        <v>DOLLAR</v>
      </c>
      <c r="AK110" s="35" t="str">
        <f>VLOOKUP(X110,'Customer List'!B:D,3,)</f>
        <v>OutStation</v>
      </c>
    </row>
    <row r="111" spans="1:37" s="44" customFormat="1" hidden="1" x14ac:dyDescent="0.25">
      <c r="A111" s="35">
        <f t="shared" si="40"/>
        <v>104</v>
      </c>
      <c r="B111" s="62" t="s">
        <v>824</v>
      </c>
      <c r="C111" s="62" t="s">
        <v>602</v>
      </c>
      <c r="D111" s="6">
        <v>46010</v>
      </c>
      <c r="E111" s="6">
        <v>46018</v>
      </c>
      <c r="F111" s="63">
        <v>35.4</v>
      </c>
      <c r="G111" s="64">
        <f t="shared" si="24"/>
        <v>3115.2</v>
      </c>
      <c r="H111" s="64">
        <f t="shared" si="25"/>
        <v>9345.5999999999985</v>
      </c>
      <c r="I111" s="35">
        <v>420404</v>
      </c>
      <c r="J111" s="62"/>
      <c r="K111" s="8" t="s">
        <v>870</v>
      </c>
      <c r="L111" s="10">
        <v>46395</v>
      </c>
      <c r="M111" s="35">
        <v>3</v>
      </c>
      <c r="N111" s="34">
        <v>3</v>
      </c>
      <c r="O111" s="35">
        <f t="shared" si="26"/>
        <v>0</v>
      </c>
      <c r="P111" s="35">
        <v>300</v>
      </c>
      <c r="Q111" s="36">
        <v>46153</v>
      </c>
      <c r="R111" s="36">
        <v>46154</v>
      </c>
      <c r="S111" s="38">
        <v>19204.5</v>
      </c>
      <c r="T111" s="40">
        <v>5</v>
      </c>
      <c r="U111" s="38">
        <f t="shared" si="27"/>
        <v>960.22500000000002</v>
      </c>
      <c r="V111" s="40">
        <v>0.44</v>
      </c>
      <c r="W111" s="40">
        <v>470055</v>
      </c>
      <c r="X111" s="35" t="s">
        <v>1110</v>
      </c>
      <c r="Y111" s="35">
        <v>58165382310</v>
      </c>
      <c r="Z111" s="35" t="s">
        <v>1112</v>
      </c>
      <c r="AA111" s="41">
        <v>4</v>
      </c>
      <c r="AB111" s="42" t="s">
        <v>826</v>
      </c>
      <c r="AC111" s="35" t="s">
        <v>824</v>
      </c>
      <c r="AD111" s="35" t="str">
        <f>VLOOKUP(X111,'Customer List'!B:C,2,)</f>
        <v>Banglore</v>
      </c>
      <c r="AE111" s="43" t="s">
        <v>476</v>
      </c>
      <c r="AF111" s="36">
        <v>46155</v>
      </c>
      <c r="AG111" s="35">
        <f t="shared" si="28"/>
        <v>1</v>
      </c>
      <c r="AH111" s="35" t="str">
        <f t="shared" si="29"/>
        <v>Tuesday</v>
      </c>
      <c r="AI111" s="35" t="str">
        <f t="shared" si="39"/>
        <v>Wednesday</v>
      </c>
      <c r="AJ111" s="35" t="str">
        <f>VLOOKUP(AC111,'Currency Sheet'!A:C,3,)</f>
        <v>DOLLAR</v>
      </c>
      <c r="AK111" s="35" t="str">
        <f>VLOOKUP(X111,'Customer List'!B:D,3,)</f>
        <v>OutStation</v>
      </c>
    </row>
    <row r="112" spans="1:37" s="44" customFormat="1" hidden="1" x14ac:dyDescent="0.25">
      <c r="A112" s="35">
        <f t="shared" si="40"/>
        <v>105</v>
      </c>
      <c r="B112" s="35" t="s">
        <v>824</v>
      </c>
      <c r="C112" s="35" t="s">
        <v>602</v>
      </c>
      <c r="D112" s="36">
        <v>46010</v>
      </c>
      <c r="E112" s="36">
        <v>46018</v>
      </c>
      <c r="F112" s="37">
        <v>35.4</v>
      </c>
      <c r="G112" s="38">
        <f t="shared" si="24"/>
        <v>3115.2</v>
      </c>
      <c r="H112" s="64">
        <f t="shared" si="25"/>
        <v>9345.5999999999985</v>
      </c>
      <c r="I112" s="35">
        <v>420404</v>
      </c>
      <c r="J112" s="35"/>
      <c r="K112" s="34" t="s">
        <v>870</v>
      </c>
      <c r="L112" s="39">
        <v>46395</v>
      </c>
      <c r="M112" s="35">
        <v>3</v>
      </c>
      <c r="N112" s="34">
        <v>3</v>
      </c>
      <c r="O112" s="35">
        <f t="shared" si="26"/>
        <v>0</v>
      </c>
      <c r="P112" s="35">
        <v>194</v>
      </c>
      <c r="Q112" s="36">
        <v>46139</v>
      </c>
      <c r="R112" s="36">
        <v>46139</v>
      </c>
      <c r="S112" s="38">
        <v>16461</v>
      </c>
      <c r="T112" s="40">
        <v>5</v>
      </c>
      <c r="U112" s="38">
        <f t="shared" si="27"/>
        <v>823.05000000000007</v>
      </c>
      <c r="V112" s="40">
        <v>-0.05</v>
      </c>
      <c r="W112" s="40">
        <v>17284</v>
      </c>
      <c r="X112" s="35" t="s">
        <v>1110</v>
      </c>
      <c r="Y112" s="35">
        <v>58164803270</v>
      </c>
      <c r="Z112" s="35" t="s">
        <v>1112</v>
      </c>
      <c r="AA112" s="41">
        <v>4</v>
      </c>
      <c r="AB112" s="42" t="s">
        <v>826</v>
      </c>
      <c r="AC112" s="35" t="s">
        <v>824</v>
      </c>
      <c r="AD112" s="35" t="str">
        <f>VLOOKUP(X112,'Customer List'!B:C,2,)</f>
        <v>Banglore</v>
      </c>
      <c r="AE112" s="43" t="s">
        <v>476</v>
      </c>
      <c r="AF112" s="36">
        <v>46140</v>
      </c>
      <c r="AG112" s="35">
        <f t="shared" si="28"/>
        <v>1</v>
      </c>
      <c r="AH112" s="35" t="str">
        <f t="shared" si="29"/>
        <v>Wednesday</v>
      </c>
      <c r="AI112" s="35" t="str">
        <f t="shared" si="39"/>
        <v>Tuesday</v>
      </c>
      <c r="AJ112" s="35" t="str">
        <f>VLOOKUP(AC112,'Currency Sheet'!A:C,3,)</f>
        <v>DOLLAR</v>
      </c>
      <c r="AK112" s="35" t="str">
        <f>VLOOKUP(X112,'Customer List'!B:D,3,)</f>
        <v>OutStation</v>
      </c>
    </row>
    <row r="113" spans="1:37" s="44" customFormat="1" hidden="1" x14ac:dyDescent="0.25">
      <c r="A113" s="35">
        <f t="shared" si="40"/>
        <v>106</v>
      </c>
      <c r="B113" s="35" t="s">
        <v>824</v>
      </c>
      <c r="C113" s="35" t="s">
        <v>602</v>
      </c>
      <c r="D113" s="36">
        <v>46010</v>
      </c>
      <c r="E113" s="36">
        <v>46018</v>
      </c>
      <c r="F113" s="37">
        <v>35.4</v>
      </c>
      <c r="G113" s="38">
        <f t="shared" si="24"/>
        <v>3115.2</v>
      </c>
      <c r="H113" s="64">
        <f t="shared" si="25"/>
        <v>6230.4</v>
      </c>
      <c r="I113" s="35">
        <v>420404</v>
      </c>
      <c r="J113" s="35"/>
      <c r="K113" s="34" t="s">
        <v>870</v>
      </c>
      <c r="L113" s="39">
        <v>46395</v>
      </c>
      <c r="M113" s="35">
        <v>2</v>
      </c>
      <c r="N113" s="34">
        <v>2</v>
      </c>
      <c r="O113" s="35">
        <f t="shared" si="26"/>
        <v>0</v>
      </c>
      <c r="P113" s="35">
        <v>195</v>
      </c>
      <c r="Q113" s="36">
        <v>46139</v>
      </c>
      <c r="R113" s="36">
        <v>46139</v>
      </c>
      <c r="S113" s="38">
        <v>10974</v>
      </c>
      <c r="T113" s="40">
        <v>5</v>
      </c>
      <c r="U113" s="38">
        <f t="shared" si="27"/>
        <v>548.70000000000005</v>
      </c>
      <c r="V113" s="40">
        <v>0.3</v>
      </c>
      <c r="W113" s="40">
        <v>11523</v>
      </c>
      <c r="X113" s="35" t="s">
        <v>1110</v>
      </c>
      <c r="Y113" s="35">
        <v>58164803270</v>
      </c>
      <c r="Z113" s="35" t="s">
        <v>1112</v>
      </c>
      <c r="AA113" s="41">
        <v>4</v>
      </c>
      <c r="AB113" s="42" t="s">
        <v>826</v>
      </c>
      <c r="AC113" s="35" t="s">
        <v>824</v>
      </c>
      <c r="AD113" s="35" t="str">
        <f>VLOOKUP(X113,'Customer List'!B:C,2,)</f>
        <v>Banglore</v>
      </c>
      <c r="AE113" s="43" t="s">
        <v>476</v>
      </c>
      <c r="AF113" s="36">
        <v>46140</v>
      </c>
      <c r="AG113" s="35">
        <f t="shared" si="28"/>
        <v>1</v>
      </c>
      <c r="AH113" s="35" t="str">
        <f t="shared" si="29"/>
        <v>Thursday</v>
      </c>
      <c r="AI113" s="35" t="str">
        <f t="shared" si="39"/>
        <v>Tuesday</v>
      </c>
      <c r="AJ113" s="35" t="str">
        <f>VLOOKUP(AC113,'Currency Sheet'!A:C,3,)</f>
        <v>DOLLAR</v>
      </c>
      <c r="AK113" s="35" t="str">
        <f>VLOOKUP(X113,'Customer List'!B:D,3,)</f>
        <v>OutStation</v>
      </c>
    </row>
    <row r="114" spans="1:37" s="44" customFormat="1" hidden="1" x14ac:dyDescent="0.25">
      <c r="A114" s="35">
        <f t="shared" si="40"/>
        <v>107</v>
      </c>
      <c r="B114" s="35" t="s">
        <v>824</v>
      </c>
      <c r="C114" s="35" t="s">
        <v>602</v>
      </c>
      <c r="D114" s="36">
        <v>46010</v>
      </c>
      <c r="E114" s="36">
        <v>46018</v>
      </c>
      <c r="F114" s="37">
        <v>35.4</v>
      </c>
      <c r="G114" s="38">
        <f t="shared" si="24"/>
        <v>3115.2</v>
      </c>
      <c r="H114" s="64">
        <f t="shared" si="25"/>
        <v>6230.4</v>
      </c>
      <c r="I114" s="35">
        <v>420404</v>
      </c>
      <c r="J114" s="35"/>
      <c r="K114" s="34" t="s">
        <v>870</v>
      </c>
      <c r="L114" s="39">
        <v>46395</v>
      </c>
      <c r="M114" s="35">
        <v>2</v>
      </c>
      <c r="N114" s="34">
        <v>2</v>
      </c>
      <c r="O114" s="35">
        <f t="shared" si="26"/>
        <v>0</v>
      </c>
      <c r="P114" s="35">
        <v>50</v>
      </c>
      <c r="Q114" s="36">
        <v>46120</v>
      </c>
      <c r="R114" s="36">
        <v>46120</v>
      </c>
      <c r="S114" s="38">
        <v>12802</v>
      </c>
      <c r="T114" s="40">
        <v>5</v>
      </c>
      <c r="U114" s="38">
        <f t="shared" si="27"/>
        <v>640.1</v>
      </c>
      <c r="V114" s="40">
        <v>-0.1</v>
      </c>
      <c r="W114" s="40">
        <v>13442</v>
      </c>
      <c r="X114" s="35" t="s">
        <v>1148</v>
      </c>
      <c r="Y114" s="35" t="s">
        <v>1149</v>
      </c>
      <c r="Z114" s="35" t="s">
        <v>1112</v>
      </c>
      <c r="AA114" s="41">
        <v>4</v>
      </c>
      <c r="AB114" s="42" t="s">
        <v>826</v>
      </c>
      <c r="AC114" s="35" t="s">
        <v>824</v>
      </c>
      <c r="AD114" s="35" t="str">
        <f>VLOOKUP(X114,'Customer List'!B:C,2,)</f>
        <v>Telangana</v>
      </c>
      <c r="AE114" s="43" t="s">
        <v>476</v>
      </c>
      <c r="AF114" s="36"/>
      <c r="AG114" s="35" t="str">
        <f t="shared" si="28"/>
        <v/>
      </c>
      <c r="AH114" s="35" t="str">
        <f t="shared" si="29"/>
        <v>Friday</v>
      </c>
      <c r="AI114" s="35" t="str">
        <f t="shared" si="39"/>
        <v/>
      </c>
      <c r="AJ114" s="35" t="str">
        <f>VLOOKUP(AC114,'Currency Sheet'!A:C,3,)</f>
        <v>DOLLAR</v>
      </c>
      <c r="AK114" s="35" t="str">
        <f>VLOOKUP(X114,'Customer List'!B:D,3,)</f>
        <v>OutStation</v>
      </c>
    </row>
    <row r="115" spans="1:37" s="44" customFormat="1" hidden="1" x14ac:dyDescent="0.25">
      <c r="A115" s="35">
        <f t="shared" si="40"/>
        <v>108</v>
      </c>
      <c r="B115" s="35" t="s">
        <v>824</v>
      </c>
      <c r="C115" s="35" t="s">
        <v>602</v>
      </c>
      <c r="D115" s="36">
        <v>46010</v>
      </c>
      <c r="E115" s="36">
        <v>46018</v>
      </c>
      <c r="F115" s="37">
        <v>35.4</v>
      </c>
      <c r="G115" s="38">
        <f t="shared" si="24"/>
        <v>3115.2</v>
      </c>
      <c r="H115" s="64">
        <f t="shared" si="25"/>
        <v>6230.4</v>
      </c>
      <c r="I115" s="35">
        <v>420404</v>
      </c>
      <c r="J115" s="35"/>
      <c r="K115" s="34" t="s">
        <v>870</v>
      </c>
      <c r="L115" s="39">
        <v>46395</v>
      </c>
      <c r="M115" s="35">
        <v>2</v>
      </c>
      <c r="N115" s="34">
        <v>2</v>
      </c>
      <c r="O115" s="35">
        <f t="shared" si="26"/>
        <v>0</v>
      </c>
      <c r="P115" s="35">
        <v>18</v>
      </c>
      <c r="Q115" s="36">
        <v>46118</v>
      </c>
      <c r="R115" s="36">
        <v>46119</v>
      </c>
      <c r="S115" s="38">
        <v>10974</v>
      </c>
      <c r="T115" s="40">
        <v>5</v>
      </c>
      <c r="U115" s="38">
        <f t="shared" si="27"/>
        <v>548.70000000000005</v>
      </c>
      <c r="V115" s="40">
        <v>0.45</v>
      </c>
      <c r="W115" s="40">
        <v>106146</v>
      </c>
      <c r="X115" s="35" t="s">
        <v>1110</v>
      </c>
      <c r="Y115" s="35">
        <v>58163972366</v>
      </c>
      <c r="Z115" s="35" t="s">
        <v>1112</v>
      </c>
      <c r="AA115" s="41">
        <v>4</v>
      </c>
      <c r="AB115" s="42" t="s">
        <v>826</v>
      </c>
      <c r="AC115" s="35" t="s">
        <v>824</v>
      </c>
      <c r="AD115" s="35" t="str">
        <f>VLOOKUP(X115,'Customer List'!B:C,2,)</f>
        <v>Banglore</v>
      </c>
      <c r="AE115" s="43" t="s">
        <v>476</v>
      </c>
      <c r="AF115" s="36">
        <v>46120</v>
      </c>
      <c r="AG115" s="35">
        <f t="shared" si="28"/>
        <v>1</v>
      </c>
      <c r="AH115" s="35" t="str">
        <f t="shared" si="29"/>
        <v>Thursday</v>
      </c>
      <c r="AI115" s="35" t="str">
        <f t="shared" si="39"/>
        <v>Wednesday</v>
      </c>
      <c r="AJ115" s="35" t="str">
        <f>VLOOKUP(AC115,'Currency Sheet'!A:C,3,)</f>
        <v>DOLLAR</v>
      </c>
      <c r="AK115" s="35" t="str">
        <f>VLOOKUP(X115,'Customer List'!B:D,3,)</f>
        <v>OutStation</v>
      </c>
    </row>
    <row r="116" spans="1:37" hidden="1" x14ac:dyDescent="0.25">
      <c r="A116" s="62">
        <f t="shared" si="40"/>
        <v>109</v>
      </c>
      <c r="B116" s="62" t="s">
        <v>824</v>
      </c>
      <c r="C116" s="62" t="s">
        <v>602</v>
      </c>
      <c r="D116" s="6">
        <v>46010</v>
      </c>
      <c r="E116" s="6">
        <v>46018</v>
      </c>
      <c r="F116" s="63">
        <v>39</v>
      </c>
      <c r="G116" s="64">
        <f t="shared" si="24"/>
        <v>3432</v>
      </c>
      <c r="H116" s="64">
        <f t="shared" si="25"/>
        <v>58344</v>
      </c>
      <c r="I116" s="62">
        <v>420601</v>
      </c>
      <c r="J116" s="62"/>
      <c r="K116" s="8" t="s">
        <v>871</v>
      </c>
      <c r="L116" s="10">
        <v>46563</v>
      </c>
      <c r="M116" s="62">
        <v>17</v>
      </c>
      <c r="N116" s="8"/>
      <c r="O116" s="62">
        <f t="shared" si="26"/>
        <v>17</v>
      </c>
      <c r="P116" s="62"/>
      <c r="Q116" s="6"/>
      <c r="R116" s="6"/>
      <c r="S116" s="64"/>
      <c r="T116" s="22">
        <v>5</v>
      </c>
      <c r="U116" s="64">
        <f t="shared" si="27"/>
        <v>0</v>
      </c>
      <c r="V116" s="22"/>
      <c r="W116" s="22"/>
      <c r="X116" s="62" t="s">
        <v>794</v>
      </c>
      <c r="Y116" s="62"/>
      <c r="Z116" s="62"/>
      <c r="AA116" s="65">
        <v>4</v>
      </c>
      <c r="AB116" s="66" t="s">
        <v>826</v>
      </c>
      <c r="AC116" s="62" t="s">
        <v>824</v>
      </c>
      <c r="AD116" s="62" t="str">
        <f>VLOOKUP(X116,'Customer List'!B:C,2,)</f>
        <v>STOCK</v>
      </c>
      <c r="AE116" s="67" t="s">
        <v>476</v>
      </c>
      <c r="AF116" s="6"/>
      <c r="AG116" s="62" t="str">
        <f t="shared" si="28"/>
        <v/>
      </c>
      <c r="AH116" s="62" t="str">
        <f t="shared" si="29"/>
        <v/>
      </c>
      <c r="AI116" s="62" t="str">
        <f t="shared" si="39"/>
        <v/>
      </c>
      <c r="AJ116" s="62" t="str">
        <f>VLOOKUP(AC116,'Currency Sheet'!A:C,3,)</f>
        <v>DOLLAR</v>
      </c>
      <c r="AK116" s="62" t="str">
        <f>VLOOKUP(X116,'Customer List'!B:D,3,)</f>
        <v>STOCK</v>
      </c>
    </row>
    <row r="117" spans="1:37" s="44" customFormat="1" hidden="1" x14ac:dyDescent="0.25">
      <c r="A117" s="35">
        <f t="shared" si="40"/>
        <v>110</v>
      </c>
      <c r="B117" s="35" t="s">
        <v>824</v>
      </c>
      <c r="C117" s="35" t="s">
        <v>602</v>
      </c>
      <c r="D117" s="36">
        <v>46010</v>
      </c>
      <c r="E117" s="36">
        <v>46018</v>
      </c>
      <c r="F117" s="37">
        <v>39</v>
      </c>
      <c r="G117" s="38">
        <f t="shared" si="24"/>
        <v>3432</v>
      </c>
      <c r="H117" s="64">
        <f t="shared" si="25"/>
        <v>3432</v>
      </c>
      <c r="I117" s="35">
        <v>420601</v>
      </c>
      <c r="J117" s="35"/>
      <c r="K117" s="34" t="s">
        <v>871</v>
      </c>
      <c r="L117" s="39">
        <v>46563</v>
      </c>
      <c r="M117" s="35">
        <v>1</v>
      </c>
      <c r="N117" s="34">
        <v>1</v>
      </c>
      <c r="O117" s="35">
        <f t="shared" si="26"/>
        <v>0</v>
      </c>
      <c r="P117" s="35">
        <v>151</v>
      </c>
      <c r="Q117" s="36">
        <v>46132</v>
      </c>
      <c r="R117" s="36">
        <v>46133</v>
      </c>
      <c r="S117" s="38">
        <v>7254</v>
      </c>
      <c r="T117" s="40">
        <v>5</v>
      </c>
      <c r="U117" s="38">
        <f t="shared" si="27"/>
        <v>362.70000000000005</v>
      </c>
      <c r="V117" s="40">
        <v>0</v>
      </c>
      <c r="W117" s="40">
        <v>101610</v>
      </c>
      <c r="X117" s="35" t="s">
        <v>1098</v>
      </c>
      <c r="Y117" s="35">
        <v>58164559703</v>
      </c>
      <c r="Z117" s="35" t="s">
        <v>1112</v>
      </c>
      <c r="AA117" s="41">
        <v>4</v>
      </c>
      <c r="AB117" s="42" t="s">
        <v>826</v>
      </c>
      <c r="AC117" s="35" t="s">
        <v>824</v>
      </c>
      <c r="AD117" s="35" t="str">
        <f>VLOOKUP(X117,'Customer List'!B:C,2,)</f>
        <v>Banglore</v>
      </c>
      <c r="AE117" s="43" t="s">
        <v>476</v>
      </c>
      <c r="AF117" s="36">
        <v>46134</v>
      </c>
      <c r="AG117" s="35">
        <f t="shared" si="28"/>
        <v>1</v>
      </c>
      <c r="AH117" s="35" t="str">
        <f t="shared" si="29"/>
        <v>Monday</v>
      </c>
      <c r="AI117" s="35" t="str">
        <f t="shared" si="39"/>
        <v>Wednesday</v>
      </c>
      <c r="AJ117" s="35" t="str">
        <f>VLOOKUP(AC117,'Currency Sheet'!A:C,3,)</f>
        <v>DOLLAR</v>
      </c>
      <c r="AK117" s="35" t="str">
        <f>VLOOKUP(X117,'Customer List'!B:D,3,)</f>
        <v>OutStation</v>
      </c>
    </row>
    <row r="118" spans="1:37" s="44" customFormat="1" hidden="1" x14ac:dyDescent="0.25">
      <c r="A118" s="35">
        <f t="shared" si="40"/>
        <v>111</v>
      </c>
      <c r="B118" s="35" t="s">
        <v>824</v>
      </c>
      <c r="C118" s="35" t="s">
        <v>602</v>
      </c>
      <c r="D118" s="36">
        <v>46010</v>
      </c>
      <c r="E118" s="36">
        <v>46018</v>
      </c>
      <c r="F118" s="37">
        <v>39</v>
      </c>
      <c r="G118" s="38">
        <f t="shared" si="24"/>
        <v>3432</v>
      </c>
      <c r="H118" s="64">
        <f t="shared" si="25"/>
        <v>3432</v>
      </c>
      <c r="I118" s="35">
        <v>420601</v>
      </c>
      <c r="J118" s="35"/>
      <c r="K118" s="34" t="s">
        <v>871</v>
      </c>
      <c r="L118" s="39">
        <v>46563</v>
      </c>
      <c r="M118" s="35">
        <v>1</v>
      </c>
      <c r="N118" s="34">
        <v>1</v>
      </c>
      <c r="O118" s="35">
        <f t="shared" si="26"/>
        <v>0</v>
      </c>
      <c r="P118" s="35">
        <v>44</v>
      </c>
      <c r="Q118" s="36">
        <v>46118</v>
      </c>
      <c r="R118" s="36">
        <v>46119</v>
      </c>
      <c r="S118" s="38">
        <v>6851</v>
      </c>
      <c r="T118" s="40">
        <v>5</v>
      </c>
      <c r="U118" s="38">
        <f t="shared" si="27"/>
        <v>342.55</v>
      </c>
      <c r="V118" s="40">
        <v>-0.32</v>
      </c>
      <c r="W118" s="40">
        <v>287299</v>
      </c>
      <c r="X118" s="35" t="s">
        <v>1111</v>
      </c>
      <c r="Y118" s="35">
        <v>58163968295</v>
      </c>
      <c r="Z118" s="35" t="s">
        <v>1112</v>
      </c>
      <c r="AA118" s="41">
        <v>4</v>
      </c>
      <c r="AB118" s="42" t="s">
        <v>826</v>
      </c>
      <c r="AC118" s="35" t="s">
        <v>824</v>
      </c>
      <c r="AD118" s="35" t="str">
        <f>VLOOKUP(X118,'Customer List'!B:C,2,)</f>
        <v>Kanpur</v>
      </c>
      <c r="AE118" s="43" t="s">
        <v>476</v>
      </c>
      <c r="AF118" s="36">
        <v>46121</v>
      </c>
      <c r="AG118" s="35">
        <f t="shared" si="28"/>
        <v>2</v>
      </c>
      <c r="AH118" s="35" t="str">
        <f t="shared" si="29"/>
        <v>Thursday</v>
      </c>
      <c r="AI118" s="35" t="str">
        <f t="shared" si="39"/>
        <v>Thursday</v>
      </c>
      <c r="AJ118" s="35" t="str">
        <f>VLOOKUP(AC118,'Currency Sheet'!A:C,3,)</f>
        <v>DOLLAR</v>
      </c>
      <c r="AK118" s="35" t="str">
        <f>VLOOKUP(X118,'Customer List'!B:D,3,)</f>
        <v>OutStation</v>
      </c>
    </row>
    <row r="119" spans="1:37" hidden="1" x14ac:dyDescent="0.25">
      <c r="A119" s="62">
        <f t="shared" si="40"/>
        <v>112</v>
      </c>
      <c r="B119" s="62" t="s">
        <v>824</v>
      </c>
      <c r="C119" s="62" t="s">
        <v>602</v>
      </c>
      <c r="D119" s="6">
        <v>46010</v>
      </c>
      <c r="E119" s="6">
        <v>46018</v>
      </c>
      <c r="F119" s="63">
        <v>32.4</v>
      </c>
      <c r="G119" s="64">
        <f t="shared" si="24"/>
        <v>2851.2</v>
      </c>
      <c r="H119" s="64">
        <f t="shared" si="25"/>
        <v>48470.399999999994</v>
      </c>
      <c r="I119" s="62">
        <v>420701</v>
      </c>
      <c r="J119" s="62"/>
      <c r="K119" s="8" t="s">
        <v>872</v>
      </c>
      <c r="L119" s="10">
        <v>46493</v>
      </c>
      <c r="M119" s="62">
        <v>17</v>
      </c>
      <c r="N119" s="8"/>
      <c r="O119" s="62">
        <f t="shared" si="26"/>
        <v>17</v>
      </c>
      <c r="P119" s="62"/>
      <c r="Q119" s="6"/>
      <c r="R119" s="6"/>
      <c r="S119" s="64"/>
      <c r="T119" s="22">
        <v>5</v>
      </c>
      <c r="U119" s="64">
        <f t="shared" si="27"/>
        <v>0</v>
      </c>
      <c r="V119" s="22"/>
      <c r="W119" s="22"/>
      <c r="X119" s="62" t="s">
        <v>794</v>
      </c>
      <c r="Y119" s="62"/>
      <c r="Z119" s="62"/>
      <c r="AA119" s="65">
        <v>4</v>
      </c>
      <c r="AB119" s="66" t="s">
        <v>826</v>
      </c>
      <c r="AC119" s="62" t="s">
        <v>824</v>
      </c>
      <c r="AD119" s="62" t="str">
        <f>VLOOKUP(X119,'Customer List'!B:C,2,)</f>
        <v>STOCK</v>
      </c>
      <c r="AE119" s="67" t="s">
        <v>476</v>
      </c>
      <c r="AF119" s="6"/>
      <c r="AG119" s="62" t="str">
        <f t="shared" si="28"/>
        <v/>
      </c>
      <c r="AH119" s="62" t="str">
        <f t="shared" si="29"/>
        <v/>
      </c>
      <c r="AI119" s="62" t="str">
        <f t="shared" si="39"/>
        <v/>
      </c>
      <c r="AJ119" s="62" t="str">
        <f>VLOOKUP(AC119,'Currency Sheet'!A:C,3,)</f>
        <v>DOLLAR</v>
      </c>
      <c r="AK119" s="62" t="str">
        <f>VLOOKUP(X119,'Customer List'!B:D,3,)</f>
        <v>STOCK</v>
      </c>
    </row>
    <row r="120" spans="1:37" hidden="1" x14ac:dyDescent="0.25">
      <c r="A120" s="62">
        <f t="shared" si="40"/>
        <v>113</v>
      </c>
      <c r="B120" s="62" t="s">
        <v>824</v>
      </c>
      <c r="C120" s="62" t="s">
        <v>602</v>
      </c>
      <c r="D120" s="6">
        <v>46010</v>
      </c>
      <c r="E120" s="6">
        <v>46018</v>
      </c>
      <c r="F120" s="63">
        <v>32.4</v>
      </c>
      <c r="G120" s="64">
        <f t="shared" ref="G120" si="41">IF(AJ120="DOLLAR",F120*88,F120)</f>
        <v>2851.2</v>
      </c>
      <c r="H120" s="64">
        <f t="shared" ref="H120" si="42">G120*M120</f>
        <v>5702.4</v>
      </c>
      <c r="I120" s="62">
        <v>420701</v>
      </c>
      <c r="J120" s="62"/>
      <c r="K120" s="8" t="s">
        <v>872</v>
      </c>
      <c r="L120" s="10">
        <v>46493</v>
      </c>
      <c r="M120" s="62">
        <v>2</v>
      </c>
      <c r="N120" s="8">
        <v>2</v>
      </c>
      <c r="O120" s="62">
        <f t="shared" ref="O120" si="43">M120-N120</f>
        <v>0</v>
      </c>
      <c r="P120" s="62">
        <v>385</v>
      </c>
      <c r="Q120" s="6">
        <v>46167</v>
      </c>
      <c r="R120" s="6">
        <v>46168</v>
      </c>
      <c r="S120" s="64">
        <v>11718</v>
      </c>
      <c r="T120" s="22">
        <v>5</v>
      </c>
      <c r="U120" s="64">
        <f t="shared" ref="U120" si="44">S120*T120%</f>
        <v>585.9</v>
      </c>
      <c r="V120" s="22">
        <v>0</v>
      </c>
      <c r="W120" s="22">
        <v>397797</v>
      </c>
      <c r="X120" s="62" t="s">
        <v>2892</v>
      </c>
      <c r="Y120" s="62">
        <v>58166004013</v>
      </c>
      <c r="Z120" s="62"/>
      <c r="AA120" s="65">
        <v>4</v>
      </c>
      <c r="AB120" s="66" t="s">
        <v>826</v>
      </c>
      <c r="AC120" s="62" t="s">
        <v>824</v>
      </c>
      <c r="AD120" s="62" t="str">
        <f>VLOOKUP(X120,'Customer List'!B:C,2,)</f>
        <v>Pune</v>
      </c>
      <c r="AE120" s="67" t="s">
        <v>476</v>
      </c>
      <c r="AF120" s="6"/>
      <c r="AG120" s="62" t="str">
        <f t="shared" ref="AG120" si="45">IF(AF120="", "", AF120-R120)</f>
        <v/>
      </c>
      <c r="AH120" s="62" t="str">
        <f t="shared" ref="AH120" si="46">IF(S120="", "", TEXT(S120, "dddd"))</f>
        <v>Saturday</v>
      </c>
      <c r="AI120" s="62" t="str">
        <f t="shared" ref="AI120" si="47">IF(AF120="", "", TEXT(AF120, "dddd"))</f>
        <v/>
      </c>
      <c r="AJ120" s="62" t="str">
        <f>VLOOKUP(AC120,'Currency Sheet'!A:C,3,)</f>
        <v>DOLLAR</v>
      </c>
      <c r="AK120" s="62" t="str">
        <f>VLOOKUP(X120,'Customer List'!B:D,3,)</f>
        <v>OutStation</v>
      </c>
    </row>
    <row r="121" spans="1:37" hidden="1" x14ac:dyDescent="0.25">
      <c r="A121" s="62">
        <f>A119+1</f>
        <v>113</v>
      </c>
      <c r="B121" s="62" t="s">
        <v>824</v>
      </c>
      <c r="C121" s="62" t="s">
        <v>602</v>
      </c>
      <c r="D121" s="6">
        <v>46010</v>
      </c>
      <c r="E121" s="6">
        <v>46018</v>
      </c>
      <c r="F121" s="63">
        <v>32.4</v>
      </c>
      <c r="G121" s="64">
        <f t="shared" ref="G121" si="48">IF(AJ121="DOLLAR",F121*88,F121)</f>
        <v>2851.2</v>
      </c>
      <c r="H121" s="64">
        <f t="shared" ref="H121" si="49">G121*M121</f>
        <v>2851.2</v>
      </c>
      <c r="I121" s="62">
        <v>420701</v>
      </c>
      <c r="J121" s="62"/>
      <c r="K121" s="8" t="s">
        <v>872</v>
      </c>
      <c r="L121" s="10">
        <v>46493</v>
      </c>
      <c r="M121" s="62">
        <v>1</v>
      </c>
      <c r="N121" s="8">
        <v>1</v>
      </c>
      <c r="O121" s="62">
        <f t="shared" ref="O121" si="50">M121-N121</f>
        <v>0</v>
      </c>
      <c r="P121" s="70" t="s">
        <v>2878</v>
      </c>
      <c r="Q121" s="71">
        <v>46167</v>
      </c>
      <c r="R121" s="6">
        <v>46167</v>
      </c>
      <c r="S121" s="64">
        <v>7533</v>
      </c>
      <c r="T121" s="22">
        <v>5</v>
      </c>
      <c r="U121" s="64">
        <f t="shared" ref="U121" si="51">S121*T121%</f>
        <v>376.65000000000003</v>
      </c>
      <c r="V121" s="22">
        <v>-0.46</v>
      </c>
      <c r="W121" s="22">
        <v>416428</v>
      </c>
      <c r="X121" s="62" t="s">
        <v>94</v>
      </c>
      <c r="Y121" s="62" t="s">
        <v>1120</v>
      </c>
      <c r="Z121" s="62" t="s">
        <v>1863</v>
      </c>
      <c r="AA121" s="65">
        <v>4</v>
      </c>
      <c r="AB121" s="66" t="s">
        <v>826</v>
      </c>
      <c r="AC121" s="62" t="s">
        <v>824</v>
      </c>
      <c r="AD121" s="62" t="str">
        <f>VLOOKUP(X121,'Customer List'!B:C,2,)</f>
        <v>Delhi</v>
      </c>
      <c r="AE121" s="67" t="s">
        <v>476</v>
      </c>
      <c r="AF121" s="6"/>
      <c r="AG121" s="62" t="str">
        <f t="shared" ref="AG121" si="52">IF(AF121="", "", AF121-R121)</f>
        <v/>
      </c>
      <c r="AH121" s="62" t="str">
        <f t="shared" ref="AH121" si="53">IF(S121="", "", TEXT(S121, "dddd"))</f>
        <v>Sunday</v>
      </c>
      <c r="AI121" s="62" t="str">
        <f t="shared" ref="AI121" si="54">IF(AF121="", "", TEXT(AF121, "dddd"))</f>
        <v/>
      </c>
      <c r="AJ121" s="62" t="str">
        <f>VLOOKUP(AC121,'Currency Sheet'!A:C,3,)</f>
        <v>DOLLAR</v>
      </c>
      <c r="AK121" s="62" t="str">
        <f>VLOOKUP(X121,'Customer List'!B:D,3,)</f>
        <v>Local</v>
      </c>
    </row>
    <row r="122" spans="1:37" hidden="1" x14ac:dyDescent="0.25">
      <c r="A122" s="62">
        <f>A119+1</f>
        <v>113</v>
      </c>
      <c r="B122" s="62" t="s">
        <v>824</v>
      </c>
      <c r="C122" s="62" t="s">
        <v>602</v>
      </c>
      <c r="D122" s="6">
        <v>46010</v>
      </c>
      <c r="E122" s="6">
        <v>46018</v>
      </c>
      <c r="F122" s="63">
        <v>35.4</v>
      </c>
      <c r="G122" s="64">
        <f t="shared" si="24"/>
        <v>3115.2</v>
      </c>
      <c r="H122" s="64">
        <f t="shared" si="25"/>
        <v>46728</v>
      </c>
      <c r="I122" s="62">
        <v>420801</v>
      </c>
      <c r="J122" s="62"/>
      <c r="K122" s="8" t="s">
        <v>873</v>
      </c>
      <c r="L122" s="10">
        <v>46670</v>
      </c>
      <c r="M122" s="62">
        <v>15</v>
      </c>
      <c r="N122" s="8"/>
      <c r="O122" s="62">
        <f t="shared" si="26"/>
        <v>15</v>
      </c>
      <c r="P122" s="62"/>
      <c r="Q122" s="6"/>
      <c r="R122" s="6"/>
      <c r="S122" s="64"/>
      <c r="T122" s="22">
        <v>5</v>
      </c>
      <c r="U122" s="64">
        <f t="shared" si="27"/>
        <v>0</v>
      </c>
      <c r="V122" s="22"/>
      <c r="W122" s="22"/>
      <c r="X122" s="62" t="s">
        <v>794</v>
      </c>
      <c r="Y122" s="62"/>
      <c r="Z122" s="62"/>
      <c r="AA122" s="65">
        <v>4</v>
      </c>
      <c r="AB122" s="66" t="s">
        <v>826</v>
      </c>
      <c r="AC122" s="62" t="s">
        <v>824</v>
      </c>
      <c r="AD122" s="62" t="str">
        <f>VLOOKUP(X122,'Customer List'!B:C,2,)</f>
        <v>STOCK</v>
      </c>
      <c r="AE122" s="67" t="s">
        <v>476</v>
      </c>
      <c r="AF122" s="6"/>
      <c r="AG122" s="62" t="str">
        <f t="shared" si="28"/>
        <v/>
      </c>
      <c r="AH122" s="62" t="str">
        <f t="shared" si="29"/>
        <v/>
      </c>
      <c r="AI122" s="62" t="str">
        <f t="shared" si="39"/>
        <v/>
      </c>
      <c r="AJ122" s="62" t="str">
        <f>VLOOKUP(AC122,'Currency Sheet'!A:C,3,)</f>
        <v>DOLLAR</v>
      </c>
      <c r="AK122" s="62" t="str">
        <f>VLOOKUP(X122,'Customer List'!B:D,3,)</f>
        <v>STOCK</v>
      </c>
    </row>
    <row r="123" spans="1:37" hidden="1" x14ac:dyDescent="0.25">
      <c r="A123" s="62">
        <f>A121+1</f>
        <v>114</v>
      </c>
      <c r="B123" s="62" t="s">
        <v>824</v>
      </c>
      <c r="C123" s="62" t="s">
        <v>602</v>
      </c>
      <c r="D123" s="6">
        <v>46010</v>
      </c>
      <c r="E123" s="6">
        <v>46018</v>
      </c>
      <c r="F123" s="63">
        <v>35.4</v>
      </c>
      <c r="G123" s="64">
        <f t="shared" ref="G123" si="55">IF(AJ123="DOLLAR",F123*88,F123)</f>
        <v>3115.2</v>
      </c>
      <c r="H123" s="64">
        <f t="shared" ref="H123" si="56">G123*M123</f>
        <v>6230.4</v>
      </c>
      <c r="I123" s="62">
        <v>420801</v>
      </c>
      <c r="J123" s="62"/>
      <c r="K123" s="8" t="s">
        <v>873</v>
      </c>
      <c r="L123" s="10">
        <v>46670</v>
      </c>
      <c r="M123" s="62">
        <v>2</v>
      </c>
      <c r="N123" s="8">
        <v>2</v>
      </c>
      <c r="O123" s="62">
        <f t="shared" ref="O123" si="57">M123-N123</f>
        <v>0</v>
      </c>
      <c r="P123" s="62">
        <v>385</v>
      </c>
      <c r="Q123" s="6">
        <v>46167</v>
      </c>
      <c r="R123" s="6">
        <v>46168</v>
      </c>
      <c r="S123" s="64">
        <v>12803</v>
      </c>
      <c r="T123" s="22">
        <v>5</v>
      </c>
      <c r="U123" s="64">
        <f t="shared" ref="U123" si="58">S123*T123%</f>
        <v>640.15000000000009</v>
      </c>
      <c r="V123" s="22">
        <v>0</v>
      </c>
      <c r="W123" s="22">
        <v>397797</v>
      </c>
      <c r="X123" s="62" t="s">
        <v>2892</v>
      </c>
      <c r="Y123" s="62">
        <v>58166004013</v>
      </c>
      <c r="Z123" s="62"/>
      <c r="AA123" s="65">
        <v>4</v>
      </c>
      <c r="AB123" s="66" t="s">
        <v>826</v>
      </c>
      <c r="AC123" s="62" t="s">
        <v>824</v>
      </c>
      <c r="AD123" s="62" t="str">
        <f>VLOOKUP(X123,'Customer List'!B:C,2,)</f>
        <v>Pune</v>
      </c>
      <c r="AE123" s="67" t="s">
        <v>476</v>
      </c>
      <c r="AF123" s="6"/>
      <c r="AG123" s="62" t="str">
        <f t="shared" ref="AG123" si="59">IF(AF123="", "", AF123-R123)</f>
        <v/>
      </c>
      <c r="AH123" s="62" t="str">
        <f t="shared" ref="AH123" si="60">IF(S123="", "", TEXT(S123, "dddd"))</f>
        <v>Saturday</v>
      </c>
      <c r="AI123" s="62" t="str">
        <f t="shared" ref="AI123" si="61">IF(AF123="", "", TEXT(AF123, "dddd"))</f>
        <v/>
      </c>
      <c r="AJ123" s="62" t="str">
        <f>VLOOKUP(AC123,'Currency Sheet'!A:C,3,)</f>
        <v>DOLLAR</v>
      </c>
      <c r="AK123" s="62" t="str">
        <f>VLOOKUP(X123,'Customer List'!B:D,3,)</f>
        <v>OutStation</v>
      </c>
    </row>
    <row r="124" spans="1:37" s="44" customFormat="1" hidden="1" x14ac:dyDescent="0.25">
      <c r="A124" s="35">
        <f>A122+1</f>
        <v>114</v>
      </c>
      <c r="B124" s="62" t="s">
        <v>824</v>
      </c>
      <c r="C124" s="62" t="s">
        <v>602</v>
      </c>
      <c r="D124" s="6">
        <v>46010</v>
      </c>
      <c r="E124" s="6">
        <v>46018</v>
      </c>
      <c r="F124" s="63">
        <v>35.4</v>
      </c>
      <c r="G124" s="64">
        <f t="shared" si="24"/>
        <v>3115.2</v>
      </c>
      <c r="H124" s="64">
        <f t="shared" si="25"/>
        <v>3115.2</v>
      </c>
      <c r="I124" s="35">
        <v>420801</v>
      </c>
      <c r="J124" s="62"/>
      <c r="K124" s="8" t="s">
        <v>873</v>
      </c>
      <c r="L124" s="10" t="s">
        <v>2658</v>
      </c>
      <c r="M124" s="35">
        <v>1</v>
      </c>
      <c r="N124" s="34">
        <v>1</v>
      </c>
      <c r="O124" s="35">
        <f t="shared" si="26"/>
        <v>0</v>
      </c>
      <c r="P124" s="35">
        <v>305</v>
      </c>
      <c r="Q124" s="36">
        <v>46155</v>
      </c>
      <c r="R124" s="36">
        <v>46155</v>
      </c>
      <c r="S124" s="38">
        <v>6401.5</v>
      </c>
      <c r="T124" s="40">
        <v>5</v>
      </c>
      <c r="U124" s="38">
        <f t="shared" si="27"/>
        <v>320.07500000000005</v>
      </c>
      <c r="V124" s="40">
        <v>0.42</v>
      </c>
      <c r="W124" s="40">
        <v>6722</v>
      </c>
      <c r="X124" s="35" t="s">
        <v>92</v>
      </c>
      <c r="Y124" s="35">
        <v>58165454023</v>
      </c>
      <c r="Z124" s="35" t="s">
        <v>1112</v>
      </c>
      <c r="AA124" s="41">
        <v>4</v>
      </c>
      <c r="AB124" s="42" t="s">
        <v>826</v>
      </c>
      <c r="AC124" s="35" t="s">
        <v>824</v>
      </c>
      <c r="AD124" s="35" t="str">
        <f>VLOOKUP(X124,'Customer List'!B:C,2,)</f>
        <v>Kolkata</v>
      </c>
      <c r="AE124" s="43" t="s">
        <v>476</v>
      </c>
      <c r="AF124" s="36">
        <v>46156</v>
      </c>
      <c r="AG124" s="35">
        <f t="shared" si="28"/>
        <v>1</v>
      </c>
      <c r="AH124" s="35" t="str">
        <f t="shared" si="29"/>
        <v>Tuesday</v>
      </c>
      <c r="AI124" s="35" t="str">
        <f t="shared" si="39"/>
        <v>Thursday</v>
      </c>
      <c r="AJ124" s="35" t="str">
        <f>VLOOKUP(AC124,'Currency Sheet'!A:C,3,)</f>
        <v>DOLLAR</v>
      </c>
      <c r="AK124" s="35" t="str">
        <f>VLOOKUP(X124,'Customer List'!B:D,3,)</f>
        <v>OutStation</v>
      </c>
    </row>
    <row r="125" spans="1:37" hidden="1" x14ac:dyDescent="0.25">
      <c r="A125" s="62">
        <f>A122+1</f>
        <v>114</v>
      </c>
      <c r="B125" s="62" t="s">
        <v>824</v>
      </c>
      <c r="C125" s="62" t="s">
        <v>602</v>
      </c>
      <c r="D125" s="6">
        <v>46010</v>
      </c>
      <c r="E125" s="6">
        <v>46018</v>
      </c>
      <c r="F125" s="63">
        <v>53.4</v>
      </c>
      <c r="G125" s="64">
        <f t="shared" si="24"/>
        <v>4699.2</v>
      </c>
      <c r="H125" s="64">
        <f t="shared" si="25"/>
        <v>51691.199999999997</v>
      </c>
      <c r="I125" s="62">
        <v>423101</v>
      </c>
      <c r="J125" s="62" t="s">
        <v>1559</v>
      </c>
      <c r="K125" s="8" t="s">
        <v>874</v>
      </c>
      <c r="L125" s="10">
        <v>47029</v>
      </c>
      <c r="M125" s="62">
        <v>11</v>
      </c>
      <c r="N125" s="8"/>
      <c r="O125" s="62">
        <f t="shared" si="26"/>
        <v>11</v>
      </c>
      <c r="P125" s="62"/>
      <c r="Q125" s="6"/>
      <c r="R125" s="6"/>
      <c r="S125" s="64"/>
      <c r="T125" s="22">
        <v>5</v>
      </c>
      <c r="U125" s="64">
        <f t="shared" si="27"/>
        <v>0</v>
      </c>
      <c r="V125" s="22"/>
      <c r="W125" s="22"/>
      <c r="X125" s="62" t="s">
        <v>794</v>
      </c>
      <c r="Y125" s="62"/>
      <c r="Z125" s="62"/>
      <c r="AA125" s="65">
        <v>-20</v>
      </c>
      <c r="AB125" s="66" t="s">
        <v>826</v>
      </c>
      <c r="AC125" s="62" t="s">
        <v>824</v>
      </c>
      <c r="AD125" s="62" t="str">
        <f>VLOOKUP(X125,'Customer List'!B:C,2,)</f>
        <v>STOCK</v>
      </c>
      <c r="AE125" s="67" t="s">
        <v>476</v>
      </c>
      <c r="AF125" s="6"/>
      <c r="AG125" s="62" t="str">
        <f t="shared" si="28"/>
        <v/>
      </c>
      <c r="AH125" s="62" t="str">
        <f t="shared" si="29"/>
        <v/>
      </c>
      <c r="AI125" s="62" t="str">
        <f t="shared" si="39"/>
        <v/>
      </c>
      <c r="AJ125" s="62" t="str">
        <f>VLOOKUP(AC125,'Currency Sheet'!A:C,3,)</f>
        <v>DOLLAR</v>
      </c>
      <c r="AK125" s="62" t="str">
        <f>VLOOKUP(X125,'Customer List'!B:D,3,)</f>
        <v>STOCK</v>
      </c>
    </row>
    <row r="126" spans="1:37" s="44" customFormat="1" hidden="1" x14ac:dyDescent="0.25">
      <c r="A126" s="35">
        <f>A124+1</f>
        <v>115</v>
      </c>
      <c r="B126" s="62" t="s">
        <v>824</v>
      </c>
      <c r="C126" s="62" t="s">
        <v>602</v>
      </c>
      <c r="D126" s="6">
        <v>46010</v>
      </c>
      <c r="E126" s="6">
        <v>46018</v>
      </c>
      <c r="F126" s="63">
        <v>53.4</v>
      </c>
      <c r="G126" s="64">
        <f t="shared" si="24"/>
        <v>4699.2</v>
      </c>
      <c r="H126" s="64">
        <f t="shared" si="25"/>
        <v>4699.2</v>
      </c>
      <c r="I126" s="35">
        <v>423101</v>
      </c>
      <c r="J126" s="62" t="s">
        <v>1559</v>
      </c>
      <c r="K126" s="8" t="s">
        <v>874</v>
      </c>
      <c r="L126" s="10">
        <v>47029</v>
      </c>
      <c r="M126" s="35">
        <v>1</v>
      </c>
      <c r="N126" s="34">
        <v>1</v>
      </c>
      <c r="O126" s="35">
        <f t="shared" si="26"/>
        <v>0</v>
      </c>
      <c r="P126" s="35">
        <v>315</v>
      </c>
      <c r="Q126" s="36">
        <v>46157</v>
      </c>
      <c r="R126" s="36">
        <v>46158</v>
      </c>
      <c r="S126" s="38">
        <v>7609.5</v>
      </c>
      <c r="T126" s="40">
        <v>5</v>
      </c>
      <c r="U126" s="38">
        <f t="shared" si="27"/>
        <v>380.47500000000002</v>
      </c>
      <c r="V126" s="40">
        <v>0.02</v>
      </c>
      <c r="W126" s="40">
        <v>7990</v>
      </c>
      <c r="X126" s="35" t="s">
        <v>801</v>
      </c>
      <c r="Y126" s="35">
        <v>58165586894</v>
      </c>
      <c r="Z126" s="35" t="s">
        <v>1112</v>
      </c>
      <c r="AA126" s="41">
        <v>-20</v>
      </c>
      <c r="AB126" s="42" t="s">
        <v>826</v>
      </c>
      <c r="AC126" s="35" t="s">
        <v>824</v>
      </c>
      <c r="AD126" s="35" t="str">
        <f>VLOOKUP(X126,'Customer List'!B:C,2,)</f>
        <v>Mumbai</v>
      </c>
      <c r="AE126" s="43" t="s">
        <v>476</v>
      </c>
      <c r="AF126" s="36">
        <v>46160</v>
      </c>
      <c r="AG126" s="35">
        <f t="shared" si="28"/>
        <v>2</v>
      </c>
      <c r="AH126" s="35" t="str">
        <f t="shared" si="29"/>
        <v>Saturday</v>
      </c>
      <c r="AI126" s="35" t="str">
        <f t="shared" si="39"/>
        <v>Monday</v>
      </c>
      <c r="AJ126" s="35" t="str">
        <f>VLOOKUP(AC126,'Currency Sheet'!A:C,3,)</f>
        <v>DOLLAR</v>
      </c>
      <c r="AK126" s="35" t="str">
        <f>VLOOKUP(X126,'Customer List'!B:D,3,)</f>
        <v>OutStation</v>
      </c>
    </row>
    <row r="127" spans="1:37" s="44" customFormat="1" hidden="1" x14ac:dyDescent="0.25">
      <c r="A127" s="35">
        <f>A125+1</f>
        <v>115</v>
      </c>
      <c r="B127" s="35" t="s">
        <v>824</v>
      </c>
      <c r="C127" s="35" t="s">
        <v>602</v>
      </c>
      <c r="D127" s="36">
        <v>46010</v>
      </c>
      <c r="E127" s="36">
        <v>46018</v>
      </c>
      <c r="F127" s="37">
        <v>53.4</v>
      </c>
      <c r="G127" s="38">
        <f t="shared" si="24"/>
        <v>4699.2</v>
      </c>
      <c r="H127" s="64">
        <f t="shared" si="25"/>
        <v>4699.2</v>
      </c>
      <c r="I127" s="35">
        <v>423101</v>
      </c>
      <c r="J127" s="62" t="s">
        <v>1559</v>
      </c>
      <c r="K127" s="34" t="s">
        <v>874</v>
      </c>
      <c r="L127" s="39">
        <v>47029</v>
      </c>
      <c r="M127" s="35">
        <v>1</v>
      </c>
      <c r="N127" s="34">
        <v>1</v>
      </c>
      <c r="O127" s="35">
        <f t="shared" si="26"/>
        <v>0</v>
      </c>
      <c r="P127" s="35">
        <v>233</v>
      </c>
      <c r="Q127" s="36">
        <v>46141</v>
      </c>
      <c r="R127" s="36">
        <v>46141</v>
      </c>
      <c r="S127" s="38">
        <v>9656.5</v>
      </c>
      <c r="T127" s="40">
        <v>5</v>
      </c>
      <c r="U127" s="38">
        <f t="shared" si="27"/>
        <v>482.82500000000005</v>
      </c>
      <c r="V127" s="40">
        <v>-0.32</v>
      </c>
      <c r="W127" s="40">
        <v>10139</v>
      </c>
      <c r="X127" s="35" t="s">
        <v>807</v>
      </c>
      <c r="Y127" s="35" t="s">
        <v>1120</v>
      </c>
      <c r="Z127" s="35" t="s">
        <v>1863</v>
      </c>
      <c r="AA127" s="41">
        <v>-20</v>
      </c>
      <c r="AB127" s="42" t="s">
        <v>826</v>
      </c>
      <c r="AC127" s="35" t="s">
        <v>824</v>
      </c>
      <c r="AD127" s="35" t="str">
        <f>VLOOKUP(X127,'Customer List'!B:C,2,)</f>
        <v>Delhi</v>
      </c>
      <c r="AE127" s="43" t="s">
        <v>476</v>
      </c>
      <c r="AF127" s="36"/>
      <c r="AG127" s="35" t="str">
        <f t="shared" si="28"/>
        <v/>
      </c>
      <c r="AH127" s="35" t="str">
        <f t="shared" si="29"/>
        <v>Tuesday</v>
      </c>
      <c r="AI127" s="35" t="str">
        <f t="shared" si="39"/>
        <v/>
      </c>
      <c r="AJ127" s="35" t="str">
        <f>VLOOKUP(AC127,'Currency Sheet'!A:C,3,)</f>
        <v>DOLLAR</v>
      </c>
      <c r="AK127" s="35" t="str">
        <f>VLOOKUP(X127,'Customer List'!B:D,3,)</f>
        <v>Local</v>
      </c>
    </row>
    <row r="128" spans="1:37" s="44" customFormat="1" hidden="1" x14ac:dyDescent="0.25">
      <c r="A128" s="35">
        <f t="shared" ref="A128:A193" si="62">A127+1</f>
        <v>116</v>
      </c>
      <c r="B128" s="35" t="s">
        <v>824</v>
      </c>
      <c r="C128" s="35" t="s">
        <v>602</v>
      </c>
      <c r="D128" s="36">
        <v>46010</v>
      </c>
      <c r="E128" s="36">
        <v>46018</v>
      </c>
      <c r="F128" s="37">
        <v>53.4</v>
      </c>
      <c r="G128" s="38">
        <f t="shared" si="24"/>
        <v>4699.2</v>
      </c>
      <c r="H128" s="64">
        <f t="shared" si="25"/>
        <v>4699.2</v>
      </c>
      <c r="I128" s="35">
        <v>423101</v>
      </c>
      <c r="J128" s="62" t="s">
        <v>1559</v>
      </c>
      <c r="K128" s="34" t="s">
        <v>874</v>
      </c>
      <c r="L128" s="39">
        <v>47029</v>
      </c>
      <c r="M128" s="35">
        <v>1</v>
      </c>
      <c r="N128" s="34">
        <v>1</v>
      </c>
      <c r="O128" s="35">
        <f t="shared" si="26"/>
        <v>0</v>
      </c>
      <c r="P128" s="35">
        <v>154</v>
      </c>
      <c r="Q128" s="36">
        <v>46132</v>
      </c>
      <c r="R128" s="36">
        <v>46133</v>
      </c>
      <c r="S128" s="38">
        <v>9656.5</v>
      </c>
      <c r="T128" s="40">
        <v>5</v>
      </c>
      <c r="U128" s="38">
        <f t="shared" si="27"/>
        <v>482.82500000000005</v>
      </c>
      <c r="V128" s="40">
        <v>0.04</v>
      </c>
      <c r="W128" s="40">
        <v>60836</v>
      </c>
      <c r="X128" s="35" t="s">
        <v>1599</v>
      </c>
      <c r="Y128" s="35">
        <v>58164559434</v>
      </c>
      <c r="Z128" s="35" t="s">
        <v>1112</v>
      </c>
      <c r="AA128" s="41">
        <v>-20</v>
      </c>
      <c r="AB128" s="42" t="s">
        <v>826</v>
      </c>
      <c r="AC128" s="35" t="s">
        <v>824</v>
      </c>
      <c r="AD128" s="35" t="str">
        <f>VLOOKUP(X128,'Customer List'!B:C,2,)</f>
        <v>Gujrat</v>
      </c>
      <c r="AE128" s="43" t="s">
        <v>476</v>
      </c>
      <c r="AF128" s="36">
        <v>46135</v>
      </c>
      <c r="AG128" s="35">
        <f t="shared" si="28"/>
        <v>2</v>
      </c>
      <c r="AH128" s="35" t="str">
        <f t="shared" si="29"/>
        <v>Tuesday</v>
      </c>
      <c r="AI128" s="35" t="str">
        <f t="shared" si="39"/>
        <v>Thursday</v>
      </c>
      <c r="AJ128" s="35" t="str">
        <f>VLOOKUP(AC128,'Currency Sheet'!A:C,3,)</f>
        <v>DOLLAR</v>
      </c>
      <c r="AK128" s="35" t="str">
        <f>VLOOKUP(X128,'Customer List'!B:D,3,)</f>
        <v>OutStation</v>
      </c>
    </row>
    <row r="129" spans="1:37" s="44" customFormat="1" hidden="1" x14ac:dyDescent="0.25">
      <c r="A129" s="35">
        <f t="shared" si="62"/>
        <v>117</v>
      </c>
      <c r="B129" s="35" t="s">
        <v>824</v>
      </c>
      <c r="C129" s="35" t="s">
        <v>602</v>
      </c>
      <c r="D129" s="36">
        <v>46010</v>
      </c>
      <c r="E129" s="36">
        <v>46018</v>
      </c>
      <c r="F129" s="37">
        <v>53.4</v>
      </c>
      <c r="G129" s="38">
        <f t="shared" si="24"/>
        <v>4699.2</v>
      </c>
      <c r="H129" s="64">
        <f t="shared" si="25"/>
        <v>4699.2</v>
      </c>
      <c r="I129" s="35">
        <v>423101</v>
      </c>
      <c r="J129" s="62" t="s">
        <v>1559</v>
      </c>
      <c r="K129" s="34" t="s">
        <v>874</v>
      </c>
      <c r="L129" s="39">
        <v>47029</v>
      </c>
      <c r="M129" s="35">
        <v>1</v>
      </c>
      <c r="N129" s="34">
        <v>1</v>
      </c>
      <c r="O129" s="35">
        <f t="shared" si="26"/>
        <v>0</v>
      </c>
      <c r="P129" s="35">
        <v>141</v>
      </c>
      <c r="Q129" s="36">
        <v>46132</v>
      </c>
      <c r="R129" s="36">
        <v>46133</v>
      </c>
      <c r="S129" s="38">
        <v>9380.6</v>
      </c>
      <c r="T129" s="40">
        <v>5</v>
      </c>
      <c r="U129" s="38">
        <f t="shared" si="27"/>
        <v>469.03000000000003</v>
      </c>
      <c r="V129" s="40">
        <v>-0.1</v>
      </c>
      <c r="W129" s="40">
        <v>147191</v>
      </c>
      <c r="X129" s="35" t="s">
        <v>92</v>
      </c>
      <c r="Y129" s="35">
        <v>58164559084</v>
      </c>
      <c r="Z129" s="35" t="s">
        <v>1112</v>
      </c>
      <c r="AA129" s="41">
        <v>-20</v>
      </c>
      <c r="AB129" s="42" t="s">
        <v>826</v>
      </c>
      <c r="AC129" s="35" t="s">
        <v>824</v>
      </c>
      <c r="AD129" s="35" t="str">
        <f>VLOOKUP(X129,'Customer List'!B:C,2,)</f>
        <v>Kolkata</v>
      </c>
      <c r="AE129" s="43" t="s">
        <v>476</v>
      </c>
      <c r="AF129" s="36">
        <v>46134</v>
      </c>
      <c r="AG129" s="35">
        <f t="shared" si="28"/>
        <v>1</v>
      </c>
      <c r="AH129" s="35" t="str">
        <f t="shared" si="29"/>
        <v>Saturday</v>
      </c>
      <c r="AI129" s="35" t="str">
        <f t="shared" si="39"/>
        <v>Wednesday</v>
      </c>
      <c r="AJ129" s="35" t="str">
        <f>VLOOKUP(AC129,'Currency Sheet'!A:C,3,)</f>
        <v>DOLLAR</v>
      </c>
      <c r="AK129" s="35" t="str">
        <f>VLOOKUP(X129,'Customer List'!B:D,3,)</f>
        <v>OutStation</v>
      </c>
    </row>
    <row r="130" spans="1:37" hidden="1" x14ac:dyDescent="0.25">
      <c r="A130" s="62">
        <f t="shared" si="62"/>
        <v>118</v>
      </c>
      <c r="B130" s="62" t="s">
        <v>824</v>
      </c>
      <c r="C130" s="62" t="s">
        <v>602</v>
      </c>
      <c r="D130" s="6">
        <v>46010</v>
      </c>
      <c r="E130" s="6">
        <v>46018</v>
      </c>
      <c r="F130" s="63">
        <v>67.2</v>
      </c>
      <c r="G130" s="64">
        <f t="shared" si="24"/>
        <v>5913.6</v>
      </c>
      <c r="H130" s="64">
        <f t="shared" si="25"/>
        <v>94617.600000000006</v>
      </c>
      <c r="I130" s="62">
        <v>423303</v>
      </c>
      <c r="J130" s="62" t="s">
        <v>737</v>
      </c>
      <c r="K130" s="74" t="s">
        <v>875</v>
      </c>
      <c r="L130" s="10">
        <v>46661</v>
      </c>
      <c r="M130" s="62">
        <v>16</v>
      </c>
      <c r="N130" s="8"/>
      <c r="O130" s="62">
        <f t="shared" si="26"/>
        <v>16</v>
      </c>
      <c r="P130" s="62"/>
      <c r="Q130" s="6"/>
      <c r="R130" s="6"/>
      <c r="S130" s="64"/>
      <c r="T130" s="22">
        <v>5</v>
      </c>
      <c r="U130" s="64">
        <f t="shared" si="27"/>
        <v>0</v>
      </c>
      <c r="V130" s="22"/>
      <c r="W130" s="22"/>
      <c r="X130" s="62" t="s">
        <v>794</v>
      </c>
      <c r="Y130" s="62"/>
      <c r="Z130" s="62"/>
      <c r="AA130" s="65">
        <v>-20</v>
      </c>
      <c r="AB130" s="66" t="s">
        <v>826</v>
      </c>
      <c r="AC130" s="62" t="s">
        <v>824</v>
      </c>
      <c r="AD130" s="62" t="str">
        <f>VLOOKUP(X130,'Customer List'!B:C,2,)</f>
        <v>STOCK</v>
      </c>
      <c r="AE130" s="67" t="s">
        <v>476</v>
      </c>
      <c r="AF130" s="6"/>
      <c r="AG130" s="62" t="str">
        <f t="shared" si="28"/>
        <v/>
      </c>
      <c r="AH130" s="62" t="str">
        <f t="shared" si="29"/>
        <v/>
      </c>
      <c r="AI130" s="62" t="str">
        <f t="shared" si="39"/>
        <v/>
      </c>
      <c r="AJ130" s="62" t="str">
        <f>VLOOKUP(AC130,'Currency Sheet'!A:C,3,)</f>
        <v>DOLLAR</v>
      </c>
      <c r="AK130" s="62" t="str">
        <f>VLOOKUP(X130,'Customer List'!B:D,3,)</f>
        <v>STOCK</v>
      </c>
    </row>
    <row r="131" spans="1:37" hidden="1" x14ac:dyDescent="0.25">
      <c r="A131" s="62">
        <f t="shared" si="62"/>
        <v>119</v>
      </c>
      <c r="B131" s="62" t="s">
        <v>824</v>
      </c>
      <c r="C131" s="62" t="s">
        <v>602</v>
      </c>
      <c r="D131" s="6">
        <v>46010</v>
      </c>
      <c r="E131" s="6">
        <v>46018</v>
      </c>
      <c r="F131" s="63">
        <v>67.2</v>
      </c>
      <c r="G131" s="64">
        <f t="shared" ref="G131" si="63">IF(AJ131="DOLLAR",F131*88,F131)</f>
        <v>5913.6</v>
      </c>
      <c r="H131" s="64">
        <f t="shared" ref="H131" si="64">G131*M131</f>
        <v>5913.6</v>
      </c>
      <c r="I131" s="62">
        <v>423303</v>
      </c>
      <c r="J131" s="62" t="s">
        <v>737</v>
      </c>
      <c r="K131" s="74" t="s">
        <v>875</v>
      </c>
      <c r="L131" s="10">
        <v>46661</v>
      </c>
      <c r="M131" s="62">
        <v>1</v>
      </c>
      <c r="N131" s="8">
        <v>1</v>
      </c>
      <c r="O131" s="62">
        <f t="shared" ref="O131" si="65">M131-N131</f>
        <v>0</v>
      </c>
      <c r="P131" s="62">
        <v>378</v>
      </c>
      <c r="Q131" s="6">
        <v>46167</v>
      </c>
      <c r="R131" s="6">
        <v>46168</v>
      </c>
      <c r="S131" s="64">
        <v>12152</v>
      </c>
      <c r="T131" s="22">
        <v>5</v>
      </c>
      <c r="U131" s="64">
        <f t="shared" ref="U131" si="66">S131*T131%</f>
        <v>607.6</v>
      </c>
      <c r="V131" s="22">
        <v>0.11</v>
      </c>
      <c r="W131" s="22">
        <v>65507</v>
      </c>
      <c r="X131" s="62" t="s">
        <v>2891</v>
      </c>
      <c r="Y131" s="62">
        <v>58166001762</v>
      </c>
      <c r="Z131" s="62"/>
      <c r="AA131" s="65">
        <v>-20</v>
      </c>
      <c r="AB131" s="66" t="s">
        <v>826</v>
      </c>
      <c r="AC131" s="62" t="s">
        <v>824</v>
      </c>
      <c r="AD131" s="62" t="str">
        <f>VLOOKUP(X131,'Customer List'!B:C,2,)</f>
        <v>VARANASI</v>
      </c>
      <c r="AE131" s="67" t="s">
        <v>476</v>
      </c>
      <c r="AF131" s="6"/>
      <c r="AG131" s="62" t="str">
        <f t="shared" ref="AG131" si="67">IF(AF131="", "", AF131-R131)</f>
        <v/>
      </c>
      <c r="AH131" s="62" t="str">
        <f t="shared" ref="AH131" si="68">IF(S131="", "", TEXT(S131, "dddd"))</f>
        <v>Saturday</v>
      </c>
      <c r="AI131" s="62" t="str">
        <f t="shared" ref="AI131" si="69">IF(AF131="", "", TEXT(AF131, "dddd"))</f>
        <v/>
      </c>
      <c r="AJ131" s="62" t="str">
        <f>VLOOKUP(AC131,'Currency Sheet'!A:C,3,)</f>
        <v>DOLLAR</v>
      </c>
      <c r="AK131" s="62" t="str">
        <f>VLOOKUP(X131,'Customer List'!B:D,3,)</f>
        <v>OutStation</v>
      </c>
    </row>
    <row r="132" spans="1:37" s="44" customFormat="1" hidden="1" x14ac:dyDescent="0.25">
      <c r="A132" s="35">
        <f>A130+1</f>
        <v>119</v>
      </c>
      <c r="B132" s="62" t="s">
        <v>824</v>
      </c>
      <c r="C132" s="62" t="s">
        <v>602</v>
      </c>
      <c r="D132" s="6">
        <v>46010</v>
      </c>
      <c r="E132" s="6">
        <v>46018</v>
      </c>
      <c r="F132" s="63">
        <v>67.2</v>
      </c>
      <c r="G132" s="64">
        <f t="shared" si="24"/>
        <v>5913.6</v>
      </c>
      <c r="H132" s="64">
        <f t="shared" si="25"/>
        <v>11827.2</v>
      </c>
      <c r="I132" s="35">
        <v>423303</v>
      </c>
      <c r="J132" s="62" t="s">
        <v>737</v>
      </c>
      <c r="K132" s="66" t="s">
        <v>875</v>
      </c>
      <c r="L132" s="6">
        <v>46661</v>
      </c>
      <c r="M132" s="35">
        <v>2</v>
      </c>
      <c r="N132" s="34">
        <v>2</v>
      </c>
      <c r="O132" s="35">
        <f t="shared" si="26"/>
        <v>0</v>
      </c>
      <c r="P132" s="35" t="s">
        <v>2497</v>
      </c>
      <c r="Q132" s="36">
        <v>46153</v>
      </c>
      <c r="R132" s="36">
        <v>46153</v>
      </c>
      <c r="S132" s="38">
        <v>0</v>
      </c>
      <c r="T132" s="40">
        <v>5</v>
      </c>
      <c r="U132" s="38">
        <f t="shared" si="27"/>
        <v>0</v>
      </c>
      <c r="V132" s="40">
        <v>0</v>
      </c>
      <c r="W132" s="40">
        <v>0</v>
      </c>
      <c r="X132" s="35" t="s">
        <v>792</v>
      </c>
      <c r="Y132" s="35" t="s">
        <v>1105</v>
      </c>
      <c r="Z132" s="35" t="s">
        <v>1105</v>
      </c>
      <c r="AA132" s="41">
        <v>-20</v>
      </c>
      <c r="AB132" s="42" t="s">
        <v>2498</v>
      </c>
      <c r="AC132" s="35" t="s">
        <v>824</v>
      </c>
      <c r="AD132" s="35" t="str">
        <f>VLOOKUP(X132,'Customer List'!B:C,2,)</f>
        <v>Delhi</v>
      </c>
      <c r="AE132" s="43" t="s">
        <v>476</v>
      </c>
      <c r="AF132" s="36"/>
      <c r="AG132" s="35" t="str">
        <f t="shared" si="28"/>
        <v/>
      </c>
      <c r="AH132" s="35" t="str">
        <f t="shared" si="29"/>
        <v>Saturday</v>
      </c>
      <c r="AI132" s="35" t="str">
        <f t="shared" si="39"/>
        <v/>
      </c>
      <c r="AJ132" s="35" t="str">
        <f>VLOOKUP(AC132,'Currency Sheet'!A:C,3,)</f>
        <v>DOLLAR</v>
      </c>
      <c r="AK132" s="35" t="str">
        <f>VLOOKUP(X132,'Customer List'!B:D,3,)</f>
        <v>Local</v>
      </c>
    </row>
    <row r="133" spans="1:37" s="44" customFormat="1" hidden="1" x14ac:dyDescent="0.25">
      <c r="A133" s="35">
        <f t="shared" si="62"/>
        <v>120</v>
      </c>
      <c r="B133" s="35" t="s">
        <v>824</v>
      </c>
      <c r="C133" s="35" t="s">
        <v>602</v>
      </c>
      <c r="D133" s="36">
        <v>46010</v>
      </c>
      <c r="E133" s="36">
        <v>46018</v>
      </c>
      <c r="F133" s="37">
        <v>67.2</v>
      </c>
      <c r="G133" s="38">
        <f t="shared" si="24"/>
        <v>5913.6</v>
      </c>
      <c r="H133" s="64">
        <f t="shared" si="25"/>
        <v>5913.6</v>
      </c>
      <c r="I133" s="35">
        <v>423303</v>
      </c>
      <c r="J133" s="35" t="s">
        <v>737</v>
      </c>
      <c r="K133" s="75" t="s">
        <v>875</v>
      </c>
      <c r="L133" s="39">
        <v>46661</v>
      </c>
      <c r="M133" s="35">
        <v>1</v>
      </c>
      <c r="N133" s="34">
        <v>1</v>
      </c>
      <c r="O133" s="35">
        <f t="shared" si="26"/>
        <v>0</v>
      </c>
      <c r="P133" s="35">
        <v>151</v>
      </c>
      <c r="Q133" s="36">
        <v>46132</v>
      </c>
      <c r="R133" s="36">
        <v>46133</v>
      </c>
      <c r="S133" s="38">
        <v>17360</v>
      </c>
      <c r="T133" s="40">
        <v>5</v>
      </c>
      <c r="U133" s="38">
        <f t="shared" si="27"/>
        <v>868</v>
      </c>
      <c r="V133" s="40">
        <v>0</v>
      </c>
      <c r="W133" s="40">
        <v>101610</v>
      </c>
      <c r="X133" s="35" t="s">
        <v>1098</v>
      </c>
      <c r="Y133" s="35">
        <v>58164559703</v>
      </c>
      <c r="Z133" s="35" t="s">
        <v>1112</v>
      </c>
      <c r="AA133" s="41">
        <v>-20</v>
      </c>
      <c r="AB133" s="42" t="s">
        <v>826</v>
      </c>
      <c r="AC133" s="35" t="s">
        <v>824</v>
      </c>
      <c r="AD133" s="35" t="str">
        <f>VLOOKUP(X133,'Customer List'!B:C,2,)</f>
        <v>Banglore</v>
      </c>
      <c r="AE133" s="43" t="s">
        <v>476</v>
      </c>
      <c r="AF133" s="36">
        <v>46134</v>
      </c>
      <c r="AG133" s="35">
        <f t="shared" si="28"/>
        <v>1</v>
      </c>
      <c r="AH133" s="35" t="str">
        <f t="shared" si="29"/>
        <v>Saturday</v>
      </c>
      <c r="AI133" s="35" t="str">
        <f t="shared" si="39"/>
        <v>Wednesday</v>
      </c>
      <c r="AJ133" s="35" t="str">
        <f>VLOOKUP(AC133,'Currency Sheet'!A:C,3,)</f>
        <v>DOLLAR</v>
      </c>
      <c r="AK133" s="35" t="str">
        <f>VLOOKUP(X133,'Customer List'!B:D,3,)</f>
        <v>OutStation</v>
      </c>
    </row>
    <row r="134" spans="1:37" hidden="1" x14ac:dyDescent="0.25">
      <c r="A134" s="62">
        <f t="shared" si="62"/>
        <v>121</v>
      </c>
      <c r="B134" s="62" t="s">
        <v>824</v>
      </c>
      <c r="C134" s="62" t="s">
        <v>602</v>
      </c>
      <c r="D134" s="6">
        <v>46010</v>
      </c>
      <c r="E134" s="6">
        <v>46018</v>
      </c>
      <c r="F134" s="63">
        <v>165.6</v>
      </c>
      <c r="G134" s="64">
        <f t="shared" si="24"/>
        <v>14572.8</v>
      </c>
      <c r="H134" s="64">
        <f t="shared" si="25"/>
        <v>233164.79999999999</v>
      </c>
      <c r="I134" s="62">
        <v>426803</v>
      </c>
      <c r="J134" s="62"/>
      <c r="K134" s="8" t="s">
        <v>876</v>
      </c>
      <c r="L134" s="10">
        <v>46562</v>
      </c>
      <c r="M134" s="62">
        <v>16</v>
      </c>
      <c r="N134" s="8"/>
      <c r="O134" s="62">
        <f t="shared" si="26"/>
        <v>16</v>
      </c>
      <c r="P134" s="62"/>
      <c r="Q134" s="6"/>
      <c r="R134" s="6"/>
      <c r="S134" s="64"/>
      <c r="T134" s="22">
        <v>5</v>
      </c>
      <c r="U134" s="64">
        <f t="shared" si="27"/>
        <v>0</v>
      </c>
      <c r="V134" s="22"/>
      <c r="W134" s="22"/>
      <c r="X134" s="62" t="s">
        <v>794</v>
      </c>
      <c r="Y134" s="62"/>
      <c r="Z134" s="62"/>
      <c r="AA134" s="65">
        <v>4</v>
      </c>
      <c r="AB134" s="66" t="s">
        <v>826</v>
      </c>
      <c r="AC134" s="62" t="s">
        <v>824</v>
      </c>
      <c r="AD134" s="62" t="str">
        <f>VLOOKUP(X134,'Customer List'!B:C,2,)</f>
        <v>STOCK</v>
      </c>
      <c r="AE134" s="67" t="s">
        <v>476</v>
      </c>
      <c r="AF134" s="6"/>
      <c r="AG134" s="62" t="str">
        <f t="shared" si="28"/>
        <v/>
      </c>
      <c r="AH134" s="62" t="str">
        <f t="shared" si="29"/>
        <v/>
      </c>
      <c r="AI134" s="62" t="str">
        <f t="shared" si="39"/>
        <v/>
      </c>
      <c r="AJ134" s="62" t="str">
        <f>VLOOKUP(AC134,'Currency Sheet'!A:C,3,)</f>
        <v>DOLLAR</v>
      </c>
      <c r="AK134" s="62" t="str">
        <f>VLOOKUP(X134,'Customer List'!B:D,3,)</f>
        <v>STOCK</v>
      </c>
    </row>
    <row r="135" spans="1:37" hidden="1" x14ac:dyDescent="0.25">
      <c r="A135" s="62">
        <f t="shared" si="62"/>
        <v>122</v>
      </c>
      <c r="B135" s="62" t="s">
        <v>824</v>
      </c>
      <c r="C135" s="62" t="s">
        <v>602</v>
      </c>
      <c r="D135" s="6">
        <v>46010</v>
      </c>
      <c r="E135" s="6">
        <v>46018</v>
      </c>
      <c r="F135" s="63">
        <v>165.6</v>
      </c>
      <c r="G135" s="64">
        <f t="shared" ref="G135" si="70">IF(AJ135="DOLLAR",F135*88,F135)</f>
        <v>14572.8</v>
      </c>
      <c r="H135" s="64">
        <f t="shared" ref="H135" si="71">G135*M135</f>
        <v>14572.8</v>
      </c>
      <c r="I135" s="62">
        <v>426803</v>
      </c>
      <c r="J135" s="62"/>
      <c r="K135" s="8" t="s">
        <v>876</v>
      </c>
      <c r="L135" s="10">
        <v>46562</v>
      </c>
      <c r="M135" s="62">
        <v>1</v>
      </c>
      <c r="N135" s="8">
        <v>1</v>
      </c>
      <c r="O135" s="62">
        <f t="shared" ref="O135" si="72">M135-N135</f>
        <v>0</v>
      </c>
      <c r="P135" s="62">
        <v>385</v>
      </c>
      <c r="Q135" s="6">
        <v>46167</v>
      </c>
      <c r="R135" s="6">
        <v>46168</v>
      </c>
      <c r="S135" s="64">
        <v>29946</v>
      </c>
      <c r="T135" s="22">
        <v>5</v>
      </c>
      <c r="U135" s="64">
        <f t="shared" ref="U135" si="73">S135*T135%</f>
        <v>1497.3000000000002</v>
      </c>
      <c r="V135" s="22">
        <v>0</v>
      </c>
      <c r="W135" s="22">
        <v>397797</v>
      </c>
      <c r="X135" s="62" t="s">
        <v>2892</v>
      </c>
      <c r="Y135" s="62">
        <v>58166004013</v>
      </c>
      <c r="Z135" s="62"/>
      <c r="AA135" s="65">
        <v>4</v>
      </c>
      <c r="AB135" s="66" t="s">
        <v>826</v>
      </c>
      <c r="AC135" s="62" t="s">
        <v>824</v>
      </c>
      <c r="AD135" s="62" t="str">
        <f>VLOOKUP(X135,'Customer List'!B:C,2,)</f>
        <v>Pune</v>
      </c>
      <c r="AE135" s="67" t="s">
        <v>476</v>
      </c>
      <c r="AF135" s="6"/>
      <c r="AG135" s="62" t="str">
        <f t="shared" ref="AG135" si="74">IF(AF135="", "", AF135-R135)</f>
        <v/>
      </c>
      <c r="AH135" s="62" t="str">
        <f t="shared" ref="AH135" si="75">IF(S135="", "", TEXT(S135, "dddd"))</f>
        <v>Saturday</v>
      </c>
      <c r="AI135" s="62" t="str">
        <f t="shared" ref="AI135" si="76">IF(AF135="", "", TEXT(AF135, "dddd"))</f>
        <v/>
      </c>
      <c r="AJ135" s="62" t="str">
        <f>VLOOKUP(AC135,'Currency Sheet'!A:C,3,)</f>
        <v>DOLLAR</v>
      </c>
      <c r="AK135" s="62" t="str">
        <f>VLOOKUP(X135,'Customer List'!B:D,3,)</f>
        <v>OutStation</v>
      </c>
    </row>
    <row r="136" spans="1:37" s="44" customFormat="1" hidden="1" x14ac:dyDescent="0.25">
      <c r="A136" s="35">
        <f>A134+1</f>
        <v>122</v>
      </c>
      <c r="B136" s="35" t="s">
        <v>824</v>
      </c>
      <c r="C136" s="35" t="s">
        <v>602</v>
      </c>
      <c r="D136" s="36">
        <v>46010</v>
      </c>
      <c r="E136" s="36">
        <v>46018</v>
      </c>
      <c r="F136" s="37">
        <v>165.6</v>
      </c>
      <c r="G136" s="38">
        <f t="shared" si="24"/>
        <v>14572.8</v>
      </c>
      <c r="H136" s="64">
        <f t="shared" si="25"/>
        <v>14572.8</v>
      </c>
      <c r="I136" s="35">
        <v>426803</v>
      </c>
      <c r="J136" s="35"/>
      <c r="K136" s="34" t="s">
        <v>876</v>
      </c>
      <c r="L136" s="39">
        <v>46562</v>
      </c>
      <c r="M136" s="35">
        <v>1</v>
      </c>
      <c r="N136" s="34">
        <v>1</v>
      </c>
      <c r="O136" s="35">
        <f t="shared" si="26"/>
        <v>0</v>
      </c>
      <c r="P136" s="35" t="s">
        <v>1378</v>
      </c>
      <c r="Q136" s="36">
        <v>46120</v>
      </c>
      <c r="R136" s="36">
        <v>46120</v>
      </c>
      <c r="S136" s="38">
        <v>0</v>
      </c>
      <c r="T136" s="40">
        <v>0</v>
      </c>
      <c r="U136" s="38">
        <f t="shared" si="27"/>
        <v>0</v>
      </c>
      <c r="V136" s="40">
        <v>0</v>
      </c>
      <c r="W136" s="40">
        <v>0</v>
      </c>
      <c r="X136" s="35" t="s">
        <v>797</v>
      </c>
      <c r="Y136" s="35" t="s">
        <v>1120</v>
      </c>
      <c r="Z136" s="35" t="s">
        <v>821</v>
      </c>
      <c r="AA136" s="41">
        <v>4</v>
      </c>
      <c r="AB136" s="42" t="s">
        <v>46</v>
      </c>
      <c r="AC136" s="35" t="s">
        <v>824</v>
      </c>
      <c r="AD136" s="35" t="str">
        <f>VLOOKUP(X136,'Customer List'!B:C,2,)</f>
        <v>Delhi</v>
      </c>
      <c r="AE136" s="43" t="s">
        <v>476</v>
      </c>
      <c r="AF136" s="36"/>
      <c r="AG136" s="35" t="str">
        <f t="shared" si="28"/>
        <v/>
      </c>
      <c r="AH136" s="35" t="str">
        <f t="shared" si="29"/>
        <v>Saturday</v>
      </c>
      <c r="AI136" s="35" t="str">
        <f t="shared" ref="AI136:AI167" si="77">IF(AF136="", "", TEXT(AF136, "dddd"))</f>
        <v/>
      </c>
      <c r="AJ136" s="35" t="str">
        <f>VLOOKUP(AC136,'Currency Sheet'!A:C,3,)</f>
        <v>DOLLAR</v>
      </c>
      <c r="AK136" s="35" t="str">
        <f>VLOOKUP(X136,'Customer List'!B:D,3,)</f>
        <v>Local</v>
      </c>
    </row>
    <row r="137" spans="1:37" s="44" customFormat="1" hidden="1" x14ac:dyDescent="0.25">
      <c r="A137" s="35">
        <f t="shared" si="62"/>
        <v>123</v>
      </c>
      <c r="B137" s="35" t="s">
        <v>824</v>
      </c>
      <c r="C137" s="35" t="s">
        <v>602</v>
      </c>
      <c r="D137" s="36">
        <v>46010</v>
      </c>
      <c r="E137" s="36">
        <v>46018</v>
      </c>
      <c r="F137" s="37">
        <v>165.6</v>
      </c>
      <c r="G137" s="38">
        <f t="shared" si="24"/>
        <v>14572.8</v>
      </c>
      <c r="H137" s="64">
        <f t="shared" si="25"/>
        <v>14572.8</v>
      </c>
      <c r="I137" s="35">
        <v>426803</v>
      </c>
      <c r="J137" s="35"/>
      <c r="K137" s="34"/>
      <c r="L137" s="39"/>
      <c r="M137" s="35">
        <v>1</v>
      </c>
      <c r="N137" s="34">
        <v>1</v>
      </c>
      <c r="O137" s="35">
        <f t="shared" si="26"/>
        <v>0</v>
      </c>
      <c r="P137" s="35" t="s">
        <v>1115</v>
      </c>
      <c r="Q137" s="36">
        <v>46112</v>
      </c>
      <c r="R137" s="36">
        <v>46119</v>
      </c>
      <c r="S137" s="38">
        <v>27807</v>
      </c>
      <c r="T137" s="40">
        <v>5</v>
      </c>
      <c r="U137" s="38">
        <f t="shared" si="27"/>
        <v>1390.3500000000001</v>
      </c>
      <c r="V137" s="40">
        <v>0.39</v>
      </c>
      <c r="W137" s="40">
        <v>714595</v>
      </c>
      <c r="X137" s="35" t="s">
        <v>796</v>
      </c>
      <c r="Y137" s="35">
        <v>58163967256</v>
      </c>
      <c r="Z137" s="35" t="s">
        <v>1112</v>
      </c>
      <c r="AA137" s="41">
        <v>4</v>
      </c>
      <c r="AB137" s="42" t="s">
        <v>826</v>
      </c>
      <c r="AC137" s="35" t="s">
        <v>824</v>
      </c>
      <c r="AD137" s="35" t="str">
        <f>VLOOKUP(X137,'Customer List'!B:C,2,)</f>
        <v>Jodhpur</v>
      </c>
      <c r="AE137" s="43" t="s">
        <v>476</v>
      </c>
      <c r="AF137" s="36">
        <v>46121</v>
      </c>
      <c r="AG137" s="35">
        <f t="shared" si="28"/>
        <v>2</v>
      </c>
      <c r="AH137" s="35" t="str">
        <f t="shared" si="29"/>
        <v>Tuesday</v>
      </c>
      <c r="AI137" s="35" t="str">
        <f t="shared" si="77"/>
        <v>Thursday</v>
      </c>
      <c r="AJ137" s="35" t="str">
        <f>VLOOKUP(AC137,'Currency Sheet'!A:C,3,)</f>
        <v>DOLLAR</v>
      </c>
      <c r="AK137" s="35" t="str">
        <f>VLOOKUP(X137,'Customer List'!B:D,3,)</f>
        <v>OutStation</v>
      </c>
    </row>
    <row r="138" spans="1:37" hidden="1" x14ac:dyDescent="0.25">
      <c r="A138" s="62">
        <f t="shared" si="62"/>
        <v>124</v>
      </c>
      <c r="B138" s="62" t="s">
        <v>824</v>
      </c>
      <c r="C138" s="62" t="s">
        <v>602</v>
      </c>
      <c r="D138" s="6">
        <v>46010</v>
      </c>
      <c r="E138" s="6">
        <v>46018</v>
      </c>
      <c r="F138" s="63">
        <v>151.80000000000001</v>
      </c>
      <c r="G138" s="64">
        <f t="shared" ref="G138:G201" si="78">IF(AJ138="DOLLAR",F138*88,F138)</f>
        <v>13358.400000000001</v>
      </c>
      <c r="H138" s="64">
        <f t="shared" ref="H138:H201" si="79">G138*M138</f>
        <v>240451.20000000001</v>
      </c>
      <c r="I138" s="62">
        <v>640914</v>
      </c>
      <c r="J138" s="62" t="s">
        <v>738</v>
      </c>
      <c r="K138" s="8" t="s">
        <v>877</v>
      </c>
      <c r="L138" s="10">
        <v>46429</v>
      </c>
      <c r="M138" s="62">
        <v>18</v>
      </c>
      <c r="N138" s="8"/>
      <c r="O138" s="62">
        <f t="shared" ref="O138:O201" si="80">M138-N138</f>
        <v>18</v>
      </c>
      <c r="P138" s="62"/>
      <c r="Q138" s="6"/>
      <c r="R138" s="6"/>
      <c r="S138" s="64"/>
      <c r="T138" s="22">
        <v>5</v>
      </c>
      <c r="U138" s="64">
        <f t="shared" ref="U138:U201" si="81">S138*T138%</f>
        <v>0</v>
      </c>
      <c r="V138" s="22"/>
      <c r="W138" s="22"/>
      <c r="X138" s="62" t="s">
        <v>794</v>
      </c>
      <c r="Y138" s="62"/>
      <c r="Z138" s="62"/>
      <c r="AA138" s="65">
        <v>4</v>
      </c>
      <c r="AB138" s="66" t="s">
        <v>826</v>
      </c>
      <c r="AC138" s="62" t="s">
        <v>824</v>
      </c>
      <c r="AD138" s="62" t="str">
        <f>VLOOKUP(X138,'Customer List'!B:C,2,)</f>
        <v>STOCK</v>
      </c>
      <c r="AE138" s="67" t="s">
        <v>476</v>
      </c>
      <c r="AF138" s="6"/>
      <c r="AG138" s="62" t="str">
        <f t="shared" ref="AG138:AG201" si="82">IF(AF138="", "", AF138-R138)</f>
        <v/>
      </c>
      <c r="AH138" s="62" t="str">
        <f t="shared" ref="AH138:AH201" si="83">IF(S138="", "", TEXT(S138, "dddd"))</f>
        <v/>
      </c>
      <c r="AI138" s="62" t="str">
        <f t="shared" si="77"/>
        <v/>
      </c>
      <c r="AJ138" s="62" t="str">
        <f>VLOOKUP(AC138,'Currency Sheet'!A:C,3,)</f>
        <v>DOLLAR</v>
      </c>
      <c r="AK138" s="62" t="str">
        <f>VLOOKUP(X138,'Customer List'!B:D,3,)</f>
        <v>STOCK</v>
      </c>
    </row>
    <row r="139" spans="1:37" hidden="1" x14ac:dyDescent="0.25">
      <c r="A139" s="62">
        <f t="shared" si="62"/>
        <v>125</v>
      </c>
      <c r="B139" s="62" t="s">
        <v>824</v>
      </c>
      <c r="C139" s="62" t="s">
        <v>602</v>
      </c>
      <c r="D139" s="6">
        <v>46010</v>
      </c>
      <c r="E139" s="6">
        <v>46018</v>
      </c>
      <c r="F139" s="63">
        <v>160.19999999999999</v>
      </c>
      <c r="G139" s="64">
        <f t="shared" si="78"/>
        <v>14097.599999999999</v>
      </c>
      <c r="H139" s="64">
        <f t="shared" si="79"/>
        <v>281952</v>
      </c>
      <c r="I139" s="62">
        <v>640932</v>
      </c>
      <c r="J139" s="62"/>
      <c r="K139" s="8" t="s">
        <v>878</v>
      </c>
      <c r="L139" s="10">
        <v>46429</v>
      </c>
      <c r="M139" s="62">
        <v>20</v>
      </c>
      <c r="N139" s="8"/>
      <c r="O139" s="62">
        <f t="shared" si="80"/>
        <v>20</v>
      </c>
      <c r="P139" s="62"/>
      <c r="Q139" s="6"/>
      <c r="R139" s="6"/>
      <c r="S139" s="64"/>
      <c r="T139" s="22">
        <v>5</v>
      </c>
      <c r="U139" s="64">
        <f t="shared" si="81"/>
        <v>0</v>
      </c>
      <c r="V139" s="22"/>
      <c r="W139" s="22"/>
      <c r="X139" s="62" t="s">
        <v>794</v>
      </c>
      <c r="Y139" s="62"/>
      <c r="Z139" s="62"/>
      <c r="AA139" s="65">
        <v>4</v>
      </c>
      <c r="AB139" s="66" t="s">
        <v>826</v>
      </c>
      <c r="AC139" s="62" t="s">
        <v>824</v>
      </c>
      <c r="AD139" s="62" t="str">
        <f>VLOOKUP(X139,'Customer List'!B:C,2,)</f>
        <v>STOCK</v>
      </c>
      <c r="AE139" s="67" t="s">
        <v>476</v>
      </c>
      <c r="AF139" s="6"/>
      <c r="AG139" s="62" t="str">
        <f t="shared" si="82"/>
        <v/>
      </c>
      <c r="AH139" s="62" t="str">
        <f t="shared" si="83"/>
        <v/>
      </c>
      <c r="AI139" s="62" t="str">
        <f t="shared" si="77"/>
        <v/>
      </c>
      <c r="AJ139" s="62" t="str">
        <f>VLOOKUP(AC139,'Currency Sheet'!A:C,3,)</f>
        <v>DOLLAR</v>
      </c>
      <c r="AK139" s="62" t="str">
        <f>VLOOKUP(X139,'Customer List'!B:D,3,)</f>
        <v>STOCK</v>
      </c>
    </row>
    <row r="140" spans="1:37" hidden="1" x14ac:dyDescent="0.25">
      <c r="A140" s="62">
        <f t="shared" si="62"/>
        <v>126</v>
      </c>
      <c r="B140" s="62" t="s">
        <v>824</v>
      </c>
      <c r="C140" s="62" t="s">
        <v>603</v>
      </c>
      <c r="D140" s="6">
        <v>46014</v>
      </c>
      <c r="E140" s="6">
        <v>46021</v>
      </c>
      <c r="F140" s="63">
        <v>181.8</v>
      </c>
      <c r="G140" s="64">
        <f t="shared" si="78"/>
        <v>15998.400000000001</v>
      </c>
      <c r="H140" s="64">
        <f t="shared" si="79"/>
        <v>15998.400000000001</v>
      </c>
      <c r="I140" s="62">
        <v>353008</v>
      </c>
      <c r="J140" s="62" t="s">
        <v>739</v>
      </c>
      <c r="K140" s="8"/>
      <c r="L140" s="10"/>
      <c r="M140" s="62">
        <v>1</v>
      </c>
      <c r="N140" s="8"/>
      <c r="O140" s="62">
        <f t="shared" si="80"/>
        <v>1</v>
      </c>
      <c r="P140" s="62"/>
      <c r="Q140" s="6"/>
      <c r="R140" s="6"/>
      <c r="S140" s="64">
        <v>28179</v>
      </c>
      <c r="T140" s="22">
        <v>5</v>
      </c>
      <c r="U140" s="64">
        <f t="shared" si="81"/>
        <v>1408.95</v>
      </c>
      <c r="V140" s="22"/>
      <c r="W140" s="22"/>
      <c r="X140" s="62" t="s">
        <v>795</v>
      </c>
      <c r="Y140" s="62"/>
      <c r="Z140" s="62"/>
      <c r="AA140" s="65">
        <v>4</v>
      </c>
      <c r="AB140" s="66"/>
      <c r="AC140" s="62" t="s">
        <v>824</v>
      </c>
      <c r="AD140" s="62" t="str">
        <f>VLOOKUP(X140,'Customer List'!B:C,2,)</f>
        <v>Banglore</v>
      </c>
      <c r="AE140" s="67" t="s">
        <v>833</v>
      </c>
      <c r="AF140" s="6"/>
      <c r="AG140" s="62" t="str">
        <f t="shared" si="82"/>
        <v/>
      </c>
      <c r="AH140" s="62" t="str">
        <f t="shared" si="83"/>
        <v>Wednesday</v>
      </c>
      <c r="AI140" s="62" t="str">
        <f t="shared" si="77"/>
        <v/>
      </c>
      <c r="AJ140" s="62" t="str">
        <f>VLOOKUP(AC140,'Currency Sheet'!A:C,3,)</f>
        <v>DOLLAR</v>
      </c>
      <c r="AK140" s="62" t="str">
        <f>VLOOKUP(X140,'Customer List'!B:D,3,)</f>
        <v>OutStation</v>
      </c>
    </row>
    <row r="141" spans="1:37" hidden="1" x14ac:dyDescent="0.25">
      <c r="A141" s="62">
        <f t="shared" si="62"/>
        <v>127</v>
      </c>
      <c r="B141" s="62" t="s">
        <v>824</v>
      </c>
      <c r="C141" s="62" t="s">
        <v>603</v>
      </c>
      <c r="D141" s="6">
        <v>46014</v>
      </c>
      <c r="E141" s="6">
        <v>46021</v>
      </c>
      <c r="F141" s="63">
        <v>49.8</v>
      </c>
      <c r="G141" s="64">
        <f t="shared" si="78"/>
        <v>4382.3999999999996</v>
      </c>
      <c r="H141" s="64">
        <f t="shared" si="79"/>
        <v>70118.399999999994</v>
      </c>
      <c r="I141" s="62">
        <v>423113</v>
      </c>
      <c r="J141" s="62" t="s">
        <v>740</v>
      </c>
      <c r="K141" s="8" t="s">
        <v>882</v>
      </c>
      <c r="L141" s="10">
        <v>46556</v>
      </c>
      <c r="M141" s="62">
        <v>16</v>
      </c>
      <c r="N141" s="8"/>
      <c r="O141" s="62">
        <f t="shared" si="80"/>
        <v>16</v>
      </c>
      <c r="P141" s="62"/>
      <c r="Q141" s="6"/>
      <c r="R141" s="6"/>
      <c r="S141" s="64"/>
      <c r="T141" s="22">
        <v>5</v>
      </c>
      <c r="U141" s="64">
        <f t="shared" si="81"/>
        <v>0</v>
      </c>
      <c r="V141" s="22"/>
      <c r="W141" s="22"/>
      <c r="X141" s="62" t="s">
        <v>794</v>
      </c>
      <c r="Y141" s="62"/>
      <c r="Z141" s="62"/>
      <c r="AA141" s="65">
        <v>-20</v>
      </c>
      <c r="AB141" s="66"/>
      <c r="AC141" s="62" t="s">
        <v>824</v>
      </c>
      <c r="AD141" s="62" t="str">
        <f>VLOOKUP(X141,'Customer List'!B:C,2,)</f>
        <v>STOCK</v>
      </c>
      <c r="AE141" s="67" t="s">
        <v>476</v>
      </c>
      <c r="AF141" s="6"/>
      <c r="AG141" s="62" t="str">
        <f t="shared" si="82"/>
        <v/>
      </c>
      <c r="AH141" s="62" t="str">
        <f t="shared" si="83"/>
        <v/>
      </c>
      <c r="AI141" s="62" t="str">
        <f t="shared" si="77"/>
        <v/>
      </c>
      <c r="AJ141" s="62" t="str">
        <f>VLOOKUP(AC141,'Currency Sheet'!A:C,3,)</f>
        <v>DOLLAR</v>
      </c>
      <c r="AK141" s="62" t="str">
        <f>VLOOKUP(X141,'Customer List'!B:D,3,)</f>
        <v>STOCK</v>
      </c>
    </row>
    <row r="142" spans="1:37" hidden="1" x14ac:dyDescent="0.25">
      <c r="A142" s="62">
        <f t="shared" si="62"/>
        <v>128</v>
      </c>
      <c r="B142" s="62" t="s">
        <v>824</v>
      </c>
      <c r="C142" s="62" t="s">
        <v>603</v>
      </c>
      <c r="D142" s="6">
        <v>46014</v>
      </c>
      <c r="E142" s="6">
        <v>46021</v>
      </c>
      <c r="F142" s="63">
        <v>99</v>
      </c>
      <c r="G142" s="64">
        <f t="shared" si="78"/>
        <v>8712</v>
      </c>
      <c r="H142" s="64">
        <f t="shared" si="79"/>
        <v>156816</v>
      </c>
      <c r="I142" s="62">
        <v>424401</v>
      </c>
      <c r="J142" s="62" t="s">
        <v>741</v>
      </c>
      <c r="K142" s="8" t="s">
        <v>879</v>
      </c>
      <c r="L142" s="10">
        <v>46379</v>
      </c>
      <c r="M142" s="62">
        <v>18</v>
      </c>
      <c r="N142" s="8"/>
      <c r="O142" s="62">
        <f t="shared" si="80"/>
        <v>18</v>
      </c>
      <c r="P142" s="62"/>
      <c r="Q142" s="6"/>
      <c r="R142" s="6"/>
      <c r="S142" s="64"/>
      <c r="T142" s="22">
        <v>5</v>
      </c>
      <c r="U142" s="64">
        <f t="shared" si="81"/>
        <v>0</v>
      </c>
      <c r="V142" s="22"/>
      <c r="W142" s="22"/>
      <c r="X142" s="62" t="s">
        <v>794</v>
      </c>
      <c r="Y142" s="62"/>
      <c r="Z142" s="62"/>
      <c r="AA142" s="65">
        <v>4</v>
      </c>
      <c r="AB142" s="66"/>
      <c r="AC142" s="62" t="s">
        <v>824</v>
      </c>
      <c r="AD142" s="62" t="str">
        <f>VLOOKUP(X142,'Customer List'!B:C,2,)</f>
        <v>STOCK</v>
      </c>
      <c r="AE142" s="67" t="s">
        <v>476</v>
      </c>
      <c r="AF142" s="6"/>
      <c r="AG142" s="62" t="str">
        <f t="shared" si="82"/>
        <v/>
      </c>
      <c r="AH142" s="62" t="str">
        <f t="shared" si="83"/>
        <v/>
      </c>
      <c r="AI142" s="62" t="str">
        <f t="shared" si="77"/>
        <v/>
      </c>
      <c r="AJ142" s="62" t="str">
        <f>VLOOKUP(AC142,'Currency Sheet'!A:C,3,)</f>
        <v>DOLLAR</v>
      </c>
      <c r="AK142" s="62" t="str">
        <f>VLOOKUP(X142,'Customer List'!B:D,3,)</f>
        <v>STOCK</v>
      </c>
    </row>
    <row r="143" spans="1:37" s="44" customFormat="1" hidden="1" x14ac:dyDescent="0.25">
      <c r="A143" s="35">
        <f t="shared" si="62"/>
        <v>129</v>
      </c>
      <c r="B143" s="35" t="s">
        <v>824</v>
      </c>
      <c r="C143" s="35" t="s">
        <v>603</v>
      </c>
      <c r="D143" s="36">
        <v>46014</v>
      </c>
      <c r="E143" s="36">
        <v>46021</v>
      </c>
      <c r="F143" s="37">
        <v>222</v>
      </c>
      <c r="G143" s="38">
        <f t="shared" si="78"/>
        <v>19536</v>
      </c>
      <c r="H143" s="64">
        <f t="shared" si="79"/>
        <v>58608</v>
      </c>
      <c r="I143" s="35">
        <v>626812</v>
      </c>
      <c r="J143" s="35" t="s">
        <v>742</v>
      </c>
      <c r="K143" s="34" t="s">
        <v>880</v>
      </c>
      <c r="L143" s="39">
        <v>47528</v>
      </c>
      <c r="M143" s="35">
        <v>3</v>
      </c>
      <c r="N143" s="34">
        <v>3</v>
      </c>
      <c r="O143" s="35">
        <f t="shared" si="80"/>
        <v>0</v>
      </c>
      <c r="P143" s="35">
        <v>9</v>
      </c>
      <c r="Q143" s="36">
        <v>46115</v>
      </c>
      <c r="R143" s="36">
        <v>46116</v>
      </c>
      <c r="S143" s="38">
        <v>111832.5</v>
      </c>
      <c r="T143" s="40">
        <v>5</v>
      </c>
      <c r="U143" s="38">
        <f t="shared" si="81"/>
        <v>5591.625</v>
      </c>
      <c r="V143" s="40">
        <v>-0.13</v>
      </c>
      <c r="W143" s="40">
        <v>117424</v>
      </c>
      <c r="X143" s="35" t="s">
        <v>233</v>
      </c>
      <c r="Y143" s="35">
        <v>58163864942</v>
      </c>
      <c r="Z143" s="35" t="s">
        <v>1112</v>
      </c>
      <c r="AA143" s="41">
        <v>4</v>
      </c>
      <c r="AB143" s="42"/>
      <c r="AC143" s="35" t="s">
        <v>824</v>
      </c>
      <c r="AD143" s="35" t="str">
        <f>VLOOKUP(X143,'Customer List'!B:C,2,)</f>
        <v>Banglore</v>
      </c>
      <c r="AE143" s="43" t="s">
        <v>476</v>
      </c>
      <c r="AF143" s="36">
        <v>46118</v>
      </c>
      <c r="AG143" s="35">
        <f t="shared" si="82"/>
        <v>2</v>
      </c>
      <c r="AH143" s="35" t="str">
        <f t="shared" si="83"/>
        <v>Saturday</v>
      </c>
      <c r="AI143" s="35" t="str">
        <f t="shared" si="77"/>
        <v>Monday</v>
      </c>
      <c r="AJ143" s="35" t="str">
        <f>VLOOKUP(AC143,'Currency Sheet'!A:C,3,)</f>
        <v>DOLLAR</v>
      </c>
      <c r="AK143" s="35" t="str">
        <f>VLOOKUP(X143,'Customer List'!B:D,3,)</f>
        <v>OutStation</v>
      </c>
    </row>
    <row r="144" spans="1:37" hidden="1" x14ac:dyDescent="0.25">
      <c r="A144" s="62">
        <f t="shared" si="62"/>
        <v>130</v>
      </c>
      <c r="B144" s="62" t="s">
        <v>324</v>
      </c>
      <c r="C144" s="62" t="s">
        <v>604</v>
      </c>
      <c r="D144" s="6">
        <v>46022</v>
      </c>
      <c r="E144" s="6">
        <v>46028</v>
      </c>
      <c r="F144" s="63">
        <v>12000</v>
      </c>
      <c r="G144" s="64">
        <f t="shared" si="78"/>
        <v>12000</v>
      </c>
      <c r="H144" s="64">
        <f t="shared" si="79"/>
        <v>24000</v>
      </c>
      <c r="I144" s="62" t="s">
        <v>656</v>
      </c>
      <c r="J144" s="62"/>
      <c r="K144" s="8"/>
      <c r="L144" s="10"/>
      <c r="M144" s="62">
        <v>2</v>
      </c>
      <c r="N144" s="8"/>
      <c r="O144" s="62">
        <f t="shared" si="80"/>
        <v>2</v>
      </c>
      <c r="P144" s="62"/>
      <c r="Q144" s="6"/>
      <c r="R144" s="6"/>
      <c r="S144" s="64"/>
      <c r="T144" s="22">
        <v>5</v>
      </c>
      <c r="U144" s="64">
        <f t="shared" si="81"/>
        <v>0</v>
      </c>
      <c r="V144" s="22"/>
      <c r="W144" s="22"/>
      <c r="X144" s="62" t="s">
        <v>257</v>
      </c>
      <c r="Y144" s="62"/>
      <c r="Z144" s="62"/>
      <c r="AA144" s="65" t="s">
        <v>808</v>
      </c>
      <c r="AB144" s="66"/>
      <c r="AC144" s="62" t="s">
        <v>324</v>
      </c>
      <c r="AD144" s="62" t="str">
        <f>VLOOKUP(X144,'Customer List'!B:C,2,)</f>
        <v>STOCK</v>
      </c>
      <c r="AE144" s="67" t="s">
        <v>257</v>
      </c>
      <c r="AF144" s="6"/>
      <c r="AG144" s="62" t="str">
        <f t="shared" si="82"/>
        <v/>
      </c>
      <c r="AH144" s="62" t="str">
        <f t="shared" si="83"/>
        <v/>
      </c>
      <c r="AI144" s="62" t="str">
        <f t="shared" si="77"/>
        <v/>
      </c>
      <c r="AJ144" s="62" t="str">
        <f>VLOOKUP(AC144,'Currency Sheet'!A:C,3,)</f>
        <v>INR</v>
      </c>
      <c r="AK144" s="62" t="str">
        <f>VLOOKUP(X144,'Customer List'!B:D,3,)</f>
        <v>STOCK</v>
      </c>
    </row>
    <row r="145" spans="1:37" hidden="1" x14ac:dyDescent="0.25">
      <c r="A145" s="62">
        <f t="shared" si="62"/>
        <v>131</v>
      </c>
      <c r="B145" s="62" t="s">
        <v>324</v>
      </c>
      <c r="C145" s="62" t="s">
        <v>604</v>
      </c>
      <c r="D145" s="6">
        <v>46022</v>
      </c>
      <c r="E145" s="6">
        <v>46028</v>
      </c>
      <c r="F145" s="63">
        <v>3345.6</v>
      </c>
      <c r="G145" s="64">
        <f t="shared" si="78"/>
        <v>3345.6</v>
      </c>
      <c r="H145" s="64">
        <f t="shared" si="79"/>
        <v>6691.2</v>
      </c>
      <c r="I145" s="62" t="s">
        <v>634</v>
      </c>
      <c r="J145" s="62"/>
      <c r="K145" s="8"/>
      <c r="L145" s="10"/>
      <c r="M145" s="62">
        <v>2</v>
      </c>
      <c r="N145" s="8"/>
      <c r="O145" s="62">
        <f t="shared" si="80"/>
        <v>2</v>
      </c>
      <c r="P145" s="62"/>
      <c r="Q145" s="6"/>
      <c r="R145" s="6"/>
      <c r="S145" s="64"/>
      <c r="T145" s="22">
        <v>5</v>
      </c>
      <c r="U145" s="64">
        <f t="shared" si="81"/>
        <v>0</v>
      </c>
      <c r="V145" s="22"/>
      <c r="W145" s="22"/>
      <c r="X145" s="62" t="s">
        <v>257</v>
      </c>
      <c r="Y145" s="62"/>
      <c r="Z145" s="62"/>
      <c r="AA145" s="65">
        <v>-20</v>
      </c>
      <c r="AB145" s="66"/>
      <c r="AC145" s="62" t="s">
        <v>324</v>
      </c>
      <c r="AD145" s="62" t="str">
        <f>VLOOKUP(X145,'Customer List'!B:C,2,)</f>
        <v>STOCK</v>
      </c>
      <c r="AE145" s="67" t="s">
        <v>257</v>
      </c>
      <c r="AF145" s="6"/>
      <c r="AG145" s="62" t="str">
        <f t="shared" si="82"/>
        <v/>
      </c>
      <c r="AH145" s="62" t="str">
        <f t="shared" si="83"/>
        <v/>
      </c>
      <c r="AI145" s="62" t="str">
        <f t="shared" si="77"/>
        <v/>
      </c>
      <c r="AJ145" s="62" t="str">
        <f>VLOOKUP(AC145,'Currency Sheet'!A:C,3,)</f>
        <v>INR</v>
      </c>
      <c r="AK145" s="62" t="str">
        <f>VLOOKUP(X145,'Customer List'!B:D,3,)</f>
        <v>STOCK</v>
      </c>
    </row>
    <row r="146" spans="1:37" hidden="1" x14ac:dyDescent="0.25">
      <c r="A146" s="62">
        <f t="shared" si="62"/>
        <v>132</v>
      </c>
      <c r="B146" s="62" t="s">
        <v>324</v>
      </c>
      <c r="C146" s="62" t="s">
        <v>605</v>
      </c>
      <c r="D146" s="6">
        <v>46022</v>
      </c>
      <c r="E146" s="6">
        <v>46028</v>
      </c>
      <c r="F146" s="63">
        <v>6188</v>
      </c>
      <c r="G146" s="64">
        <f t="shared" si="78"/>
        <v>6188</v>
      </c>
      <c r="H146" s="64">
        <f t="shared" si="79"/>
        <v>12376</v>
      </c>
      <c r="I146" s="62" t="s">
        <v>657</v>
      </c>
      <c r="J146" s="62"/>
      <c r="K146" s="8"/>
      <c r="L146" s="10"/>
      <c r="M146" s="62">
        <v>2</v>
      </c>
      <c r="N146" s="8"/>
      <c r="O146" s="62">
        <f t="shared" si="80"/>
        <v>2</v>
      </c>
      <c r="P146" s="62"/>
      <c r="Q146" s="6"/>
      <c r="R146" s="6"/>
      <c r="S146" s="64"/>
      <c r="T146" s="22">
        <v>5</v>
      </c>
      <c r="U146" s="64">
        <f t="shared" si="81"/>
        <v>0</v>
      </c>
      <c r="V146" s="22"/>
      <c r="W146" s="22"/>
      <c r="X146" s="62" t="s">
        <v>257</v>
      </c>
      <c r="Y146" s="62"/>
      <c r="Z146" s="62"/>
      <c r="AA146" s="65">
        <v>-20</v>
      </c>
      <c r="AB146" s="66"/>
      <c r="AC146" s="62" t="s">
        <v>324</v>
      </c>
      <c r="AD146" s="62" t="str">
        <f>VLOOKUP(X146,'Customer List'!B:C,2,)</f>
        <v>STOCK</v>
      </c>
      <c r="AE146" s="67" t="s">
        <v>257</v>
      </c>
      <c r="AF146" s="6"/>
      <c r="AG146" s="62" t="str">
        <f t="shared" si="82"/>
        <v/>
      </c>
      <c r="AH146" s="62" t="str">
        <f t="shared" si="83"/>
        <v/>
      </c>
      <c r="AI146" s="62" t="str">
        <f t="shared" si="77"/>
        <v/>
      </c>
      <c r="AJ146" s="62" t="str">
        <f>VLOOKUP(AC146,'Currency Sheet'!A:C,3,)</f>
        <v>INR</v>
      </c>
      <c r="AK146" s="62" t="str">
        <f>VLOOKUP(X146,'Customer List'!B:D,3,)</f>
        <v>STOCK</v>
      </c>
    </row>
    <row r="147" spans="1:37" hidden="1" x14ac:dyDescent="0.25">
      <c r="A147" s="62">
        <f t="shared" si="62"/>
        <v>133</v>
      </c>
      <c r="B147" s="62" t="s">
        <v>271</v>
      </c>
      <c r="C147" s="62" t="s">
        <v>2532</v>
      </c>
      <c r="D147" s="6">
        <v>46113</v>
      </c>
      <c r="E147" s="6">
        <v>46032</v>
      </c>
      <c r="F147" s="63">
        <v>0</v>
      </c>
      <c r="G147" s="64">
        <f t="shared" si="78"/>
        <v>0</v>
      </c>
      <c r="H147" s="64">
        <f t="shared" si="79"/>
        <v>0</v>
      </c>
      <c r="I147" s="62" t="s">
        <v>658</v>
      </c>
      <c r="J147" s="62"/>
      <c r="K147" s="8"/>
      <c r="L147" s="10"/>
      <c r="M147" s="62">
        <v>1</v>
      </c>
      <c r="N147" s="8"/>
      <c r="O147" s="62">
        <f t="shared" si="80"/>
        <v>1</v>
      </c>
      <c r="P147" s="62"/>
      <c r="Q147" s="6"/>
      <c r="R147" s="6"/>
      <c r="S147" s="64">
        <v>0</v>
      </c>
      <c r="T147" s="22">
        <v>5</v>
      </c>
      <c r="U147" s="64">
        <f t="shared" si="81"/>
        <v>0</v>
      </c>
      <c r="V147" s="22"/>
      <c r="W147" s="22"/>
      <c r="X147" s="62" t="s">
        <v>792</v>
      </c>
      <c r="Y147" s="62"/>
      <c r="Z147" s="62"/>
      <c r="AA147" s="65" t="s">
        <v>808</v>
      </c>
      <c r="AB147" s="66"/>
      <c r="AC147" s="62" t="s">
        <v>271</v>
      </c>
      <c r="AD147" s="62" t="str">
        <f>VLOOKUP(X147,'Customer List'!B:C,2,)</f>
        <v>Delhi</v>
      </c>
      <c r="AE147" s="67" t="s">
        <v>829</v>
      </c>
      <c r="AF147" s="6"/>
      <c r="AG147" s="62" t="str">
        <f t="shared" si="82"/>
        <v/>
      </c>
      <c r="AH147" s="62" t="str">
        <f t="shared" si="83"/>
        <v>Saturday</v>
      </c>
      <c r="AI147" s="62" t="str">
        <f t="shared" si="77"/>
        <v/>
      </c>
      <c r="AJ147" s="62" t="str">
        <f>VLOOKUP(AC147,'Currency Sheet'!A:C,3,)</f>
        <v>INR</v>
      </c>
      <c r="AK147" s="62" t="str">
        <f>VLOOKUP(X147,'Customer List'!B:D,3,)</f>
        <v>Local</v>
      </c>
    </row>
    <row r="148" spans="1:37" hidden="1" x14ac:dyDescent="0.25">
      <c r="A148" s="62">
        <f t="shared" si="62"/>
        <v>134</v>
      </c>
      <c r="B148" s="62" t="s">
        <v>271</v>
      </c>
      <c r="C148" s="62" t="s">
        <v>2532</v>
      </c>
      <c r="D148" s="6">
        <v>46113</v>
      </c>
      <c r="E148" s="6">
        <v>46032</v>
      </c>
      <c r="F148" s="63">
        <v>0</v>
      </c>
      <c r="G148" s="64">
        <f t="shared" si="78"/>
        <v>0</v>
      </c>
      <c r="H148" s="64">
        <f t="shared" si="79"/>
        <v>0</v>
      </c>
      <c r="I148" s="62" t="s">
        <v>658</v>
      </c>
      <c r="J148" s="62"/>
      <c r="K148" s="8"/>
      <c r="L148" s="10"/>
      <c r="M148" s="62">
        <v>1</v>
      </c>
      <c r="N148" s="8"/>
      <c r="O148" s="62">
        <f t="shared" si="80"/>
        <v>1</v>
      </c>
      <c r="P148" s="62"/>
      <c r="Q148" s="6"/>
      <c r="R148" s="6"/>
      <c r="S148" s="64">
        <v>0</v>
      </c>
      <c r="T148" s="22">
        <v>5</v>
      </c>
      <c r="U148" s="64">
        <f t="shared" si="81"/>
        <v>0</v>
      </c>
      <c r="V148" s="22"/>
      <c r="W148" s="22"/>
      <c r="X148" s="62" t="s">
        <v>797</v>
      </c>
      <c r="Y148" s="62"/>
      <c r="Z148" s="62"/>
      <c r="AA148" s="65" t="s">
        <v>808</v>
      </c>
      <c r="AB148" s="66"/>
      <c r="AC148" s="62" t="s">
        <v>271</v>
      </c>
      <c r="AD148" s="62" t="str">
        <f>VLOOKUP(X148,'Customer List'!B:C,2,)</f>
        <v>Delhi</v>
      </c>
      <c r="AE148" s="67" t="s">
        <v>829</v>
      </c>
      <c r="AF148" s="6"/>
      <c r="AG148" s="62" t="str">
        <f t="shared" si="82"/>
        <v/>
      </c>
      <c r="AH148" s="62" t="str">
        <f t="shared" si="83"/>
        <v>Saturday</v>
      </c>
      <c r="AI148" s="62" t="str">
        <f t="shared" si="77"/>
        <v/>
      </c>
      <c r="AJ148" s="62" t="str">
        <f>VLOOKUP(AC148,'Currency Sheet'!A:C,3,)</f>
        <v>INR</v>
      </c>
      <c r="AK148" s="62" t="str">
        <f>VLOOKUP(X148,'Customer List'!B:D,3,)</f>
        <v>Local</v>
      </c>
    </row>
    <row r="149" spans="1:37" hidden="1" x14ac:dyDescent="0.25">
      <c r="A149" s="62">
        <f t="shared" si="62"/>
        <v>135</v>
      </c>
      <c r="B149" s="62" t="s">
        <v>35</v>
      </c>
      <c r="C149" s="62" t="s">
        <v>606</v>
      </c>
      <c r="D149" s="6">
        <v>46029</v>
      </c>
      <c r="E149" s="6">
        <v>46037</v>
      </c>
      <c r="F149" s="63">
        <v>112.8</v>
      </c>
      <c r="G149" s="64">
        <f t="shared" si="78"/>
        <v>9926.4</v>
      </c>
      <c r="H149" s="64">
        <f t="shared" si="79"/>
        <v>9926.4</v>
      </c>
      <c r="I149" s="62">
        <v>41003</v>
      </c>
      <c r="J149" s="62"/>
      <c r="K149" s="8"/>
      <c r="L149" s="10"/>
      <c r="M149" s="62">
        <v>1</v>
      </c>
      <c r="N149" s="8">
        <v>1</v>
      </c>
      <c r="O149" s="62">
        <f t="shared" si="80"/>
        <v>0</v>
      </c>
      <c r="P149" s="70" t="s">
        <v>2564</v>
      </c>
      <c r="Q149" s="6">
        <v>46157</v>
      </c>
      <c r="R149" s="6">
        <v>46158</v>
      </c>
      <c r="S149" s="64">
        <v>14790</v>
      </c>
      <c r="T149" s="22">
        <v>5</v>
      </c>
      <c r="U149" s="64">
        <f t="shared" si="81"/>
        <v>739.5</v>
      </c>
      <c r="V149" s="22">
        <v>0</v>
      </c>
      <c r="W149" s="22">
        <v>59160</v>
      </c>
      <c r="X149" s="62" t="s">
        <v>100</v>
      </c>
      <c r="Y149" s="62">
        <v>58165586334</v>
      </c>
      <c r="Z149" s="62" t="s">
        <v>1112</v>
      </c>
      <c r="AA149" s="65" t="s">
        <v>808</v>
      </c>
      <c r="AB149" s="66"/>
      <c r="AC149" s="62" t="s">
        <v>35</v>
      </c>
      <c r="AD149" s="62" t="str">
        <f>VLOOKUP(X149,'Customer List'!B:C,2,)</f>
        <v>Banglore</v>
      </c>
      <c r="AE149" s="67" t="s">
        <v>257</v>
      </c>
      <c r="AF149" s="6">
        <v>46161</v>
      </c>
      <c r="AG149" s="62">
        <f t="shared" si="82"/>
        <v>3</v>
      </c>
      <c r="AH149" s="62" t="str">
        <f t="shared" si="83"/>
        <v>Friday</v>
      </c>
      <c r="AI149" s="62" t="str">
        <f t="shared" si="77"/>
        <v>Tuesday</v>
      </c>
      <c r="AJ149" s="62" t="str">
        <f>VLOOKUP(AC149,'Currency Sheet'!A:C,3,)</f>
        <v>DOLLAR</v>
      </c>
      <c r="AK149" s="62" t="str">
        <f>VLOOKUP(X149,'Customer List'!B:D,3,)</f>
        <v>OutStation</v>
      </c>
    </row>
    <row r="150" spans="1:37" hidden="1" x14ac:dyDescent="0.25">
      <c r="A150" s="62">
        <f t="shared" si="62"/>
        <v>136</v>
      </c>
      <c r="B150" s="62" t="s">
        <v>271</v>
      </c>
      <c r="C150" s="62" t="s">
        <v>607</v>
      </c>
      <c r="D150" s="6">
        <v>46031</v>
      </c>
      <c r="E150" s="6">
        <v>46041</v>
      </c>
      <c r="F150" s="63">
        <v>40000</v>
      </c>
      <c r="G150" s="64">
        <f t="shared" si="78"/>
        <v>40000</v>
      </c>
      <c r="H150" s="64">
        <f t="shared" si="79"/>
        <v>40000</v>
      </c>
      <c r="I150" s="62" t="s">
        <v>659</v>
      </c>
      <c r="J150" s="62"/>
      <c r="K150" s="8">
        <v>253700177</v>
      </c>
      <c r="L150" s="10">
        <v>46630</v>
      </c>
      <c r="M150" s="62">
        <v>1</v>
      </c>
      <c r="N150" s="8"/>
      <c r="O150" s="62">
        <f t="shared" si="80"/>
        <v>1</v>
      </c>
      <c r="P150" s="62"/>
      <c r="Q150" s="6"/>
      <c r="R150" s="6"/>
      <c r="S150" s="64"/>
      <c r="T150" s="22">
        <v>5</v>
      </c>
      <c r="U150" s="64">
        <f t="shared" si="81"/>
        <v>0</v>
      </c>
      <c r="V150" s="22"/>
      <c r="W150" s="22"/>
      <c r="X150" s="62" t="s">
        <v>257</v>
      </c>
      <c r="Y150" s="62"/>
      <c r="Z150" s="62"/>
      <c r="AA150" s="65" t="s">
        <v>808</v>
      </c>
      <c r="AB150" s="66"/>
      <c r="AC150" s="62" t="s">
        <v>271</v>
      </c>
      <c r="AD150" s="62" t="str">
        <f>VLOOKUP(X150,'Customer List'!B:C,2,)</f>
        <v>STOCK</v>
      </c>
      <c r="AE150" s="67" t="s">
        <v>257</v>
      </c>
      <c r="AF150" s="6"/>
      <c r="AG150" s="62" t="str">
        <f t="shared" si="82"/>
        <v/>
      </c>
      <c r="AH150" s="62" t="str">
        <f t="shared" si="83"/>
        <v/>
      </c>
      <c r="AI150" s="62" t="str">
        <f t="shared" si="77"/>
        <v/>
      </c>
      <c r="AJ150" s="62" t="str">
        <f>VLOOKUP(AC150,'Currency Sheet'!A:C,3,)</f>
        <v>INR</v>
      </c>
      <c r="AK150" s="62" t="str">
        <f>VLOOKUP(X150,'Customer List'!B:D,3,)</f>
        <v>STOCK</v>
      </c>
    </row>
    <row r="151" spans="1:37" ht="30" hidden="1" x14ac:dyDescent="0.25">
      <c r="A151" s="62">
        <f t="shared" si="62"/>
        <v>137</v>
      </c>
      <c r="B151" s="62" t="s">
        <v>824</v>
      </c>
      <c r="C151" s="62" t="s">
        <v>608</v>
      </c>
      <c r="D151" s="6">
        <v>46010</v>
      </c>
      <c r="E151" s="6">
        <v>46051</v>
      </c>
      <c r="F151" s="63">
        <v>165.6</v>
      </c>
      <c r="G151" s="64">
        <f t="shared" si="78"/>
        <v>14572.8</v>
      </c>
      <c r="H151" s="64">
        <f t="shared" si="79"/>
        <v>14572.8</v>
      </c>
      <c r="I151" s="62">
        <v>426803</v>
      </c>
      <c r="J151" s="62"/>
      <c r="K151" s="8" t="s">
        <v>876</v>
      </c>
      <c r="L151" s="10">
        <v>46562</v>
      </c>
      <c r="M151" s="62">
        <v>1</v>
      </c>
      <c r="N151" s="8">
        <v>1</v>
      </c>
      <c r="O151" s="62">
        <f t="shared" si="80"/>
        <v>0</v>
      </c>
      <c r="P151" s="62" t="s">
        <v>1376</v>
      </c>
      <c r="Q151" s="6">
        <v>46120</v>
      </c>
      <c r="R151" s="6">
        <v>46120</v>
      </c>
      <c r="S151" s="64">
        <v>0</v>
      </c>
      <c r="T151" s="22">
        <v>0</v>
      </c>
      <c r="U151" s="64">
        <f t="shared" si="81"/>
        <v>0</v>
      </c>
      <c r="V151" s="22">
        <v>0</v>
      </c>
      <c r="W151" s="22">
        <v>0</v>
      </c>
      <c r="X151" s="62" t="s">
        <v>797</v>
      </c>
      <c r="Y151" s="62" t="s">
        <v>1120</v>
      </c>
      <c r="Z151" s="62" t="s">
        <v>821</v>
      </c>
      <c r="AA151" s="65">
        <v>4</v>
      </c>
      <c r="AB151" s="66" t="s">
        <v>1377</v>
      </c>
      <c r="AC151" s="62" t="s">
        <v>824</v>
      </c>
      <c r="AD151" s="62" t="str">
        <f>VLOOKUP(X151,'Customer List'!B:C,2,)</f>
        <v>Delhi</v>
      </c>
      <c r="AE151" s="67" t="s">
        <v>821</v>
      </c>
      <c r="AF151" s="6"/>
      <c r="AG151" s="62" t="str">
        <f t="shared" si="82"/>
        <v/>
      </c>
      <c r="AH151" s="62" t="str">
        <f t="shared" si="83"/>
        <v>Saturday</v>
      </c>
      <c r="AI151" s="62" t="str">
        <f t="shared" si="77"/>
        <v/>
      </c>
      <c r="AJ151" s="62" t="str">
        <f>VLOOKUP(AC151,'Currency Sheet'!A:C,3,)</f>
        <v>DOLLAR</v>
      </c>
      <c r="AK151" s="62" t="str">
        <f>VLOOKUP(X151,'Customer List'!B:D,3,)</f>
        <v>Local</v>
      </c>
    </row>
    <row r="152" spans="1:37" hidden="1" x14ac:dyDescent="0.25">
      <c r="A152" s="62">
        <f t="shared" si="62"/>
        <v>138</v>
      </c>
      <c r="B152" s="62" t="s">
        <v>824</v>
      </c>
      <c r="C152" s="62" t="s">
        <v>608</v>
      </c>
      <c r="D152" s="6">
        <v>46010</v>
      </c>
      <c r="E152" s="6">
        <v>46051</v>
      </c>
      <c r="F152" s="63">
        <v>151.80000000000001</v>
      </c>
      <c r="G152" s="64">
        <f t="shared" si="78"/>
        <v>13358.400000000001</v>
      </c>
      <c r="H152" s="64">
        <f t="shared" si="79"/>
        <v>13358.400000000001</v>
      </c>
      <c r="I152" s="62">
        <v>640914</v>
      </c>
      <c r="J152" s="62" t="s">
        <v>738</v>
      </c>
      <c r="K152" s="8" t="s">
        <v>877</v>
      </c>
      <c r="L152" s="10">
        <v>46429</v>
      </c>
      <c r="M152" s="62">
        <v>1</v>
      </c>
      <c r="N152" s="8">
        <v>1</v>
      </c>
      <c r="O152" s="62">
        <f t="shared" si="80"/>
        <v>0</v>
      </c>
      <c r="P152" s="62">
        <v>26</v>
      </c>
      <c r="Q152" s="6">
        <v>46118</v>
      </c>
      <c r="R152" s="6">
        <v>46119</v>
      </c>
      <c r="S152" s="64">
        <v>26565</v>
      </c>
      <c r="T152" s="22">
        <v>5</v>
      </c>
      <c r="U152" s="64">
        <f t="shared" si="81"/>
        <v>1328.25</v>
      </c>
      <c r="V152" s="22"/>
      <c r="W152" s="22"/>
      <c r="X152" s="62" t="s">
        <v>1109</v>
      </c>
      <c r="Y152" s="62">
        <v>58163970594</v>
      </c>
      <c r="Z152" s="62" t="s">
        <v>1112</v>
      </c>
      <c r="AA152" s="65">
        <v>4</v>
      </c>
      <c r="AB152" s="66" t="s">
        <v>827</v>
      </c>
      <c r="AC152" s="62" t="s">
        <v>824</v>
      </c>
      <c r="AD152" s="62" t="str">
        <f>VLOOKUP(X152,'Customer List'!B:C,2,)</f>
        <v>Kolkata</v>
      </c>
      <c r="AE152" s="67" t="s">
        <v>821</v>
      </c>
      <c r="AF152" s="6">
        <v>46120</v>
      </c>
      <c r="AG152" s="62">
        <f t="shared" si="82"/>
        <v>1</v>
      </c>
      <c r="AH152" s="62" t="str">
        <f t="shared" si="83"/>
        <v>Saturday</v>
      </c>
      <c r="AI152" s="62" t="str">
        <f t="shared" si="77"/>
        <v>Wednesday</v>
      </c>
      <c r="AJ152" s="62" t="str">
        <f>VLOOKUP(AC152,'Currency Sheet'!A:C,3,)</f>
        <v>DOLLAR</v>
      </c>
      <c r="AK152" s="62" t="str">
        <f>VLOOKUP(X152,'Customer List'!B:D,3,)</f>
        <v>OutStation</v>
      </c>
    </row>
    <row r="153" spans="1:37" hidden="1" x14ac:dyDescent="0.25">
      <c r="A153" s="62">
        <f t="shared" si="62"/>
        <v>139</v>
      </c>
      <c r="B153" s="62" t="s">
        <v>824</v>
      </c>
      <c r="C153" s="62" t="s">
        <v>609</v>
      </c>
      <c r="D153" s="6">
        <v>46014</v>
      </c>
      <c r="E153" s="6">
        <v>46051</v>
      </c>
      <c r="F153" s="63">
        <v>99</v>
      </c>
      <c r="G153" s="64">
        <f t="shared" si="78"/>
        <v>8712</v>
      </c>
      <c r="H153" s="64">
        <f t="shared" si="79"/>
        <v>8712</v>
      </c>
      <c r="I153" s="62">
        <v>424401</v>
      </c>
      <c r="J153" s="62" t="s">
        <v>741</v>
      </c>
      <c r="K153" s="8" t="s">
        <v>881</v>
      </c>
      <c r="L153" s="10">
        <v>46248</v>
      </c>
      <c r="M153" s="62">
        <v>1</v>
      </c>
      <c r="N153" s="8"/>
      <c r="O153" s="62">
        <f t="shared" si="80"/>
        <v>1</v>
      </c>
      <c r="P153" s="62"/>
      <c r="Q153" s="6"/>
      <c r="R153" s="6"/>
      <c r="S153" s="64"/>
      <c r="T153" s="22">
        <v>5</v>
      </c>
      <c r="U153" s="64">
        <f t="shared" si="81"/>
        <v>0</v>
      </c>
      <c r="V153" s="22"/>
      <c r="W153" s="22"/>
      <c r="X153" s="62" t="s">
        <v>789</v>
      </c>
      <c r="Y153" s="62"/>
      <c r="Z153" s="62"/>
      <c r="AA153" s="65">
        <v>4</v>
      </c>
      <c r="AB153" s="66" t="s">
        <v>827</v>
      </c>
      <c r="AC153" s="62" t="s">
        <v>824</v>
      </c>
      <c r="AD153" s="62" t="str">
        <f>VLOOKUP(X153,'Customer List'!B:C,2,)</f>
        <v>STOCK</v>
      </c>
      <c r="AE153" s="67" t="s">
        <v>789</v>
      </c>
      <c r="AF153" s="6"/>
      <c r="AG153" s="62" t="str">
        <f t="shared" si="82"/>
        <v/>
      </c>
      <c r="AH153" s="62" t="str">
        <f t="shared" si="83"/>
        <v/>
      </c>
      <c r="AI153" s="62" t="str">
        <f t="shared" si="77"/>
        <v/>
      </c>
      <c r="AJ153" s="62" t="str">
        <f>VLOOKUP(AC153,'Currency Sheet'!A:C,3,)</f>
        <v>DOLLAR</v>
      </c>
      <c r="AK153" s="62" t="str">
        <f>VLOOKUP(X153,'Customer List'!B:D,3,)</f>
        <v>STOCK</v>
      </c>
    </row>
    <row r="154" spans="1:37" hidden="1" x14ac:dyDescent="0.25">
      <c r="A154" s="62">
        <f t="shared" si="62"/>
        <v>140</v>
      </c>
      <c r="B154" s="62" t="s">
        <v>250</v>
      </c>
      <c r="C154" s="62" t="s">
        <v>12</v>
      </c>
      <c r="D154" s="6">
        <v>46113</v>
      </c>
      <c r="E154" s="6">
        <v>46052</v>
      </c>
      <c r="F154" s="63">
        <v>0</v>
      </c>
      <c r="G154" s="64">
        <f t="shared" si="78"/>
        <v>0</v>
      </c>
      <c r="H154" s="64">
        <f t="shared" si="79"/>
        <v>0</v>
      </c>
      <c r="I154" s="70" t="s">
        <v>660</v>
      </c>
      <c r="J154" s="62"/>
      <c r="K154" s="8"/>
      <c r="L154" s="10"/>
      <c r="M154" s="62">
        <v>1</v>
      </c>
      <c r="N154" s="8"/>
      <c r="O154" s="62">
        <f t="shared" si="80"/>
        <v>1</v>
      </c>
      <c r="P154" s="62"/>
      <c r="Q154" s="6"/>
      <c r="R154" s="6"/>
      <c r="S154" s="64"/>
      <c r="T154" s="22">
        <v>5</v>
      </c>
      <c r="U154" s="64">
        <f t="shared" si="81"/>
        <v>0</v>
      </c>
      <c r="V154" s="22"/>
      <c r="W154" s="22"/>
      <c r="X154" s="62" t="s">
        <v>789</v>
      </c>
      <c r="Y154" s="62"/>
      <c r="Z154" s="62"/>
      <c r="AA154" s="65">
        <v>-20</v>
      </c>
      <c r="AB154" s="66"/>
      <c r="AC154" s="62" t="s">
        <v>250</v>
      </c>
      <c r="AD154" s="62" t="str">
        <f>VLOOKUP(X154,'Customer List'!B:C,2,)</f>
        <v>STOCK</v>
      </c>
      <c r="AE154" s="67" t="s">
        <v>789</v>
      </c>
      <c r="AF154" s="6"/>
      <c r="AG154" s="62" t="str">
        <f t="shared" si="82"/>
        <v/>
      </c>
      <c r="AH154" s="62" t="str">
        <f t="shared" si="83"/>
        <v/>
      </c>
      <c r="AI154" s="62" t="str">
        <f t="shared" si="77"/>
        <v/>
      </c>
      <c r="AJ154" s="62" t="str">
        <f>VLOOKUP(AC154,'Currency Sheet'!A:C,3,)</f>
        <v>INR</v>
      </c>
      <c r="AK154" s="62" t="str">
        <f>VLOOKUP(X154,'Customer List'!B:D,3,)</f>
        <v>STOCK</v>
      </c>
    </row>
    <row r="155" spans="1:37" hidden="1" x14ac:dyDescent="0.25">
      <c r="A155" s="62">
        <f t="shared" si="62"/>
        <v>141</v>
      </c>
      <c r="B155" s="62" t="s">
        <v>250</v>
      </c>
      <c r="C155" s="62" t="s">
        <v>12</v>
      </c>
      <c r="D155" s="6">
        <v>46113</v>
      </c>
      <c r="E155" s="6">
        <v>46052</v>
      </c>
      <c r="F155" s="63">
        <v>0</v>
      </c>
      <c r="G155" s="64">
        <f t="shared" si="78"/>
        <v>0</v>
      </c>
      <c r="H155" s="64">
        <f t="shared" si="79"/>
        <v>0</v>
      </c>
      <c r="I155" s="70" t="s">
        <v>661</v>
      </c>
      <c r="J155" s="62"/>
      <c r="K155" s="8"/>
      <c r="L155" s="10"/>
      <c r="M155" s="62">
        <v>1</v>
      </c>
      <c r="N155" s="8"/>
      <c r="O155" s="62">
        <f t="shared" si="80"/>
        <v>1</v>
      </c>
      <c r="P155" s="62"/>
      <c r="Q155" s="6"/>
      <c r="R155" s="6"/>
      <c r="S155" s="64"/>
      <c r="T155" s="22">
        <v>5</v>
      </c>
      <c r="U155" s="64">
        <f t="shared" si="81"/>
        <v>0</v>
      </c>
      <c r="V155" s="22"/>
      <c r="W155" s="22"/>
      <c r="X155" s="62" t="s">
        <v>789</v>
      </c>
      <c r="Y155" s="62"/>
      <c r="Z155" s="62"/>
      <c r="AA155" s="65">
        <v>4</v>
      </c>
      <c r="AB155" s="66"/>
      <c r="AC155" s="62" t="s">
        <v>250</v>
      </c>
      <c r="AD155" s="62" t="str">
        <f>VLOOKUP(X155,'Customer List'!B:C,2,)</f>
        <v>STOCK</v>
      </c>
      <c r="AE155" s="67" t="s">
        <v>789</v>
      </c>
      <c r="AF155" s="6"/>
      <c r="AG155" s="62" t="str">
        <f t="shared" si="82"/>
        <v/>
      </c>
      <c r="AH155" s="62" t="str">
        <f t="shared" si="83"/>
        <v/>
      </c>
      <c r="AI155" s="62" t="str">
        <f t="shared" si="77"/>
        <v/>
      </c>
      <c r="AJ155" s="62" t="str">
        <f>VLOOKUP(AC155,'Currency Sheet'!A:C,3,)</f>
        <v>INR</v>
      </c>
      <c r="AK155" s="62" t="str">
        <f>VLOOKUP(X155,'Customer List'!B:D,3,)</f>
        <v>STOCK</v>
      </c>
    </row>
    <row r="156" spans="1:37" hidden="1" x14ac:dyDescent="0.25">
      <c r="A156" s="62">
        <f t="shared" si="62"/>
        <v>142</v>
      </c>
      <c r="B156" s="62" t="s">
        <v>890</v>
      </c>
      <c r="C156" s="62" t="s">
        <v>610</v>
      </c>
      <c r="D156" s="6">
        <v>46057</v>
      </c>
      <c r="E156" s="6">
        <v>46065</v>
      </c>
      <c r="F156" s="63">
        <v>5</v>
      </c>
      <c r="G156" s="64">
        <f t="shared" si="78"/>
        <v>440</v>
      </c>
      <c r="H156" s="64">
        <f t="shared" si="79"/>
        <v>1760</v>
      </c>
      <c r="I156" s="70" t="s">
        <v>662</v>
      </c>
      <c r="J156" s="62"/>
      <c r="K156" s="8"/>
      <c r="L156" s="10"/>
      <c r="M156" s="62">
        <v>4</v>
      </c>
      <c r="N156" s="8">
        <v>4</v>
      </c>
      <c r="O156" s="62">
        <f t="shared" si="80"/>
        <v>0</v>
      </c>
      <c r="P156" s="62" t="s">
        <v>1852</v>
      </c>
      <c r="Q156" s="6">
        <v>46132</v>
      </c>
      <c r="R156" s="6">
        <v>46132</v>
      </c>
      <c r="S156" s="64">
        <v>0</v>
      </c>
      <c r="T156" s="22">
        <v>5</v>
      </c>
      <c r="U156" s="64">
        <f t="shared" si="81"/>
        <v>0</v>
      </c>
      <c r="V156" s="22">
        <v>0</v>
      </c>
      <c r="W156" s="22">
        <v>0</v>
      </c>
      <c r="X156" s="62" t="s">
        <v>798</v>
      </c>
      <c r="Y156" s="62" t="s">
        <v>1120</v>
      </c>
      <c r="Z156" s="62" t="s">
        <v>821</v>
      </c>
      <c r="AA156" s="65">
        <v>-20</v>
      </c>
      <c r="AB156" s="66"/>
      <c r="AC156" s="62" t="s">
        <v>890</v>
      </c>
      <c r="AD156" s="62" t="str">
        <f>VLOOKUP(X156,'Customer List'!B:C,2,)</f>
        <v>delhi</v>
      </c>
      <c r="AE156" s="67" t="s">
        <v>829</v>
      </c>
      <c r="AF156" s="6"/>
      <c r="AG156" s="62" t="str">
        <f t="shared" si="82"/>
        <v/>
      </c>
      <c r="AH156" s="62" t="str">
        <f t="shared" si="83"/>
        <v>Saturday</v>
      </c>
      <c r="AI156" s="62" t="str">
        <f t="shared" si="77"/>
        <v/>
      </c>
      <c r="AJ156" s="62" t="str">
        <f>VLOOKUP(AC156,'Currency Sheet'!A:C,3,)</f>
        <v>DOLLAR</v>
      </c>
      <c r="AK156" s="62" t="str">
        <f>VLOOKUP(X156,'Customer List'!B:D,3,)</f>
        <v>Local</v>
      </c>
    </row>
    <row r="157" spans="1:37" hidden="1" x14ac:dyDescent="0.25">
      <c r="A157" s="62">
        <f t="shared" si="62"/>
        <v>143</v>
      </c>
      <c r="B157" s="62" t="s">
        <v>890</v>
      </c>
      <c r="C157" s="62" t="s">
        <v>610</v>
      </c>
      <c r="D157" s="6">
        <v>46057</v>
      </c>
      <c r="E157" s="6">
        <v>46065</v>
      </c>
      <c r="F157" s="63">
        <v>5</v>
      </c>
      <c r="G157" s="64">
        <f t="shared" si="78"/>
        <v>440</v>
      </c>
      <c r="H157" s="64">
        <f t="shared" si="79"/>
        <v>1760</v>
      </c>
      <c r="I157" s="70" t="s">
        <v>663</v>
      </c>
      <c r="J157" s="62"/>
      <c r="K157" s="8"/>
      <c r="L157" s="10"/>
      <c r="M157" s="62">
        <v>4</v>
      </c>
      <c r="N157" s="8">
        <v>4</v>
      </c>
      <c r="O157" s="62">
        <f t="shared" si="80"/>
        <v>0</v>
      </c>
      <c r="P157" s="62" t="s">
        <v>1852</v>
      </c>
      <c r="Q157" s="6">
        <v>46132</v>
      </c>
      <c r="R157" s="6">
        <v>46132</v>
      </c>
      <c r="S157" s="64">
        <v>0</v>
      </c>
      <c r="T157" s="22">
        <v>5</v>
      </c>
      <c r="U157" s="64">
        <f t="shared" si="81"/>
        <v>0</v>
      </c>
      <c r="V157" s="22">
        <v>0</v>
      </c>
      <c r="W157" s="22">
        <v>0</v>
      </c>
      <c r="X157" s="62" t="s">
        <v>798</v>
      </c>
      <c r="Y157" s="62" t="s">
        <v>1120</v>
      </c>
      <c r="Z157" s="62" t="s">
        <v>821</v>
      </c>
      <c r="AA157" s="65">
        <v>-20</v>
      </c>
      <c r="AB157" s="66"/>
      <c r="AC157" s="62" t="s">
        <v>890</v>
      </c>
      <c r="AD157" s="62" t="str">
        <f>VLOOKUP(X157,'Customer List'!B:C,2,)</f>
        <v>delhi</v>
      </c>
      <c r="AE157" s="67" t="s">
        <v>829</v>
      </c>
      <c r="AF157" s="6"/>
      <c r="AG157" s="62" t="str">
        <f t="shared" si="82"/>
        <v/>
      </c>
      <c r="AH157" s="62" t="str">
        <f t="shared" si="83"/>
        <v>Saturday</v>
      </c>
      <c r="AI157" s="62" t="str">
        <f t="shared" si="77"/>
        <v/>
      </c>
      <c r="AJ157" s="62" t="str">
        <f>VLOOKUP(AC157,'Currency Sheet'!A:C,3,)</f>
        <v>DOLLAR</v>
      </c>
      <c r="AK157" s="62" t="str">
        <f>VLOOKUP(X157,'Customer List'!B:D,3,)</f>
        <v>Local</v>
      </c>
    </row>
    <row r="158" spans="1:37" hidden="1" x14ac:dyDescent="0.25">
      <c r="A158" s="62">
        <f t="shared" si="62"/>
        <v>144</v>
      </c>
      <c r="B158" s="62" t="s">
        <v>890</v>
      </c>
      <c r="C158" s="62" t="s">
        <v>610</v>
      </c>
      <c r="D158" s="6">
        <v>46057</v>
      </c>
      <c r="E158" s="6">
        <v>46065</v>
      </c>
      <c r="F158" s="63">
        <v>5</v>
      </c>
      <c r="G158" s="64">
        <f t="shared" si="78"/>
        <v>440</v>
      </c>
      <c r="H158" s="64">
        <f t="shared" si="79"/>
        <v>1760</v>
      </c>
      <c r="I158" s="70" t="s">
        <v>664</v>
      </c>
      <c r="J158" s="62"/>
      <c r="K158" s="8"/>
      <c r="L158" s="10"/>
      <c r="M158" s="62">
        <v>4</v>
      </c>
      <c r="N158" s="8">
        <v>4</v>
      </c>
      <c r="O158" s="62">
        <f t="shared" si="80"/>
        <v>0</v>
      </c>
      <c r="P158" s="62" t="s">
        <v>1852</v>
      </c>
      <c r="Q158" s="6">
        <v>46132</v>
      </c>
      <c r="R158" s="6">
        <v>46132</v>
      </c>
      <c r="S158" s="64">
        <v>0</v>
      </c>
      <c r="T158" s="22">
        <v>5</v>
      </c>
      <c r="U158" s="64">
        <f t="shared" si="81"/>
        <v>0</v>
      </c>
      <c r="V158" s="22">
        <v>0</v>
      </c>
      <c r="W158" s="22">
        <v>0</v>
      </c>
      <c r="X158" s="62" t="s">
        <v>798</v>
      </c>
      <c r="Y158" s="62" t="s">
        <v>1120</v>
      </c>
      <c r="Z158" s="62" t="s">
        <v>821</v>
      </c>
      <c r="AA158" s="65">
        <v>-20</v>
      </c>
      <c r="AB158" s="66"/>
      <c r="AC158" s="62" t="s">
        <v>890</v>
      </c>
      <c r="AD158" s="62" t="str">
        <f>VLOOKUP(X158,'Customer List'!B:C,2,)</f>
        <v>delhi</v>
      </c>
      <c r="AE158" s="67" t="s">
        <v>829</v>
      </c>
      <c r="AF158" s="6"/>
      <c r="AG158" s="62" t="str">
        <f t="shared" si="82"/>
        <v/>
      </c>
      <c r="AH158" s="62" t="str">
        <f t="shared" si="83"/>
        <v>Saturday</v>
      </c>
      <c r="AI158" s="62" t="str">
        <f t="shared" si="77"/>
        <v/>
      </c>
      <c r="AJ158" s="62" t="str">
        <f>VLOOKUP(AC158,'Currency Sheet'!A:C,3,)</f>
        <v>DOLLAR</v>
      </c>
      <c r="AK158" s="62" t="str">
        <f>VLOOKUP(X158,'Customer List'!B:D,3,)</f>
        <v>Local</v>
      </c>
    </row>
    <row r="159" spans="1:37" hidden="1" x14ac:dyDescent="0.25">
      <c r="A159" s="62">
        <f t="shared" si="62"/>
        <v>145</v>
      </c>
      <c r="B159" s="62" t="s">
        <v>890</v>
      </c>
      <c r="C159" s="62" t="s">
        <v>610</v>
      </c>
      <c r="D159" s="6">
        <v>46057</v>
      </c>
      <c r="E159" s="6">
        <v>46065</v>
      </c>
      <c r="F159" s="63">
        <v>5</v>
      </c>
      <c r="G159" s="64">
        <f t="shared" si="78"/>
        <v>440</v>
      </c>
      <c r="H159" s="64">
        <f t="shared" si="79"/>
        <v>1760</v>
      </c>
      <c r="I159" s="70" t="s">
        <v>665</v>
      </c>
      <c r="J159" s="62"/>
      <c r="K159" s="8"/>
      <c r="L159" s="10"/>
      <c r="M159" s="62">
        <v>4</v>
      </c>
      <c r="N159" s="8">
        <v>4</v>
      </c>
      <c r="O159" s="62">
        <f t="shared" si="80"/>
        <v>0</v>
      </c>
      <c r="P159" s="62" t="s">
        <v>1852</v>
      </c>
      <c r="Q159" s="6">
        <v>46132</v>
      </c>
      <c r="R159" s="6">
        <v>46132</v>
      </c>
      <c r="S159" s="64">
        <v>0</v>
      </c>
      <c r="T159" s="22">
        <v>5</v>
      </c>
      <c r="U159" s="64">
        <f t="shared" si="81"/>
        <v>0</v>
      </c>
      <c r="V159" s="22">
        <v>0</v>
      </c>
      <c r="W159" s="22">
        <v>0</v>
      </c>
      <c r="X159" s="62" t="s">
        <v>798</v>
      </c>
      <c r="Y159" s="62" t="s">
        <v>1120</v>
      </c>
      <c r="Z159" s="62" t="s">
        <v>821</v>
      </c>
      <c r="AA159" s="65">
        <v>-20</v>
      </c>
      <c r="AB159" s="66"/>
      <c r="AC159" s="62" t="s">
        <v>890</v>
      </c>
      <c r="AD159" s="62" t="str">
        <f>VLOOKUP(X159,'Customer List'!B:C,2,)</f>
        <v>delhi</v>
      </c>
      <c r="AE159" s="67" t="s">
        <v>829</v>
      </c>
      <c r="AF159" s="6"/>
      <c r="AG159" s="62" t="str">
        <f t="shared" si="82"/>
        <v/>
      </c>
      <c r="AH159" s="62" t="str">
        <f t="shared" si="83"/>
        <v>Saturday</v>
      </c>
      <c r="AI159" s="62" t="str">
        <f t="shared" si="77"/>
        <v/>
      </c>
      <c r="AJ159" s="62" t="str">
        <f>VLOOKUP(AC159,'Currency Sheet'!A:C,3,)</f>
        <v>DOLLAR</v>
      </c>
      <c r="AK159" s="62" t="str">
        <f>VLOOKUP(X159,'Customer List'!B:D,3,)</f>
        <v>Local</v>
      </c>
    </row>
    <row r="160" spans="1:37" hidden="1" x14ac:dyDescent="0.25">
      <c r="A160" s="62">
        <f t="shared" si="62"/>
        <v>146</v>
      </c>
      <c r="B160" s="62" t="s">
        <v>890</v>
      </c>
      <c r="C160" s="62" t="s">
        <v>610</v>
      </c>
      <c r="D160" s="6">
        <v>46057</v>
      </c>
      <c r="E160" s="6">
        <v>46065</v>
      </c>
      <c r="F160" s="63">
        <v>5</v>
      </c>
      <c r="G160" s="64">
        <f t="shared" si="78"/>
        <v>440</v>
      </c>
      <c r="H160" s="64">
        <f t="shared" si="79"/>
        <v>1760</v>
      </c>
      <c r="I160" s="70" t="s">
        <v>666</v>
      </c>
      <c r="J160" s="62"/>
      <c r="K160" s="8"/>
      <c r="L160" s="10"/>
      <c r="M160" s="62">
        <v>4</v>
      </c>
      <c r="N160" s="8">
        <v>4</v>
      </c>
      <c r="O160" s="62">
        <f t="shared" si="80"/>
        <v>0</v>
      </c>
      <c r="P160" s="62" t="s">
        <v>1852</v>
      </c>
      <c r="Q160" s="6">
        <v>46132</v>
      </c>
      <c r="R160" s="6">
        <v>46132</v>
      </c>
      <c r="S160" s="64">
        <v>0</v>
      </c>
      <c r="T160" s="22">
        <v>5</v>
      </c>
      <c r="U160" s="64">
        <f t="shared" si="81"/>
        <v>0</v>
      </c>
      <c r="V160" s="22">
        <v>0</v>
      </c>
      <c r="W160" s="22">
        <v>0</v>
      </c>
      <c r="X160" s="62" t="s">
        <v>798</v>
      </c>
      <c r="Y160" s="62" t="s">
        <v>1120</v>
      </c>
      <c r="Z160" s="62" t="s">
        <v>821</v>
      </c>
      <c r="AA160" s="65">
        <v>-20</v>
      </c>
      <c r="AB160" s="66"/>
      <c r="AC160" s="62" t="s">
        <v>890</v>
      </c>
      <c r="AD160" s="62" t="str">
        <f>VLOOKUP(X160,'Customer List'!B:C,2,)</f>
        <v>delhi</v>
      </c>
      <c r="AE160" s="67" t="s">
        <v>829</v>
      </c>
      <c r="AF160" s="6"/>
      <c r="AG160" s="62" t="str">
        <f t="shared" si="82"/>
        <v/>
      </c>
      <c r="AH160" s="62" t="str">
        <f t="shared" si="83"/>
        <v>Saturday</v>
      </c>
      <c r="AI160" s="62" t="str">
        <f t="shared" si="77"/>
        <v/>
      </c>
      <c r="AJ160" s="62" t="str">
        <f>VLOOKUP(AC160,'Currency Sheet'!A:C,3,)</f>
        <v>DOLLAR</v>
      </c>
      <c r="AK160" s="62" t="str">
        <f>VLOOKUP(X160,'Customer List'!B:D,3,)</f>
        <v>Local</v>
      </c>
    </row>
    <row r="161" spans="1:37" hidden="1" x14ac:dyDescent="0.25">
      <c r="A161" s="62">
        <f t="shared" si="62"/>
        <v>147</v>
      </c>
      <c r="B161" s="62" t="s">
        <v>890</v>
      </c>
      <c r="C161" s="62" t="s">
        <v>610</v>
      </c>
      <c r="D161" s="6">
        <v>46057</v>
      </c>
      <c r="E161" s="6">
        <v>46065</v>
      </c>
      <c r="F161" s="63">
        <v>5</v>
      </c>
      <c r="G161" s="64">
        <f t="shared" si="78"/>
        <v>440</v>
      </c>
      <c r="H161" s="64">
        <f t="shared" si="79"/>
        <v>1760</v>
      </c>
      <c r="I161" s="70" t="s">
        <v>667</v>
      </c>
      <c r="J161" s="62"/>
      <c r="K161" s="8"/>
      <c r="L161" s="10"/>
      <c r="M161" s="62">
        <v>4</v>
      </c>
      <c r="N161" s="8">
        <v>4</v>
      </c>
      <c r="O161" s="62">
        <f t="shared" si="80"/>
        <v>0</v>
      </c>
      <c r="P161" s="62" t="s">
        <v>1852</v>
      </c>
      <c r="Q161" s="6">
        <v>46132</v>
      </c>
      <c r="R161" s="6">
        <v>46132</v>
      </c>
      <c r="S161" s="64">
        <v>0</v>
      </c>
      <c r="T161" s="22">
        <v>5</v>
      </c>
      <c r="U161" s="64">
        <f t="shared" si="81"/>
        <v>0</v>
      </c>
      <c r="V161" s="22">
        <v>0</v>
      </c>
      <c r="W161" s="22">
        <v>0</v>
      </c>
      <c r="X161" s="62" t="s">
        <v>798</v>
      </c>
      <c r="Y161" s="62" t="s">
        <v>1120</v>
      </c>
      <c r="Z161" s="62" t="s">
        <v>821</v>
      </c>
      <c r="AA161" s="65">
        <v>-20</v>
      </c>
      <c r="AB161" s="66"/>
      <c r="AC161" s="62" t="s">
        <v>890</v>
      </c>
      <c r="AD161" s="62" t="str">
        <f>VLOOKUP(X161,'Customer List'!B:C,2,)</f>
        <v>delhi</v>
      </c>
      <c r="AE161" s="67" t="s">
        <v>829</v>
      </c>
      <c r="AF161" s="6"/>
      <c r="AG161" s="62" t="str">
        <f t="shared" si="82"/>
        <v/>
      </c>
      <c r="AH161" s="62" t="str">
        <f t="shared" si="83"/>
        <v>Saturday</v>
      </c>
      <c r="AI161" s="62" t="str">
        <f t="shared" si="77"/>
        <v/>
      </c>
      <c r="AJ161" s="62" t="str">
        <f>VLOOKUP(AC161,'Currency Sheet'!A:C,3,)</f>
        <v>DOLLAR</v>
      </c>
      <c r="AK161" s="62" t="str">
        <f>VLOOKUP(X161,'Customer List'!B:D,3,)</f>
        <v>Local</v>
      </c>
    </row>
    <row r="162" spans="1:37" hidden="1" x14ac:dyDescent="0.25">
      <c r="A162" s="62">
        <f t="shared" si="62"/>
        <v>148</v>
      </c>
      <c r="B162" s="62" t="s">
        <v>890</v>
      </c>
      <c r="C162" s="62" t="s">
        <v>610</v>
      </c>
      <c r="D162" s="6">
        <v>46057</v>
      </c>
      <c r="E162" s="6">
        <v>46065</v>
      </c>
      <c r="F162" s="63">
        <v>5</v>
      </c>
      <c r="G162" s="64">
        <f t="shared" si="78"/>
        <v>440</v>
      </c>
      <c r="H162" s="64">
        <f t="shared" si="79"/>
        <v>1760</v>
      </c>
      <c r="I162" s="70" t="s">
        <v>668</v>
      </c>
      <c r="J162" s="62"/>
      <c r="K162" s="8"/>
      <c r="L162" s="10"/>
      <c r="M162" s="62">
        <v>4</v>
      </c>
      <c r="N162" s="8"/>
      <c r="O162" s="62">
        <f t="shared" si="80"/>
        <v>4</v>
      </c>
      <c r="P162" s="62"/>
      <c r="Q162" s="6"/>
      <c r="R162" s="6"/>
      <c r="S162" s="64">
        <v>0</v>
      </c>
      <c r="T162" s="22">
        <v>5</v>
      </c>
      <c r="U162" s="64">
        <f t="shared" si="81"/>
        <v>0</v>
      </c>
      <c r="V162" s="22"/>
      <c r="W162" s="22"/>
      <c r="X162" s="62" t="s">
        <v>798</v>
      </c>
      <c r="Y162" s="62"/>
      <c r="Z162" s="62"/>
      <c r="AA162" s="65">
        <v>-20</v>
      </c>
      <c r="AB162" s="66"/>
      <c r="AC162" s="62" t="s">
        <v>890</v>
      </c>
      <c r="AD162" s="62" t="str">
        <f>VLOOKUP(X162,'Customer List'!B:C,2,)</f>
        <v>delhi</v>
      </c>
      <c r="AE162" s="67" t="s">
        <v>829</v>
      </c>
      <c r="AF162" s="6"/>
      <c r="AG162" s="62" t="str">
        <f t="shared" si="82"/>
        <v/>
      </c>
      <c r="AH162" s="62" t="str">
        <f t="shared" si="83"/>
        <v>Saturday</v>
      </c>
      <c r="AI162" s="62" t="str">
        <f t="shared" si="77"/>
        <v/>
      </c>
      <c r="AJ162" s="62" t="str">
        <f>VLOOKUP(AC162,'Currency Sheet'!A:C,3,)</f>
        <v>DOLLAR</v>
      </c>
      <c r="AK162" s="62" t="str">
        <f>VLOOKUP(X162,'Customer List'!B:D,3,)</f>
        <v>Local</v>
      </c>
    </row>
    <row r="163" spans="1:37" hidden="1" x14ac:dyDescent="0.25">
      <c r="A163" s="62">
        <f t="shared" si="62"/>
        <v>149</v>
      </c>
      <c r="B163" s="62" t="s">
        <v>890</v>
      </c>
      <c r="C163" s="62" t="s">
        <v>610</v>
      </c>
      <c r="D163" s="6">
        <v>46057</v>
      </c>
      <c r="E163" s="6">
        <v>46065</v>
      </c>
      <c r="F163" s="63">
        <v>5</v>
      </c>
      <c r="G163" s="64">
        <f t="shared" si="78"/>
        <v>440</v>
      </c>
      <c r="H163" s="64">
        <f t="shared" si="79"/>
        <v>1760</v>
      </c>
      <c r="I163" s="70" t="s">
        <v>669</v>
      </c>
      <c r="J163" s="62"/>
      <c r="K163" s="8"/>
      <c r="L163" s="10"/>
      <c r="M163" s="62">
        <v>4</v>
      </c>
      <c r="N163" s="8"/>
      <c r="O163" s="62">
        <f t="shared" si="80"/>
        <v>4</v>
      </c>
      <c r="P163" s="62"/>
      <c r="Q163" s="6"/>
      <c r="R163" s="6"/>
      <c r="S163" s="64">
        <v>0</v>
      </c>
      <c r="T163" s="22">
        <v>5</v>
      </c>
      <c r="U163" s="64">
        <f t="shared" si="81"/>
        <v>0</v>
      </c>
      <c r="V163" s="22"/>
      <c r="W163" s="22"/>
      <c r="X163" s="62" t="s">
        <v>798</v>
      </c>
      <c r="Y163" s="62"/>
      <c r="Z163" s="62"/>
      <c r="AA163" s="65">
        <v>-20</v>
      </c>
      <c r="AB163" s="66"/>
      <c r="AC163" s="62" t="s">
        <v>890</v>
      </c>
      <c r="AD163" s="62" t="str">
        <f>VLOOKUP(X163,'Customer List'!B:C,2,)</f>
        <v>delhi</v>
      </c>
      <c r="AE163" s="67" t="s">
        <v>829</v>
      </c>
      <c r="AF163" s="6"/>
      <c r="AG163" s="62" t="str">
        <f t="shared" si="82"/>
        <v/>
      </c>
      <c r="AH163" s="62" t="str">
        <f t="shared" si="83"/>
        <v>Saturday</v>
      </c>
      <c r="AI163" s="62" t="str">
        <f t="shared" si="77"/>
        <v/>
      </c>
      <c r="AJ163" s="62" t="str">
        <f>VLOOKUP(AC163,'Currency Sheet'!A:C,3,)</f>
        <v>DOLLAR</v>
      </c>
      <c r="AK163" s="62" t="str">
        <f>VLOOKUP(X163,'Customer List'!B:D,3,)</f>
        <v>Local</v>
      </c>
    </row>
    <row r="164" spans="1:37" hidden="1" x14ac:dyDescent="0.25">
      <c r="A164" s="62">
        <f t="shared" si="62"/>
        <v>150</v>
      </c>
      <c r="B164" s="62" t="s">
        <v>890</v>
      </c>
      <c r="C164" s="62" t="s">
        <v>610</v>
      </c>
      <c r="D164" s="6">
        <v>46057</v>
      </c>
      <c r="E164" s="6">
        <v>46065</v>
      </c>
      <c r="F164" s="63">
        <v>5</v>
      </c>
      <c r="G164" s="64">
        <f t="shared" si="78"/>
        <v>440</v>
      </c>
      <c r="H164" s="64">
        <f t="shared" si="79"/>
        <v>1760</v>
      </c>
      <c r="I164" s="70" t="s">
        <v>670</v>
      </c>
      <c r="J164" s="62"/>
      <c r="K164" s="8"/>
      <c r="L164" s="10"/>
      <c r="M164" s="62">
        <v>4</v>
      </c>
      <c r="N164" s="8"/>
      <c r="O164" s="62">
        <f t="shared" si="80"/>
        <v>4</v>
      </c>
      <c r="P164" s="62"/>
      <c r="Q164" s="6"/>
      <c r="R164" s="6"/>
      <c r="S164" s="64">
        <v>0</v>
      </c>
      <c r="T164" s="22">
        <v>5</v>
      </c>
      <c r="U164" s="64">
        <f t="shared" si="81"/>
        <v>0</v>
      </c>
      <c r="V164" s="22"/>
      <c r="W164" s="22"/>
      <c r="X164" s="62" t="s">
        <v>798</v>
      </c>
      <c r="Y164" s="62"/>
      <c r="Z164" s="62"/>
      <c r="AA164" s="65">
        <v>-20</v>
      </c>
      <c r="AB164" s="66"/>
      <c r="AC164" s="62" t="s">
        <v>890</v>
      </c>
      <c r="AD164" s="62" t="str">
        <f>VLOOKUP(X164,'Customer List'!B:C,2,)</f>
        <v>delhi</v>
      </c>
      <c r="AE164" s="67" t="s">
        <v>829</v>
      </c>
      <c r="AF164" s="6"/>
      <c r="AG164" s="62" t="str">
        <f t="shared" si="82"/>
        <v/>
      </c>
      <c r="AH164" s="62" t="str">
        <f t="shared" si="83"/>
        <v>Saturday</v>
      </c>
      <c r="AI164" s="62" t="str">
        <f t="shared" si="77"/>
        <v/>
      </c>
      <c r="AJ164" s="62" t="str">
        <f>VLOOKUP(AC164,'Currency Sheet'!A:C,3,)</f>
        <v>DOLLAR</v>
      </c>
      <c r="AK164" s="62" t="str">
        <f>VLOOKUP(X164,'Customer List'!B:D,3,)</f>
        <v>Local</v>
      </c>
    </row>
    <row r="165" spans="1:37" hidden="1" x14ac:dyDescent="0.25">
      <c r="A165" s="62">
        <f t="shared" si="62"/>
        <v>151</v>
      </c>
      <c r="B165" s="62" t="s">
        <v>890</v>
      </c>
      <c r="C165" s="62" t="s">
        <v>610</v>
      </c>
      <c r="D165" s="6">
        <v>46057</v>
      </c>
      <c r="E165" s="6">
        <v>46065</v>
      </c>
      <c r="F165" s="63">
        <v>5</v>
      </c>
      <c r="G165" s="64">
        <f t="shared" si="78"/>
        <v>440</v>
      </c>
      <c r="H165" s="64">
        <f t="shared" si="79"/>
        <v>1760</v>
      </c>
      <c r="I165" s="70" t="s">
        <v>671</v>
      </c>
      <c r="J165" s="62"/>
      <c r="K165" s="8"/>
      <c r="L165" s="10"/>
      <c r="M165" s="62">
        <v>4</v>
      </c>
      <c r="N165" s="8"/>
      <c r="O165" s="62">
        <f t="shared" si="80"/>
        <v>4</v>
      </c>
      <c r="P165" s="62"/>
      <c r="Q165" s="6"/>
      <c r="R165" s="6"/>
      <c r="S165" s="64">
        <v>0</v>
      </c>
      <c r="T165" s="22">
        <v>5</v>
      </c>
      <c r="U165" s="64">
        <f t="shared" si="81"/>
        <v>0</v>
      </c>
      <c r="V165" s="22"/>
      <c r="W165" s="22"/>
      <c r="X165" s="62" t="s">
        <v>798</v>
      </c>
      <c r="Y165" s="62"/>
      <c r="Z165" s="62"/>
      <c r="AA165" s="65">
        <v>-20</v>
      </c>
      <c r="AB165" s="66"/>
      <c r="AC165" s="62" t="s">
        <v>890</v>
      </c>
      <c r="AD165" s="62" t="str">
        <f>VLOOKUP(X165,'Customer List'!B:C,2,)</f>
        <v>delhi</v>
      </c>
      <c r="AE165" s="67" t="s">
        <v>829</v>
      </c>
      <c r="AF165" s="6"/>
      <c r="AG165" s="62" t="str">
        <f t="shared" si="82"/>
        <v/>
      </c>
      <c r="AH165" s="62" t="str">
        <f t="shared" si="83"/>
        <v>Saturday</v>
      </c>
      <c r="AI165" s="62" t="str">
        <f t="shared" si="77"/>
        <v/>
      </c>
      <c r="AJ165" s="62" t="str">
        <f>VLOOKUP(AC165,'Currency Sheet'!A:C,3,)</f>
        <v>DOLLAR</v>
      </c>
      <c r="AK165" s="62" t="str">
        <f>VLOOKUP(X165,'Customer List'!B:D,3,)</f>
        <v>Local</v>
      </c>
    </row>
    <row r="166" spans="1:37" hidden="1" x14ac:dyDescent="0.25">
      <c r="A166" s="62">
        <f t="shared" si="62"/>
        <v>152</v>
      </c>
      <c r="B166" s="62" t="s">
        <v>890</v>
      </c>
      <c r="C166" s="62" t="s">
        <v>610</v>
      </c>
      <c r="D166" s="6">
        <v>46057</v>
      </c>
      <c r="E166" s="6">
        <v>46065</v>
      </c>
      <c r="F166" s="63">
        <v>5</v>
      </c>
      <c r="G166" s="64">
        <f t="shared" si="78"/>
        <v>440</v>
      </c>
      <c r="H166" s="64">
        <f t="shared" si="79"/>
        <v>1760</v>
      </c>
      <c r="I166" s="70" t="s">
        <v>672</v>
      </c>
      <c r="J166" s="62"/>
      <c r="K166" s="8"/>
      <c r="L166" s="10"/>
      <c r="M166" s="62">
        <v>4</v>
      </c>
      <c r="N166" s="8"/>
      <c r="O166" s="62">
        <f t="shared" si="80"/>
        <v>4</v>
      </c>
      <c r="P166" s="62"/>
      <c r="Q166" s="6"/>
      <c r="R166" s="6"/>
      <c r="S166" s="64">
        <v>0</v>
      </c>
      <c r="T166" s="22">
        <v>5</v>
      </c>
      <c r="U166" s="64">
        <f t="shared" si="81"/>
        <v>0</v>
      </c>
      <c r="V166" s="22"/>
      <c r="W166" s="22"/>
      <c r="X166" s="62" t="s">
        <v>798</v>
      </c>
      <c r="Y166" s="62"/>
      <c r="Z166" s="62"/>
      <c r="AA166" s="65">
        <v>-20</v>
      </c>
      <c r="AB166" s="66"/>
      <c r="AC166" s="62" t="s">
        <v>890</v>
      </c>
      <c r="AD166" s="62" t="str">
        <f>VLOOKUP(X166,'Customer List'!B:C,2,)</f>
        <v>delhi</v>
      </c>
      <c r="AE166" s="67" t="s">
        <v>829</v>
      </c>
      <c r="AF166" s="6"/>
      <c r="AG166" s="62" t="str">
        <f t="shared" si="82"/>
        <v/>
      </c>
      <c r="AH166" s="62" t="str">
        <f t="shared" si="83"/>
        <v>Saturday</v>
      </c>
      <c r="AI166" s="62" t="str">
        <f t="shared" si="77"/>
        <v/>
      </c>
      <c r="AJ166" s="62" t="str">
        <f>VLOOKUP(AC166,'Currency Sheet'!A:C,3,)</f>
        <v>DOLLAR</v>
      </c>
      <c r="AK166" s="62" t="str">
        <f>VLOOKUP(X166,'Customer List'!B:D,3,)</f>
        <v>Local</v>
      </c>
    </row>
    <row r="167" spans="1:37" hidden="1" x14ac:dyDescent="0.25">
      <c r="A167" s="62">
        <f t="shared" si="62"/>
        <v>153</v>
      </c>
      <c r="B167" s="62" t="s">
        <v>890</v>
      </c>
      <c r="C167" s="62" t="s">
        <v>610</v>
      </c>
      <c r="D167" s="6">
        <v>46057</v>
      </c>
      <c r="E167" s="6">
        <v>46065</v>
      </c>
      <c r="F167" s="63">
        <v>5</v>
      </c>
      <c r="G167" s="64">
        <f t="shared" si="78"/>
        <v>440</v>
      </c>
      <c r="H167" s="64">
        <f t="shared" si="79"/>
        <v>1760</v>
      </c>
      <c r="I167" s="70" t="s">
        <v>673</v>
      </c>
      <c r="J167" s="62"/>
      <c r="K167" s="8"/>
      <c r="L167" s="10"/>
      <c r="M167" s="62">
        <v>4</v>
      </c>
      <c r="N167" s="8"/>
      <c r="O167" s="62">
        <f t="shared" si="80"/>
        <v>4</v>
      </c>
      <c r="P167" s="62"/>
      <c r="Q167" s="6"/>
      <c r="R167" s="6"/>
      <c r="S167" s="64">
        <v>0</v>
      </c>
      <c r="T167" s="22">
        <v>5</v>
      </c>
      <c r="U167" s="64">
        <f t="shared" si="81"/>
        <v>0</v>
      </c>
      <c r="V167" s="22"/>
      <c r="W167" s="22"/>
      <c r="X167" s="62" t="s">
        <v>798</v>
      </c>
      <c r="Y167" s="62"/>
      <c r="Z167" s="62"/>
      <c r="AA167" s="65">
        <v>-20</v>
      </c>
      <c r="AB167" s="66"/>
      <c r="AC167" s="62" t="s">
        <v>890</v>
      </c>
      <c r="AD167" s="62" t="str">
        <f>VLOOKUP(X167,'Customer List'!B:C,2,)</f>
        <v>delhi</v>
      </c>
      <c r="AE167" s="67" t="s">
        <v>829</v>
      </c>
      <c r="AF167" s="6"/>
      <c r="AG167" s="62" t="str">
        <f t="shared" si="82"/>
        <v/>
      </c>
      <c r="AH167" s="62" t="str">
        <f t="shared" si="83"/>
        <v>Saturday</v>
      </c>
      <c r="AI167" s="62" t="str">
        <f t="shared" si="77"/>
        <v/>
      </c>
      <c r="AJ167" s="62" t="str">
        <f>VLOOKUP(AC167,'Currency Sheet'!A:C,3,)</f>
        <v>DOLLAR</v>
      </c>
      <c r="AK167" s="62" t="str">
        <f>VLOOKUP(X167,'Customer List'!B:D,3,)</f>
        <v>Local</v>
      </c>
    </row>
    <row r="168" spans="1:37" hidden="1" x14ac:dyDescent="0.25">
      <c r="A168" s="62">
        <f t="shared" si="62"/>
        <v>154</v>
      </c>
      <c r="B168" s="62" t="s">
        <v>810</v>
      </c>
      <c r="C168" s="62" t="s">
        <v>611</v>
      </c>
      <c r="D168" s="6">
        <v>46069</v>
      </c>
      <c r="E168" s="6">
        <v>46073</v>
      </c>
      <c r="F168" s="63">
        <v>16000</v>
      </c>
      <c r="G168" s="64">
        <f t="shared" si="78"/>
        <v>16000</v>
      </c>
      <c r="H168" s="64">
        <f t="shared" si="79"/>
        <v>32000</v>
      </c>
      <c r="I168" s="70" t="s">
        <v>640</v>
      </c>
      <c r="J168" s="62"/>
      <c r="K168" s="8"/>
      <c r="L168" s="10"/>
      <c r="M168" s="62">
        <v>2</v>
      </c>
      <c r="N168" s="8"/>
      <c r="O168" s="62">
        <f t="shared" si="80"/>
        <v>2</v>
      </c>
      <c r="P168" s="62"/>
      <c r="Q168" s="6"/>
      <c r="R168" s="6"/>
      <c r="S168" s="64"/>
      <c r="T168" s="22">
        <v>5</v>
      </c>
      <c r="U168" s="64">
        <f t="shared" si="81"/>
        <v>0</v>
      </c>
      <c r="V168" s="22"/>
      <c r="W168" s="22"/>
      <c r="X168" s="62" t="s">
        <v>257</v>
      </c>
      <c r="Y168" s="62"/>
      <c r="Z168" s="62"/>
      <c r="AA168" s="65">
        <v>-20</v>
      </c>
      <c r="AB168" s="66"/>
      <c r="AC168" s="62" t="s">
        <v>810</v>
      </c>
      <c r="AD168" s="62" t="str">
        <f>VLOOKUP(X168,'Customer List'!B:C,2,)</f>
        <v>STOCK</v>
      </c>
      <c r="AE168" s="67" t="s">
        <v>789</v>
      </c>
      <c r="AF168" s="6"/>
      <c r="AG168" s="62" t="str">
        <f t="shared" si="82"/>
        <v/>
      </c>
      <c r="AH168" s="62" t="str">
        <f t="shared" si="83"/>
        <v/>
      </c>
      <c r="AI168" s="62" t="str">
        <f t="shared" ref="AI168:AI199" si="84">IF(AF168="", "", TEXT(AF168, "dddd"))</f>
        <v/>
      </c>
      <c r="AJ168" s="62" t="str">
        <f>VLOOKUP(AC168,'Currency Sheet'!A:C,3,)</f>
        <v>INR</v>
      </c>
      <c r="AK168" s="62" t="str">
        <f>VLOOKUP(X168,'Customer List'!B:D,3,)</f>
        <v>STOCK</v>
      </c>
    </row>
    <row r="169" spans="1:37" hidden="1" x14ac:dyDescent="0.25">
      <c r="A169" s="62">
        <f t="shared" si="62"/>
        <v>155</v>
      </c>
      <c r="B169" s="62" t="s">
        <v>887</v>
      </c>
      <c r="C169" s="62" t="s">
        <v>612</v>
      </c>
      <c r="D169" s="6">
        <v>46071</v>
      </c>
      <c r="E169" s="6">
        <v>46074</v>
      </c>
      <c r="F169" s="63">
        <v>5</v>
      </c>
      <c r="G169" s="64">
        <f t="shared" si="78"/>
        <v>440</v>
      </c>
      <c r="H169" s="64">
        <f t="shared" si="79"/>
        <v>440</v>
      </c>
      <c r="I169" s="70" t="s">
        <v>674</v>
      </c>
      <c r="J169" s="62"/>
      <c r="K169" s="8"/>
      <c r="L169" s="10"/>
      <c r="M169" s="62">
        <v>1</v>
      </c>
      <c r="N169" s="8"/>
      <c r="O169" s="62">
        <f t="shared" si="80"/>
        <v>1</v>
      </c>
      <c r="P169" s="62"/>
      <c r="Q169" s="6"/>
      <c r="R169" s="6"/>
      <c r="S169" s="64">
        <v>0</v>
      </c>
      <c r="T169" s="22">
        <v>5</v>
      </c>
      <c r="U169" s="64">
        <f t="shared" si="81"/>
        <v>0</v>
      </c>
      <c r="V169" s="22"/>
      <c r="W169" s="22"/>
      <c r="X169" s="62" t="s">
        <v>798</v>
      </c>
      <c r="Y169" s="62"/>
      <c r="Z169" s="62"/>
      <c r="AA169" s="65">
        <v>-20</v>
      </c>
      <c r="AB169" s="66"/>
      <c r="AC169" s="62" t="s">
        <v>887</v>
      </c>
      <c r="AD169" s="62" t="str">
        <f>VLOOKUP(X169,'Customer List'!B:C,2,)</f>
        <v>delhi</v>
      </c>
      <c r="AE169" s="67" t="s">
        <v>829</v>
      </c>
      <c r="AF169" s="6"/>
      <c r="AG169" s="62" t="str">
        <f t="shared" si="82"/>
        <v/>
      </c>
      <c r="AH169" s="62" t="str">
        <f t="shared" si="83"/>
        <v>Saturday</v>
      </c>
      <c r="AI169" s="62" t="str">
        <f t="shared" si="84"/>
        <v/>
      </c>
      <c r="AJ169" s="62" t="str">
        <f>VLOOKUP(AC169,'Currency Sheet'!A:C,3,)</f>
        <v>DOLLAR</v>
      </c>
      <c r="AK169" s="62" t="str">
        <f>VLOOKUP(X169,'Customer List'!B:D,3,)</f>
        <v>Local</v>
      </c>
    </row>
    <row r="170" spans="1:37" hidden="1" x14ac:dyDescent="0.25">
      <c r="A170" s="62">
        <f t="shared" si="62"/>
        <v>156</v>
      </c>
      <c r="B170" s="62" t="s">
        <v>887</v>
      </c>
      <c r="C170" s="62" t="s">
        <v>612</v>
      </c>
      <c r="D170" s="6">
        <v>46071</v>
      </c>
      <c r="E170" s="6">
        <v>46074</v>
      </c>
      <c r="F170" s="63">
        <v>5</v>
      </c>
      <c r="G170" s="64">
        <f t="shared" si="78"/>
        <v>440</v>
      </c>
      <c r="H170" s="64">
        <f t="shared" si="79"/>
        <v>440</v>
      </c>
      <c r="I170" s="70" t="s">
        <v>675</v>
      </c>
      <c r="J170" s="62"/>
      <c r="K170" s="8"/>
      <c r="L170" s="10"/>
      <c r="M170" s="62">
        <v>1</v>
      </c>
      <c r="N170" s="8"/>
      <c r="O170" s="62">
        <f t="shared" si="80"/>
        <v>1</v>
      </c>
      <c r="P170" s="62"/>
      <c r="Q170" s="6"/>
      <c r="R170" s="6"/>
      <c r="S170" s="64">
        <v>0</v>
      </c>
      <c r="T170" s="22">
        <v>5</v>
      </c>
      <c r="U170" s="64">
        <f t="shared" si="81"/>
        <v>0</v>
      </c>
      <c r="V170" s="22"/>
      <c r="W170" s="22"/>
      <c r="X170" s="62" t="s">
        <v>798</v>
      </c>
      <c r="Y170" s="62"/>
      <c r="Z170" s="62"/>
      <c r="AA170" s="65">
        <v>-20</v>
      </c>
      <c r="AB170" s="66"/>
      <c r="AC170" s="62" t="s">
        <v>887</v>
      </c>
      <c r="AD170" s="62" t="str">
        <f>VLOOKUP(X170,'Customer List'!B:C,2,)</f>
        <v>delhi</v>
      </c>
      <c r="AE170" s="67" t="s">
        <v>829</v>
      </c>
      <c r="AF170" s="6"/>
      <c r="AG170" s="62" t="str">
        <f t="shared" si="82"/>
        <v/>
      </c>
      <c r="AH170" s="62" t="str">
        <f t="shared" si="83"/>
        <v>Saturday</v>
      </c>
      <c r="AI170" s="62" t="str">
        <f t="shared" si="84"/>
        <v/>
      </c>
      <c r="AJ170" s="62" t="str">
        <f>VLOOKUP(AC170,'Currency Sheet'!A:C,3,)</f>
        <v>DOLLAR</v>
      </c>
      <c r="AK170" s="62" t="str">
        <f>VLOOKUP(X170,'Customer List'!B:D,3,)</f>
        <v>Local</v>
      </c>
    </row>
    <row r="171" spans="1:37" hidden="1" x14ac:dyDescent="0.25">
      <c r="A171" s="62">
        <f t="shared" si="62"/>
        <v>157</v>
      </c>
      <c r="B171" s="62" t="s">
        <v>810</v>
      </c>
      <c r="C171" s="62" t="s">
        <v>613</v>
      </c>
      <c r="D171" s="6">
        <v>46073</v>
      </c>
      <c r="E171" s="6">
        <v>46074</v>
      </c>
      <c r="F171" s="63">
        <v>65000</v>
      </c>
      <c r="G171" s="64">
        <f t="shared" si="78"/>
        <v>65000</v>
      </c>
      <c r="H171" s="64">
        <f t="shared" si="79"/>
        <v>130000</v>
      </c>
      <c r="I171" s="70">
        <v>160069</v>
      </c>
      <c r="J171" s="62"/>
      <c r="K171" s="8"/>
      <c r="L171" s="10"/>
      <c r="M171" s="62">
        <v>2</v>
      </c>
      <c r="N171" s="8"/>
      <c r="O171" s="62">
        <f t="shared" si="80"/>
        <v>2</v>
      </c>
      <c r="P171" s="62"/>
      <c r="Q171" s="6"/>
      <c r="R171" s="6"/>
      <c r="S171" s="64"/>
      <c r="T171" s="22">
        <v>5</v>
      </c>
      <c r="U171" s="64">
        <f t="shared" si="81"/>
        <v>0</v>
      </c>
      <c r="V171" s="22"/>
      <c r="W171" s="22"/>
      <c r="X171" s="62" t="s">
        <v>257</v>
      </c>
      <c r="Y171" s="62"/>
      <c r="Z171" s="62"/>
      <c r="AA171" s="65">
        <v>4</v>
      </c>
      <c r="AB171" s="66"/>
      <c r="AC171" s="62" t="s">
        <v>810</v>
      </c>
      <c r="AD171" s="62" t="str">
        <f>VLOOKUP(X171,'Customer List'!B:C,2,)</f>
        <v>STOCK</v>
      </c>
      <c r="AE171" s="67" t="s">
        <v>789</v>
      </c>
      <c r="AF171" s="6"/>
      <c r="AG171" s="62" t="str">
        <f t="shared" si="82"/>
        <v/>
      </c>
      <c r="AH171" s="62" t="str">
        <f t="shared" si="83"/>
        <v/>
      </c>
      <c r="AI171" s="62" t="str">
        <f t="shared" si="84"/>
        <v/>
      </c>
      <c r="AJ171" s="62" t="str">
        <f>VLOOKUP(AC171,'Currency Sheet'!A:C,3,)</f>
        <v>INR</v>
      </c>
      <c r="AK171" s="62" t="str">
        <f>VLOOKUP(X171,'Customer List'!B:D,3,)</f>
        <v>STOCK</v>
      </c>
    </row>
    <row r="172" spans="1:37" hidden="1" x14ac:dyDescent="0.25">
      <c r="A172" s="62">
        <f t="shared" si="62"/>
        <v>158</v>
      </c>
      <c r="B172" s="62" t="s">
        <v>810</v>
      </c>
      <c r="C172" s="62" t="s">
        <v>613</v>
      </c>
      <c r="D172" s="6">
        <v>46073</v>
      </c>
      <c r="E172" s="6">
        <v>46074</v>
      </c>
      <c r="F172" s="63">
        <v>65000</v>
      </c>
      <c r="G172" s="64">
        <f t="shared" si="78"/>
        <v>65000</v>
      </c>
      <c r="H172" s="64">
        <f t="shared" si="79"/>
        <v>130000</v>
      </c>
      <c r="I172" s="70">
        <v>160069</v>
      </c>
      <c r="J172" s="62"/>
      <c r="K172" s="8"/>
      <c r="L172" s="10"/>
      <c r="M172" s="62">
        <v>2</v>
      </c>
      <c r="N172" s="8"/>
      <c r="O172" s="62">
        <f t="shared" si="80"/>
        <v>2</v>
      </c>
      <c r="P172" s="62"/>
      <c r="Q172" s="6"/>
      <c r="R172" s="6"/>
      <c r="S172" s="64"/>
      <c r="T172" s="22">
        <v>5</v>
      </c>
      <c r="U172" s="64">
        <f t="shared" si="81"/>
        <v>0</v>
      </c>
      <c r="V172" s="22"/>
      <c r="W172" s="22"/>
      <c r="X172" s="62" t="s">
        <v>797</v>
      </c>
      <c r="Y172" s="62"/>
      <c r="Z172" s="62"/>
      <c r="AA172" s="65">
        <v>4</v>
      </c>
      <c r="AB172" s="66"/>
      <c r="AC172" s="62" t="s">
        <v>810</v>
      </c>
      <c r="AD172" s="62" t="str">
        <f>VLOOKUP(X172,'Customer List'!B:C,2,)</f>
        <v>Delhi</v>
      </c>
      <c r="AE172" s="67" t="s">
        <v>821</v>
      </c>
      <c r="AF172" s="6"/>
      <c r="AG172" s="62" t="str">
        <f t="shared" si="82"/>
        <v/>
      </c>
      <c r="AH172" s="62" t="str">
        <f t="shared" si="83"/>
        <v/>
      </c>
      <c r="AI172" s="62" t="str">
        <f t="shared" si="84"/>
        <v/>
      </c>
      <c r="AJ172" s="62" t="str">
        <f>VLOOKUP(AC172,'Currency Sheet'!A:C,3,)</f>
        <v>INR</v>
      </c>
      <c r="AK172" s="62" t="str">
        <f>VLOOKUP(X172,'Customer List'!B:D,3,)</f>
        <v>Local</v>
      </c>
    </row>
    <row r="173" spans="1:37" hidden="1" x14ac:dyDescent="0.25">
      <c r="A173" s="62">
        <f t="shared" si="62"/>
        <v>159</v>
      </c>
      <c r="B173" s="62" t="s">
        <v>810</v>
      </c>
      <c r="C173" s="62" t="s">
        <v>613</v>
      </c>
      <c r="D173" s="6">
        <v>46073</v>
      </c>
      <c r="E173" s="6">
        <v>46074</v>
      </c>
      <c r="F173" s="63">
        <v>10003.5</v>
      </c>
      <c r="G173" s="64">
        <f t="shared" si="78"/>
        <v>10003.5</v>
      </c>
      <c r="H173" s="64">
        <f t="shared" si="79"/>
        <v>10003.5</v>
      </c>
      <c r="I173" s="70">
        <v>196055</v>
      </c>
      <c r="J173" s="62"/>
      <c r="K173" s="8"/>
      <c r="L173" s="10"/>
      <c r="M173" s="62">
        <v>1</v>
      </c>
      <c r="N173" s="8"/>
      <c r="O173" s="62">
        <f t="shared" si="80"/>
        <v>1</v>
      </c>
      <c r="P173" s="62"/>
      <c r="Q173" s="6"/>
      <c r="R173" s="6"/>
      <c r="S173" s="64"/>
      <c r="T173" s="22">
        <v>5</v>
      </c>
      <c r="U173" s="64">
        <f t="shared" si="81"/>
        <v>0</v>
      </c>
      <c r="V173" s="22"/>
      <c r="W173" s="22"/>
      <c r="X173" s="62" t="s">
        <v>797</v>
      </c>
      <c r="Y173" s="62"/>
      <c r="Z173" s="62"/>
      <c r="AA173" s="65" t="s">
        <v>808</v>
      </c>
      <c r="AB173" s="66"/>
      <c r="AC173" s="62" t="s">
        <v>810</v>
      </c>
      <c r="AD173" s="62" t="str">
        <f>VLOOKUP(X173,'Customer List'!B:C,2,)</f>
        <v>Delhi</v>
      </c>
      <c r="AE173" s="67" t="s">
        <v>821</v>
      </c>
      <c r="AF173" s="6"/>
      <c r="AG173" s="62" t="str">
        <f t="shared" si="82"/>
        <v/>
      </c>
      <c r="AH173" s="62" t="str">
        <f t="shared" si="83"/>
        <v/>
      </c>
      <c r="AI173" s="62" t="str">
        <f t="shared" si="84"/>
        <v/>
      </c>
      <c r="AJ173" s="62" t="str">
        <f>VLOOKUP(AC173,'Currency Sheet'!A:C,3,)</f>
        <v>INR</v>
      </c>
      <c r="AK173" s="62" t="str">
        <f>VLOOKUP(X173,'Customer List'!B:D,3,)</f>
        <v>Local</v>
      </c>
    </row>
    <row r="174" spans="1:37" hidden="1" x14ac:dyDescent="0.25">
      <c r="A174" s="62">
        <f t="shared" si="62"/>
        <v>160</v>
      </c>
      <c r="B174" s="62" t="s">
        <v>824</v>
      </c>
      <c r="C174" s="62" t="s">
        <v>614</v>
      </c>
      <c r="D174" s="62" t="s">
        <v>614</v>
      </c>
      <c r="E174" s="6">
        <v>46076</v>
      </c>
      <c r="F174" s="63">
        <v>21</v>
      </c>
      <c r="G174" s="64">
        <f t="shared" si="78"/>
        <v>1848</v>
      </c>
      <c r="H174" s="64">
        <f t="shared" si="79"/>
        <v>1848</v>
      </c>
      <c r="I174" s="70">
        <v>421501</v>
      </c>
      <c r="J174" s="62"/>
      <c r="K174" s="8"/>
      <c r="L174" s="10"/>
      <c r="M174" s="62">
        <v>1</v>
      </c>
      <c r="N174" s="8">
        <v>1</v>
      </c>
      <c r="O174" s="62">
        <f t="shared" si="80"/>
        <v>0</v>
      </c>
      <c r="P174" s="62">
        <v>248</v>
      </c>
      <c r="Q174" s="6">
        <v>46142</v>
      </c>
      <c r="R174" s="6">
        <v>46144</v>
      </c>
      <c r="S174" s="64">
        <v>3487.5</v>
      </c>
      <c r="T174" s="22">
        <v>5</v>
      </c>
      <c r="U174" s="64">
        <f t="shared" si="81"/>
        <v>174.375</v>
      </c>
      <c r="V174" s="22">
        <v>1500</v>
      </c>
      <c r="W174" s="22">
        <v>5237</v>
      </c>
      <c r="X174" s="62" t="s">
        <v>799</v>
      </c>
      <c r="Y174" s="62">
        <v>58164991356</v>
      </c>
      <c r="Z174" s="62" t="s">
        <v>1112</v>
      </c>
      <c r="AA174" s="65">
        <v>4</v>
      </c>
      <c r="AB174" s="66"/>
      <c r="AC174" s="62" t="s">
        <v>824</v>
      </c>
      <c r="AD174" s="62" t="str">
        <f>VLOOKUP(X174,'Customer List'!B:C,2,)</f>
        <v>Banglore</v>
      </c>
      <c r="AE174" s="67" t="s">
        <v>2233</v>
      </c>
      <c r="AF174" s="6">
        <v>46148</v>
      </c>
      <c r="AG174" s="62">
        <f t="shared" si="82"/>
        <v>4</v>
      </c>
      <c r="AH174" s="62" t="str">
        <f t="shared" si="83"/>
        <v>Sunday</v>
      </c>
      <c r="AI174" s="62" t="str">
        <f t="shared" si="84"/>
        <v>Wednesday</v>
      </c>
      <c r="AJ174" s="62" t="str">
        <f>VLOOKUP(AC174,'Currency Sheet'!A:C,3,)</f>
        <v>DOLLAR</v>
      </c>
      <c r="AK174" s="62" t="str">
        <f>VLOOKUP(X174,'Customer List'!B:D,3,)</f>
        <v>OutStation</v>
      </c>
    </row>
    <row r="175" spans="1:37" s="56" customFormat="1" hidden="1" x14ac:dyDescent="0.25">
      <c r="A175" s="48">
        <f t="shared" si="62"/>
        <v>161</v>
      </c>
      <c r="B175" s="48" t="s">
        <v>810</v>
      </c>
      <c r="C175" s="48" t="s">
        <v>615</v>
      </c>
      <c r="D175" s="50">
        <v>46072</v>
      </c>
      <c r="E175" s="50">
        <v>46076</v>
      </c>
      <c r="F175" s="57">
        <v>3965.25</v>
      </c>
      <c r="G175" s="51">
        <f t="shared" si="78"/>
        <v>3965.25</v>
      </c>
      <c r="H175" s="51">
        <f t="shared" si="79"/>
        <v>3965.25</v>
      </c>
      <c r="I175" s="58">
        <v>100498</v>
      </c>
      <c r="J175" s="48"/>
      <c r="K175" s="47"/>
      <c r="L175" s="49"/>
      <c r="M175" s="48">
        <v>1</v>
      </c>
      <c r="N175" s="47">
        <v>1</v>
      </c>
      <c r="O175" s="48">
        <f t="shared" si="80"/>
        <v>0</v>
      </c>
      <c r="P175" s="48" t="s">
        <v>2496</v>
      </c>
      <c r="Q175" s="50">
        <v>46153</v>
      </c>
      <c r="R175" s="50">
        <v>46153</v>
      </c>
      <c r="S175" s="51">
        <v>4758.3</v>
      </c>
      <c r="T175" s="52">
        <v>18</v>
      </c>
      <c r="U175" s="51">
        <f t="shared" si="81"/>
        <v>856.49400000000003</v>
      </c>
      <c r="V175" s="52">
        <v>0.2</v>
      </c>
      <c r="W175" s="52">
        <v>5615</v>
      </c>
      <c r="X175" s="48" t="s">
        <v>797</v>
      </c>
      <c r="Y175" s="48" t="s">
        <v>1120</v>
      </c>
      <c r="Z175" s="48" t="s">
        <v>1863</v>
      </c>
      <c r="AA175" s="53">
        <v>4</v>
      </c>
      <c r="AB175" s="54"/>
      <c r="AC175" s="48" t="s">
        <v>810</v>
      </c>
      <c r="AD175" s="48" t="str">
        <f>VLOOKUP(X175,'Customer List'!B:C,2,)</f>
        <v>Delhi</v>
      </c>
      <c r="AE175" s="55" t="s">
        <v>789</v>
      </c>
      <c r="AF175" s="50"/>
      <c r="AG175" s="48" t="str">
        <f t="shared" si="82"/>
        <v/>
      </c>
      <c r="AH175" s="48" t="str">
        <f t="shared" si="83"/>
        <v>Thursday</v>
      </c>
      <c r="AI175" s="48" t="str">
        <f t="shared" si="84"/>
        <v/>
      </c>
      <c r="AJ175" s="48" t="str">
        <f>VLOOKUP(AC175,'Currency Sheet'!A:C,3,)</f>
        <v>INR</v>
      </c>
      <c r="AK175" s="48" t="str">
        <f>VLOOKUP(X175,'Customer List'!B:D,3,)</f>
        <v>Local</v>
      </c>
    </row>
    <row r="176" spans="1:37" ht="30" hidden="1" x14ac:dyDescent="0.25">
      <c r="A176" s="62">
        <f t="shared" si="62"/>
        <v>162</v>
      </c>
      <c r="B176" s="62" t="s">
        <v>27</v>
      </c>
      <c r="C176" s="62" t="s">
        <v>616</v>
      </c>
      <c r="D176" s="6">
        <v>46073</v>
      </c>
      <c r="E176" s="6">
        <v>46078</v>
      </c>
      <c r="F176" s="63">
        <v>5</v>
      </c>
      <c r="G176" s="64">
        <f t="shared" si="78"/>
        <v>440</v>
      </c>
      <c r="H176" s="64">
        <f t="shared" si="79"/>
        <v>440</v>
      </c>
      <c r="I176" s="70" t="s">
        <v>676</v>
      </c>
      <c r="J176" s="62" t="s">
        <v>743</v>
      </c>
      <c r="K176" s="8"/>
      <c r="L176" s="10"/>
      <c r="M176" s="62">
        <v>1</v>
      </c>
      <c r="N176" s="8"/>
      <c r="O176" s="62">
        <f t="shared" si="80"/>
        <v>1</v>
      </c>
      <c r="P176" s="62"/>
      <c r="Q176" s="6"/>
      <c r="R176" s="6"/>
      <c r="S176" s="64">
        <v>0</v>
      </c>
      <c r="T176" s="22">
        <v>5</v>
      </c>
      <c r="U176" s="64">
        <f t="shared" si="81"/>
        <v>0</v>
      </c>
      <c r="V176" s="22"/>
      <c r="W176" s="22"/>
      <c r="X176" s="62" t="s">
        <v>257</v>
      </c>
      <c r="Y176" s="62"/>
      <c r="Z176" s="62"/>
      <c r="AA176" s="65">
        <v>-20</v>
      </c>
      <c r="AB176" s="66" t="s">
        <v>2234</v>
      </c>
      <c r="AC176" s="62" t="s">
        <v>27</v>
      </c>
      <c r="AD176" s="62" t="str">
        <f>VLOOKUP(X176,'Customer List'!B:C,2,)</f>
        <v>STOCK</v>
      </c>
      <c r="AE176" s="66" t="s">
        <v>2234</v>
      </c>
      <c r="AF176" s="6"/>
      <c r="AG176" s="62" t="str">
        <f t="shared" si="82"/>
        <v/>
      </c>
      <c r="AH176" s="62" t="str">
        <f t="shared" si="83"/>
        <v>Saturday</v>
      </c>
      <c r="AI176" s="62" t="str">
        <f t="shared" si="84"/>
        <v/>
      </c>
      <c r="AJ176" s="62" t="str">
        <f>VLOOKUP(AC176,'Currency Sheet'!A:C,3,)</f>
        <v>DOLLAR</v>
      </c>
      <c r="AK176" s="62" t="str">
        <f>VLOOKUP(X176,'Customer List'!B:D,3,)</f>
        <v>STOCK</v>
      </c>
    </row>
    <row r="177" spans="1:37" hidden="1" x14ac:dyDescent="0.25">
      <c r="A177" s="62">
        <f t="shared" si="62"/>
        <v>163</v>
      </c>
      <c r="B177" s="62" t="s">
        <v>824</v>
      </c>
      <c r="C177" s="62" t="s">
        <v>617</v>
      </c>
      <c r="D177" s="6">
        <v>46073</v>
      </c>
      <c r="E177" s="6">
        <v>46084</v>
      </c>
      <c r="F177" s="63">
        <v>318</v>
      </c>
      <c r="G177" s="64">
        <f t="shared" si="78"/>
        <v>27984</v>
      </c>
      <c r="H177" s="64">
        <f t="shared" si="79"/>
        <v>27984</v>
      </c>
      <c r="I177" s="70">
        <v>317438</v>
      </c>
      <c r="J177" s="62" t="s">
        <v>744</v>
      </c>
      <c r="K177" s="8"/>
      <c r="L177" s="10"/>
      <c r="M177" s="62">
        <v>1</v>
      </c>
      <c r="N177" s="8">
        <v>1</v>
      </c>
      <c r="O177" s="62">
        <f t="shared" si="80"/>
        <v>0</v>
      </c>
      <c r="P177" s="62">
        <v>6</v>
      </c>
      <c r="Q177" s="6">
        <v>46115</v>
      </c>
      <c r="R177" s="6">
        <v>46116</v>
      </c>
      <c r="S177" s="64">
        <v>39602.5</v>
      </c>
      <c r="T177" s="22">
        <v>5</v>
      </c>
      <c r="U177" s="64">
        <f t="shared" si="81"/>
        <v>1980.125</v>
      </c>
      <c r="V177" s="22">
        <v>0</v>
      </c>
      <c r="W177" s="22">
        <v>381030</v>
      </c>
      <c r="X177" s="62" t="s">
        <v>795</v>
      </c>
      <c r="Y177" s="62">
        <v>58163867204</v>
      </c>
      <c r="Z177" s="62" t="s">
        <v>1112</v>
      </c>
      <c r="AA177" s="65">
        <v>4</v>
      </c>
      <c r="AB177" s="66"/>
      <c r="AC177" s="62" t="s">
        <v>824</v>
      </c>
      <c r="AD177" s="62" t="str">
        <f>VLOOKUP(X177,'Customer List'!B:C,2,)</f>
        <v>Banglore</v>
      </c>
      <c r="AE177" s="67" t="s">
        <v>834</v>
      </c>
      <c r="AF177" s="6">
        <v>46118</v>
      </c>
      <c r="AG177" s="62">
        <f t="shared" si="82"/>
        <v>2</v>
      </c>
      <c r="AH177" s="62" t="str">
        <f t="shared" si="83"/>
        <v>Tuesday</v>
      </c>
      <c r="AI177" s="62" t="str">
        <f t="shared" si="84"/>
        <v>Monday</v>
      </c>
      <c r="AJ177" s="62" t="str">
        <f>VLOOKUP(AC177,'Currency Sheet'!A:C,3,)</f>
        <v>DOLLAR</v>
      </c>
      <c r="AK177" s="62" t="str">
        <f>VLOOKUP(X177,'Customer List'!B:D,3,)</f>
        <v>OutStation</v>
      </c>
    </row>
    <row r="178" spans="1:37" hidden="1" x14ac:dyDescent="0.25">
      <c r="A178" s="62">
        <f t="shared" si="62"/>
        <v>164</v>
      </c>
      <c r="B178" s="62" t="s">
        <v>824</v>
      </c>
      <c r="C178" s="62" t="s">
        <v>617</v>
      </c>
      <c r="D178" s="6">
        <v>46073</v>
      </c>
      <c r="E178" s="6">
        <v>46084</v>
      </c>
      <c r="F178" s="63">
        <v>267.39999999999998</v>
      </c>
      <c r="G178" s="64">
        <f t="shared" si="78"/>
        <v>23531.199999999997</v>
      </c>
      <c r="H178" s="64">
        <f t="shared" si="79"/>
        <v>23531.199999999997</v>
      </c>
      <c r="I178" s="70">
        <v>325622</v>
      </c>
      <c r="J178" s="62" t="s">
        <v>745</v>
      </c>
      <c r="K178" s="8"/>
      <c r="L178" s="10"/>
      <c r="M178" s="62">
        <v>1</v>
      </c>
      <c r="N178" s="8">
        <v>1</v>
      </c>
      <c r="O178" s="62">
        <f t="shared" si="80"/>
        <v>0</v>
      </c>
      <c r="P178" s="62">
        <v>6</v>
      </c>
      <c r="Q178" s="6">
        <v>46115</v>
      </c>
      <c r="R178" s="6">
        <v>46116</v>
      </c>
      <c r="S178" s="64">
        <v>35526</v>
      </c>
      <c r="T178" s="22">
        <v>5</v>
      </c>
      <c r="U178" s="64">
        <f t="shared" si="81"/>
        <v>1776.3000000000002</v>
      </c>
      <c r="V178" s="22">
        <v>0</v>
      </c>
      <c r="W178" s="22">
        <v>381030</v>
      </c>
      <c r="X178" s="62" t="s">
        <v>795</v>
      </c>
      <c r="Y178" s="62">
        <v>58163867204</v>
      </c>
      <c r="Z178" s="62" t="s">
        <v>1112</v>
      </c>
      <c r="AA178" s="65">
        <v>4</v>
      </c>
      <c r="AB178" s="66"/>
      <c r="AC178" s="62" t="s">
        <v>824</v>
      </c>
      <c r="AD178" s="62" t="str">
        <f>VLOOKUP(X178,'Customer List'!B:C,2,)</f>
        <v>Banglore</v>
      </c>
      <c r="AE178" s="67" t="s">
        <v>834</v>
      </c>
      <c r="AF178" s="6">
        <v>46118</v>
      </c>
      <c r="AG178" s="62">
        <f t="shared" si="82"/>
        <v>2</v>
      </c>
      <c r="AH178" s="62" t="str">
        <f t="shared" si="83"/>
        <v>Sunday</v>
      </c>
      <c r="AI178" s="62" t="str">
        <f t="shared" si="84"/>
        <v>Monday</v>
      </c>
      <c r="AJ178" s="62" t="str">
        <f>VLOOKUP(AC178,'Currency Sheet'!A:C,3,)</f>
        <v>DOLLAR</v>
      </c>
      <c r="AK178" s="62" t="str">
        <f>VLOOKUP(X178,'Customer List'!B:D,3,)</f>
        <v>OutStation</v>
      </c>
    </row>
    <row r="179" spans="1:37" hidden="1" x14ac:dyDescent="0.25">
      <c r="A179" s="62">
        <f t="shared" si="62"/>
        <v>165</v>
      </c>
      <c r="B179" s="62" t="s">
        <v>824</v>
      </c>
      <c r="C179" s="62" t="s">
        <v>617</v>
      </c>
      <c r="D179" s="6">
        <v>46073</v>
      </c>
      <c r="E179" s="6">
        <v>46084</v>
      </c>
      <c r="F179" s="63">
        <v>259</v>
      </c>
      <c r="G179" s="64">
        <f t="shared" si="78"/>
        <v>22792</v>
      </c>
      <c r="H179" s="64">
        <f t="shared" si="79"/>
        <v>22792</v>
      </c>
      <c r="I179" s="70">
        <v>372214</v>
      </c>
      <c r="J179" s="62" t="s">
        <v>746</v>
      </c>
      <c r="K179" s="8"/>
      <c r="L179" s="10"/>
      <c r="M179" s="62">
        <v>1</v>
      </c>
      <c r="N179" s="8">
        <v>1</v>
      </c>
      <c r="O179" s="62">
        <f t="shared" si="80"/>
        <v>0</v>
      </c>
      <c r="P179" s="62">
        <v>6</v>
      </c>
      <c r="Q179" s="6">
        <v>46115</v>
      </c>
      <c r="R179" s="6">
        <v>46116</v>
      </c>
      <c r="S179" s="64">
        <v>34410</v>
      </c>
      <c r="T179" s="22">
        <v>5</v>
      </c>
      <c r="U179" s="64">
        <f t="shared" si="81"/>
        <v>1720.5</v>
      </c>
      <c r="V179" s="22">
        <v>0</v>
      </c>
      <c r="W179" s="22">
        <v>381030</v>
      </c>
      <c r="X179" s="62" t="s">
        <v>795</v>
      </c>
      <c r="Y179" s="62">
        <v>58163867204</v>
      </c>
      <c r="Z179" s="62" t="s">
        <v>1112</v>
      </c>
      <c r="AA179" s="65">
        <v>4</v>
      </c>
      <c r="AB179" s="66"/>
      <c r="AC179" s="62" t="s">
        <v>824</v>
      </c>
      <c r="AD179" s="62" t="str">
        <f>VLOOKUP(X179,'Customer List'!B:C,2,)</f>
        <v>Banglore</v>
      </c>
      <c r="AE179" s="67" t="s">
        <v>834</v>
      </c>
      <c r="AF179" s="6">
        <v>46118</v>
      </c>
      <c r="AG179" s="62">
        <f t="shared" si="82"/>
        <v>2</v>
      </c>
      <c r="AH179" s="62" t="str">
        <f t="shared" si="83"/>
        <v>Thursday</v>
      </c>
      <c r="AI179" s="62" t="str">
        <f t="shared" si="84"/>
        <v>Monday</v>
      </c>
      <c r="AJ179" s="62" t="str">
        <f>VLOOKUP(AC179,'Currency Sheet'!A:C,3,)</f>
        <v>DOLLAR</v>
      </c>
      <c r="AK179" s="62" t="str">
        <f>VLOOKUP(X179,'Customer List'!B:D,3,)</f>
        <v>OutStation</v>
      </c>
    </row>
    <row r="180" spans="1:37" hidden="1" x14ac:dyDescent="0.25">
      <c r="A180" s="62">
        <f t="shared" si="62"/>
        <v>166</v>
      </c>
      <c r="B180" s="62" t="s">
        <v>810</v>
      </c>
      <c r="C180" s="62" t="s">
        <v>618</v>
      </c>
      <c r="D180" s="6">
        <v>46083</v>
      </c>
      <c r="E180" s="6">
        <v>46090</v>
      </c>
      <c r="F180" s="63">
        <v>13338</v>
      </c>
      <c r="G180" s="64">
        <f t="shared" si="78"/>
        <v>13338</v>
      </c>
      <c r="H180" s="64">
        <f t="shared" si="79"/>
        <v>13338</v>
      </c>
      <c r="I180" s="70">
        <v>19605590</v>
      </c>
      <c r="J180" s="62"/>
      <c r="K180" s="8"/>
      <c r="L180" s="10"/>
      <c r="M180" s="62">
        <v>1</v>
      </c>
      <c r="N180" s="8"/>
      <c r="O180" s="62">
        <f t="shared" si="80"/>
        <v>1</v>
      </c>
      <c r="P180" s="62"/>
      <c r="Q180" s="6"/>
      <c r="R180" s="6"/>
      <c r="S180" s="64"/>
      <c r="T180" s="22">
        <v>5</v>
      </c>
      <c r="U180" s="64">
        <f t="shared" si="81"/>
        <v>0</v>
      </c>
      <c r="V180" s="22"/>
      <c r="W180" s="22"/>
      <c r="X180" s="62" t="s">
        <v>257</v>
      </c>
      <c r="Y180" s="62"/>
      <c r="Z180" s="62"/>
      <c r="AA180" s="65" t="s">
        <v>808</v>
      </c>
      <c r="AB180" s="66"/>
      <c r="AC180" s="62" t="s">
        <v>810</v>
      </c>
      <c r="AD180" s="62" t="str">
        <f>VLOOKUP(X180,'Customer List'!B:C,2,)</f>
        <v>STOCK</v>
      </c>
      <c r="AE180" s="67" t="s">
        <v>249</v>
      </c>
      <c r="AF180" s="6"/>
      <c r="AG180" s="62" t="str">
        <f t="shared" si="82"/>
        <v/>
      </c>
      <c r="AH180" s="62" t="str">
        <f t="shared" si="83"/>
        <v/>
      </c>
      <c r="AI180" s="62" t="str">
        <f t="shared" si="84"/>
        <v/>
      </c>
      <c r="AJ180" s="62" t="str">
        <f>VLOOKUP(AC180,'Currency Sheet'!A:C,3,)</f>
        <v>INR</v>
      </c>
      <c r="AK180" s="62" t="str">
        <f>VLOOKUP(X180,'Customer List'!B:D,3,)</f>
        <v>STOCK</v>
      </c>
    </row>
    <row r="181" spans="1:37" hidden="1" x14ac:dyDescent="0.25">
      <c r="A181" s="62">
        <f t="shared" si="62"/>
        <v>167</v>
      </c>
      <c r="B181" s="62" t="s">
        <v>891</v>
      </c>
      <c r="C181" s="62">
        <v>260226006</v>
      </c>
      <c r="D181" s="6">
        <v>46079</v>
      </c>
      <c r="E181" s="6">
        <v>46100</v>
      </c>
      <c r="F181" s="63">
        <v>0.1</v>
      </c>
      <c r="G181" s="64">
        <f t="shared" si="78"/>
        <v>8.8000000000000007</v>
      </c>
      <c r="H181" s="64">
        <f t="shared" si="79"/>
        <v>17.600000000000001</v>
      </c>
      <c r="I181" s="70" t="s">
        <v>677</v>
      </c>
      <c r="J181" s="62"/>
      <c r="K181" s="8"/>
      <c r="L181" s="10"/>
      <c r="M181" s="62">
        <v>2</v>
      </c>
      <c r="N181" s="8"/>
      <c r="O181" s="62">
        <f t="shared" si="80"/>
        <v>2</v>
      </c>
      <c r="P181" s="70"/>
      <c r="Q181" s="71"/>
      <c r="R181" s="6"/>
      <c r="S181" s="64">
        <v>0</v>
      </c>
      <c r="T181" s="22">
        <v>5</v>
      </c>
      <c r="U181" s="64">
        <f t="shared" si="81"/>
        <v>0</v>
      </c>
      <c r="V181" s="22"/>
      <c r="W181" s="22"/>
      <c r="X181" s="62" t="s">
        <v>340</v>
      </c>
      <c r="Y181" s="62"/>
      <c r="Z181" s="62"/>
      <c r="AA181" s="65">
        <v>-20</v>
      </c>
      <c r="AB181" s="66"/>
      <c r="AC181" s="62" t="s">
        <v>891</v>
      </c>
      <c r="AD181" s="62" t="str">
        <f>VLOOKUP(X181,'Customer List'!B:C,2,)</f>
        <v>delhi</v>
      </c>
      <c r="AE181" s="67" t="s">
        <v>829</v>
      </c>
      <c r="AF181" s="6"/>
      <c r="AG181" s="62" t="str">
        <f t="shared" si="82"/>
        <v/>
      </c>
      <c r="AH181" s="62" t="str">
        <f t="shared" si="83"/>
        <v>Saturday</v>
      </c>
      <c r="AI181" s="62" t="str">
        <f t="shared" si="84"/>
        <v/>
      </c>
      <c r="AJ181" s="62" t="str">
        <f>VLOOKUP(AC181,'Currency Sheet'!A:C,3,)</f>
        <v>DOLLAR</v>
      </c>
      <c r="AK181" s="62" t="str">
        <f>VLOOKUP(X181,'Customer List'!B:D,3,)</f>
        <v>Local</v>
      </c>
    </row>
    <row r="182" spans="1:37" hidden="1" x14ac:dyDescent="0.25">
      <c r="A182" s="62">
        <f t="shared" si="62"/>
        <v>168</v>
      </c>
      <c r="B182" s="62" t="s">
        <v>891</v>
      </c>
      <c r="C182" s="62">
        <v>260226006</v>
      </c>
      <c r="D182" s="6">
        <v>46079</v>
      </c>
      <c r="E182" s="6">
        <v>46100</v>
      </c>
      <c r="F182" s="63">
        <v>0.1</v>
      </c>
      <c r="G182" s="64">
        <f t="shared" si="78"/>
        <v>8.8000000000000007</v>
      </c>
      <c r="H182" s="64">
        <f t="shared" si="79"/>
        <v>8.8000000000000007</v>
      </c>
      <c r="I182" s="70" t="s">
        <v>677</v>
      </c>
      <c r="J182" s="62"/>
      <c r="K182" s="8"/>
      <c r="L182" s="10"/>
      <c r="M182" s="62">
        <v>1</v>
      </c>
      <c r="N182" s="8">
        <v>1</v>
      </c>
      <c r="O182" s="62">
        <f t="shared" si="80"/>
        <v>0</v>
      </c>
      <c r="P182" s="70" t="s">
        <v>2244</v>
      </c>
      <c r="Q182" s="71">
        <v>46142</v>
      </c>
      <c r="R182" s="6">
        <v>46142</v>
      </c>
      <c r="S182" s="64">
        <v>0</v>
      </c>
      <c r="T182" s="22">
        <v>18</v>
      </c>
      <c r="U182" s="64">
        <f t="shared" si="81"/>
        <v>0</v>
      </c>
      <c r="V182" s="22">
        <v>0</v>
      </c>
      <c r="W182" s="22">
        <v>0</v>
      </c>
      <c r="X182" s="62" t="s">
        <v>793</v>
      </c>
      <c r="Y182" s="62" t="s">
        <v>1120</v>
      </c>
      <c r="Z182" s="62" t="s">
        <v>821</v>
      </c>
      <c r="AA182" s="65">
        <v>-20</v>
      </c>
      <c r="AB182" s="66" t="s">
        <v>2243</v>
      </c>
      <c r="AC182" s="62" t="s">
        <v>891</v>
      </c>
      <c r="AD182" s="62" t="str">
        <f>VLOOKUP(X182,'Customer List'!B:C,2,)</f>
        <v>Delhi</v>
      </c>
      <c r="AE182" s="67" t="s">
        <v>829</v>
      </c>
      <c r="AF182" s="6"/>
      <c r="AG182" s="62" t="str">
        <f t="shared" si="82"/>
        <v/>
      </c>
      <c r="AH182" s="62" t="str">
        <f t="shared" si="83"/>
        <v>Saturday</v>
      </c>
      <c r="AI182" s="62" t="str">
        <f t="shared" si="84"/>
        <v/>
      </c>
      <c r="AJ182" s="62" t="str">
        <f>VLOOKUP(AC182,'Currency Sheet'!A:C,3,)</f>
        <v>DOLLAR</v>
      </c>
      <c r="AK182" s="62" t="str">
        <f>VLOOKUP(X182,'Customer List'!B:D,3,)</f>
        <v>Local</v>
      </c>
    </row>
    <row r="183" spans="1:37" hidden="1" x14ac:dyDescent="0.25">
      <c r="A183" s="62">
        <f t="shared" si="62"/>
        <v>169</v>
      </c>
      <c r="B183" s="62" t="s">
        <v>891</v>
      </c>
      <c r="C183" s="62">
        <v>260226006</v>
      </c>
      <c r="D183" s="6">
        <v>46079</v>
      </c>
      <c r="E183" s="6">
        <v>46100</v>
      </c>
      <c r="F183" s="63">
        <v>0.1</v>
      </c>
      <c r="G183" s="64">
        <f t="shared" si="78"/>
        <v>8.8000000000000007</v>
      </c>
      <c r="H183" s="64">
        <f t="shared" si="79"/>
        <v>17.600000000000001</v>
      </c>
      <c r="I183" s="70" t="s">
        <v>678</v>
      </c>
      <c r="J183" s="62"/>
      <c r="K183" s="8"/>
      <c r="L183" s="10"/>
      <c r="M183" s="62">
        <v>2</v>
      </c>
      <c r="N183" s="8"/>
      <c r="O183" s="62">
        <f t="shared" si="80"/>
        <v>2</v>
      </c>
      <c r="P183" s="70"/>
      <c r="Q183" s="71"/>
      <c r="R183" s="6"/>
      <c r="S183" s="64">
        <v>0</v>
      </c>
      <c r="T183" s="22">
        <v>5</v>
      </c>
      <c r="U183" s="64">
        <f t="shared" si="81"/>
        <v>0</v>
      </c>
      <c r="V183" s="22"/>
      <c r="W183" s="22"/>
      <c r="X183" s="62" t="s">
        <v>340</v>
      </c>
      <c r="Y183" s="62"/>
      <c r="Z183" s="62"/>
      <c r="AA183" s="65">
        <v>-20</v>
      </c>
      <c r="AB183" s="66"/>
      <c r="AC183" s="62" t="s">
        <v>891</v>
      </c>
      <c r="AD183" s="62" t="str">
        <f>VLOOKUP(X183,'Customer List'!B:C,2,)</f>
        <v>delhi</v>
      </c>
      <c r="AE183" s="67" t="s">
        <v>829</v>
      </c>
      <c r="AF183" s="6"/>
      <c r="AG183" s="62" t="str">
        <f t="shared" si="82"/>
        <v/>
      </c>
      <c r="AH183" s="62" t="str">
        <f t="shared" si="83"/>
        <v>Saturday</v>
      </c>
      <c r="AI183" s="62" t="str">
        <f t="shared" si="84"/>
        <v/>
      </c>
      <c r="AJ183" s="62" t="str">
        <f>VLOOKUP(AC183,'Currency Sheet'!A:C,3,)</f>
        <v>DOLLAR</v>
      </c>
      <c r="AK183" s="62" t="str">
        <f>VLOOKUP(X183,'Customer List'!B:D,3,)</f>
        <v>Local</v>
      </c>
    </row>
    <row r="184" spans="1:37" hidden="1" x14ac:dyDescent="0.25">
      <c r="A184" s="62">
        <f t="shared" si="62"/>
        <v>170</v>
      </c>
      <c r="B184" s="62" t="s">
        <v>891</v>
      </c>
      <c r="C184" s="62">
        <v>260226006</v>
      </c>
      <c r="D184" s="6">
        <v>46079</v>
      </c>
      <c r="E184" s="6">
        <v>46100</v>
      </c>
      <c r="F184" s="63">
        <v>0.1</v>
      </c>
      <c r="G184" s="64">
        <f t="shared" si="78"/>
        <v>8.8000000000000007</v>
      </c>
      <c r="H184" s="64">
        <f t="shared" si="79"/>
        <v>8.8000000000000007</v>
      </c>
      <c r="I184" s="70" t="s">
        <v>678</v>
      </c>
      <c r="J184" s="62"/>
      <c r="K184" s="8"/>
      <c r="L184" s="10"/>
      <c r="M184" s="62">
        <v>1</v>
      </c>
      <c r="N184" s="8">
        <v>1</v>
      </c>
      <c r="O184" s="62">
        <f t="shared" si="80"/>
        <v>0</v>
      </c>
      <c r="P184" s="70" t="s">
        <v>2244</v>
      </c>
      <c r="Q184" s="71">
        <v>46142</v>
      </c>
      <c r="R184" s="6">
        <v>46142</v>
      </c>
      <c r="S184" s="64">
        <v>0</v>
      </c>
      <c r="T184" s="22">
        <v>18</v>
      </c>
      <c r="U184" s="64">
        <f t="shared" si="81"/>
        <v>0</v>
      </c>
      <c r="V184" s="22">
        <v>0</v>
      </c>
      <c r="W184" s="22">
        <v>0</v>
      </c>
      <c r="X184" s="62" t="s">
        <v>793</v>
      </c>
      <c r="Y184" s="62" t="s">
        <v>1120</v>
      </c>
      <c r="Z184" s="62" t="s">
        <v>821</v>
      </c>
      <c r="AA184" s="65">
        <v>-20</v>
      </c>
      <c r="AB184" s="66" t="s">
        <v>2243</v>
      </c>
      <c r="AC184" s="62" t="s">
        <v>891</v>
      </c>
      <c r="AD184" s="62" t="str">
        <f>VLOOKUP(X184,'Customer List'!B:C,2,)</f>
        <v>Delhi</v>
      </c>
      <c r="AE184" s="67" t="s">
        <v>829</v>
      </c>
      <c r="AF184" s="6"/>
      <c r="AG184" s="62" t="str">
        <f t="shared" si="82"/>
        <v/>
      </c>
      <c r="AH184" s="62" t="str">
        <f t="shared" si="83"/>
        <v>Saturday</v>
      </c>
      <c r="AI184" s="62" t="str">
        <f t="shared" si="84"/>
        <v/>
      </c>
      <c r="AJ184" s="62" t="str">
        <f>VLOOKUP(AC184,'Currency Sheet'!A:C,3,)</f>
        <v>DOLLAR</v>
      </c>
      <c r="AK184" s="62" t="str">
        <f>VLOOKUP(X184,'Customer List'!B:D,3,)</f>
        <v>Local</v>
      </c>
    </row>
    <row r="185" spans="1:37" hidden="1" x14ac:dyDescent="0.25">
      <c r="A185" s="62">
        <f t="shared" si="62"/>
        <v>171</v>
      </c>
      <c r="B185" s="62" t="s">
        <v>891</v>
      </c>
      <c r="C185" s="62">
        <v>260226006</v>
      </c>
      <c r="D185" s="6">
        <v>46079</v>
      </c>
      <c r="E185" s="6">
        <v>46100</v>
      </c>
      <c r="F185" s="63">
        <v>0.1</v>
      </c>
      <c r="G185" s="64">
        <f t="shared" si="78"/>
        <v>8.8000000000000007</v>
      </c>
      <c r="H185" s="64">
        <f t="shared" si="79"/>
        <v>17.600000000000001</v>
      </c>
      <c r="I185" s="70" t="s">
        <v>679</v>
      </c>
      <c r="J185" s="62"/>
      <c r="K185" s="8"/>
      <c r="L185" s="10"/>
      <c r="M185" s="62">
        <v>2</v>
      </c>
      <c r="N185" s="8"/>
      <c r="O185" s="62">
        <f t="shared" si="80"/>
        <v>2</v>
      </c>
      <c r="P185" s="70"/>
      <c r="Q185" s="71"/>
      <c r="R185" s="6"/>
      <c r="S185" s="64">
        <v>0</v>
      </c>
      <c r="T185" s="22">
        <v>5</v>
      </c>
      <c r="U185" s="64">
        <f t="shared" si="81"/>
        <v>0</v>
      </c>
      <c r="V185" s="22"/>
      <c r="W185" s="22"/>
      <c r="X185" s="62" t="s">
        <v>340</v>
      </c>
      <c r="Y185" s="62"/>
      <c r="Z185" s="62"/>
      <c r="AA185" s="65">
        <v>-20</v>
      </c>
      <c r="AB185" s="66"/>
      <c r="AC185" s="62" t="s">
        <v>891</v>
      </c>
      <c r="AD185" s="62" t="str">
        <f>VLOOKUP(X185,'Customer List'!B:C,2,)</f>
        <v>delhi</v>
      </c>
      <c r="AE185" s="67" t="s">
        <v>829</v>
      </c>
      <c r="AF185" s="6"/>
      <c r="AG185" s="62" t="str">
        <f t="shared" si="82"/>
        <v/>
      </c>
      <c r="AH185" s="62" t="str">
        <f t="shared" si="83"/>
        <v>Saturday</v>
      </c>
      <c r="AI185" s="62" t="str">
        <f t="shared" si="84"/>
        <v/>
      </c>
      <c r="AJ185" s="62" t="str">
        <f>VLOOKUP(AC185,'Currency Sheet'!A:C,3,)</f>
        <v>DOLLAR</v>
      </c>
      <c r="AK185" s="62" t="str">
        <f>VLOOKUP(X185,'Customer List'!B:D,3,)</f>
        <v>Local</v>
      </c>
    </row>
    <row r="186" spans="1:37" hidden="1" x14ac:dyDescent="0.25">
      <c r="A186" s="62">
        <f t="shared" si="62"/>
        <v>172</v>
      </c>
      <c r="B186" s="62" t="s">
        <v>891</v>
      </c>
      <c r="C186" s="62">
        <v>260226006</v>
      </c>
      <c r="D186" s="6">
        <v>46079</v>
      </c>
      <c r="E186" s="6">
        <v>46100</v>
      </c>
      <c r="F186" s="63">
        <v>0.1</v>
      </c>
      <c r="G186" s="64">
        <f t="shared" si="78"/>
        <v>8.8000000000000007</v>
      </c>
      <c r="H186" s="64">
        <f t="shared" si="79"/>
        <v>8.8000000000000007</v>
      </c>
      <c r="I186" s="70" t="s">
        <v>679</v>
      </c>
      <c r="J186" s="62"/>
      <c r="K186" s="8"/>
      <c r="L186" s="10"/>
      <c r="M186" s="62">
        <v>1</v>
      </c>
      <c r="N186" s="8">
        <v>1</v>
      </c>
      <c r="O186" s="62">
        <f t="shared" si="80"/>
        <v>0</v>
      </c>
      <c r="P186" s="70" t="s">
        <v>2244</v>
      </c>
      <c r="Q186" s="71">
        <v>46142</v>
      </c>
      <c r="R186" s="6">
        <v>46142</v>
      </c>
      <c r="S186" s="64">
        <v>0</v>
      </c>
      <c r="T186" s="22">
        <v>18</v>
      </c>
      <c r="U186" s="64">
        <f t="shared" si="81"/>
        <v>0</v>
      </c>
      <c r="V186" s="22">
        <v>0</v>
      </c>
      <c r="W186" s="22">
        <v>0</v>
      </c>
      <c r="X186" s="62" t="s">
        <v>793</v>
      </c>
      <c r="Y186" s="62" t="s">
        <v>1120</v>
      </c>
      <c r="Z186" s="62" t="s">
        <v>821</v>
      </c>
      <c r="AA186" s="65">
        <v>-20</v>
      </c>
      <c r="AB186" s="66" t="s">
        <v>2243</v>
      </c>
      <c r="AC186" s="62" t="s">
        <v>891</v>
      </c>
      <c r="AD186" s="62" t="str">
        <f>VLOOKUP(X186,'Customer List'!B:C,2,)</f>
        <v>Delhi</v>
      </c>
      <c r="AE186" s="67" t="s">
        <v>829</v>
      </c>
      <c r="AF186" s="6"/>
      <c r="AG186" s="62" t="str">
        <f t="shared" si="82"/>
        <v/>
      </c>
      <c r="AH186" s="62" t="str">
        <f t="shared" si="83"/>
        <v>Saturday</v>
      </c>
      <c r="AI186" s="62" t="str">
        <f t="shared" si="84"/>
        <v/>
      </c>
      <c r="AJ186" s="62" t="str">
        <f>VLOOKUP(AC186,'Currency Sheet'!A:C,3,)</f>
        <v>DOLLAR</v>
      </c>
      <c r="AK186" s="62" t="str">
        <f>VLOOKUP(X186,'Customer List'!B:D,3,)</f>
        <v>Local</v>
      </c>
    </row>
    <row r="187" spans="1:37" hidden="1" x14ac:dyDescent="0.25">
      <c r="A187" s="62">
        <f t="shared" si="62"/>
        <v>173</v>
      </c>
      <c r="B187" s="62" t="s">
        <v>891</v>
      </c>
      <c r="C187" s="62">
        <v>260226006</v>
      </c>
      <c r="D187" s="6">
        <v>46079</v>
      </c>
      <c r="E187" s="6">
        <v>46100</v>
      </c>
      <c r="F187" s="63">
        <v>0.1</v>
      </c>
      <c r="G187" s="64">
        <f t="shared" si="78"/>
        <v>8.8000000000000007</v>
      </c>
      <c r="H187" s="64">
        <f t="shared" si="79"/>
        <v>17.600000000000001</v>
      </c>
      <c r="I187" s="70" t="s">
        <v>680</v>
      </c>
      <c r="J187" s="62"/>
      <c r="K187" s="8"/>
      <c r="L187" s="10"/>
      <c r="M187" s="62">
        <v>2</v>
      </c>
      <c r="N187" s="8"/>
      <c r="O187" s="62">
        <f t="shared" si="80"/>
        <v>2</v>
      </c>
      <c r="P187" s="70"/>
      <c r="Q187" s="71"/>
      <c r="R187" s="6"/>
      <c r="S187" s="64">
        <v>0</v>
      </c>
      <c r="T187" s="22">
        <v>5</v>
      </c>
      <c r="U187" s="64">
        <f t="shared" si="81"/>
        <v>0</v>
      </c>
      <c r="V187" s="22"/>
      <c r="W187" s="22"/>
      <c r="X187" s="62" t="s">
        <v>340</v>
      </c>
      <c r="Y187" s="62"/>
      <c r="Z187" s="62"/>
      <c r="AA187" s="65">
        <v>-20</v>
      </c>
      <c r="AB187" s="66"/>
      <c r="AC187" s="62" t="s">
        <v>891</v>
      </c>
      <c r="AD187" s="62" t="str">
        <f>VLOOKUP(X187,'Customer List'!B:C,2,)</f>
        <v>delhi</v>
      </c>
      <c r="AE187" s="67" t="s">
        <v>829</v>
      </c>
      <c r="AF187" s="6"/>
      <c r="AG187" s="62" t="str">
        <f t="shared" si="82"/>
        <v/>
      </c>
      <c r="AH187" s="62" t="str">
        <f t="shared" si="83"/>
        <v>Saturday</v>
      </c>
      <c r="AI187" s="62" t="str">
        <f t="shared" si="84"/>
        <v/>
      </c>
      <c r="AJ187" s="62" t="str">
        <f>VLOOKUP(AC187,'Currency Sheet'!A:C,3,)</f>
        <v>DOLLAR</v>
      </c>
      <c r="AK187" s="62" t="str">
        <f>VLOOKUP(X187,'Customer List'!B:D,3,)</f>
        <v>Local</v>
      </c>
    </row>
    <row r="188" spans="1:37" hidden="1" x14ac:dyDescent="0.25">
      <c r="A188" s="62">
        <f t="shared" si="62"/>
        <v>174</v>
      </c>
      <c r="B188" s="62" t="s">
        <v>891</v>
      </c>
      <c r="C188" s="62">
        <v>260226006</v>
      </c>
      <c r="D188" s="6">
        <v>46079</v>
      </c>
      <c r="E188" s="6">
        <v>46100</v>
      </c>
      <c r="F188" s="63">
        <v>0.1</v>
      </c>
      <c r="G188" s="64">
        <f t="shared" si="78"/>
        <v>8.8000000000000007</v>
      </c>
      <c r="H188" s="64">
        <f t="shared" si="79"/>
        <v>8.8000000000000007</v>
      </c>
      <c r="I188" s="70" t="s">
        <v>680</v>
      </c>
      <c r="J188" s="62"/>
      <c r="K188" s="8"/>
      <c r="L188" s="10"/>
      <c r="M188" s="62">
        <v>1</v>
      </c>
      <c r="N188" s="8">
        <v>1</v>
      </c>
      <c r="O188" s="62">
        <f t="shared" si="80"/>
        <v>0</v>
      </c>
      <c r="P188" s="70" t="s">
        <v>2244</v>
      </c>
      <c r="Q188" s="71">
        <v>46142</v>
      </c>
      <c r="R188" s="6">
        <v>46142</v>
      </c>
      <c r="S188" s="64">
        <v>0</v>
      </c>
      <c r="T188" s="22">
        <v>18</v>
      </c>
      <c r="U188" s="64">
        <f t="shared" si="81"/>
        <v>0</v>
      </c>
      <c r="V188" s="22">
        <v>0</v>
      </c>
      <c r="W188" s="22">
        <v>0</v>
      </c>
      <c r="X188" s="62" t="s">
        <v>793</v>
      </c>
      <c r="Y188" s="62" t="s">
        <v>1120</v>
      </c>
      <c r="Z188" s="62" t="s">
        <v>821</v>
      </c>
      <c r="AA188" s="65">
        <v>-20</v>
      </c>
      <c r="AB188" s="66" t="s">
        <v>2243</v>
      </c>
      <c r="AC188" s="62" t="s">
        <v>891</v>
      </c>
      <c r="AD188" s="62" t="str">
        <f>VLOOKUP(X188,'Customer List'!B:C,2,)</f>
        <v>Delhi</v>
      </c>
      <c r="AE188" s="67" t="s">
        <v>829</v>
      </c>
      <c r="AF188" s="6"/>
      <c r="AG188" s="62" t="str">
        <f t="shared" si="82"/>
        <v/>
      </c>
      <c r="AH188" s="62" t="str">
        <f t="shared" si="83"/>
        <v>Saturday</v>
      </c>
      <c r="AI188" s="62" t="str">
        <f t="shared" si="84"/>
        <v/>
      </c>
      <c r="AJ188" s="62" t="str">
        <f>VLOOKUP(AC188,'Currency Sheet'!A:C,3,)</f>
        <v>DOLLAR</v>
      </c>
      <c r="AK188" s="62" t="str">
        <f>VLOOKUP(X188,'Customer List'!B:D,3,)</f>
        <v>Local</v>
      </c>
    </row>
    <row r="189" spans="1:37" hidden="1" x14ac:dyDescent="0.25">
      <c r="A189" s="62">
        <f t="shared" si="62"/>
        <v>175</v>
      </c>
      <c r="B189" s="62" t="s">
        <v>35</v>
      </c>
      <c r="C189" s="62" t="s">
        <v>619</v>
      </c>
      <c r="D189" s="6">
        <v>46094</v>
      </c>
      <c r="E189" s="6">
        <v>46102</v>
      </c>
      <c r="F189" s="63">
        <v>112.8</v>
      </c>
      <c r="G189" s="64">
        <f t="shared" si="78"/>
        <v>9926.4</v>
      </c>
      <c r="H189" s="64">
        <f t="shared" si="79"/>
        <v>19852.8</v>
      </c>
      <c r="I189" s="70">
        <v>41003</v>
      </c>
      <c r="J189" s="62"/>
      <c r="K189" s="8"/>
      <c r="L189" s="10"/>
      <c r="M189" s="62">
        <v>2</v>
      </c>
      <c r="N189" s="8">
        <v>2</v>
      </c>
      <c r="O189" s="62">
        <f t="shared" si="80"/>
        <v>0</v>
      </c>
      <c r="P189" s="70" t="s">
        <v>2564</v>
      </c>
      <c r="Q189" s="71">
        <v>46157</v>
      </c>
      <c r="R189" s="6">
        <v>46158</v>
      </c>
      <c r="S189" s="64">
        <v>29580</v>
      </c>
      <c r="T189" s="22">
        <v>5</v>
      </c>
      <c r="U189" s="64">
        <f t="shared" si="81"/>
        <v>1479</v>
      </c>
      <c r="V189" s="22">
        <v>0</v>
      </c>
      <c r="W189" s="22">
        <v>59160</v>
      </c>
      <c r="X189" s="62" t="s">
        <v>100</v>
      </c>
      <c r="Y189" s="62">
        <v>58165586334</v>
      </c>
      <c r="Z189" s="62" t="s">
        <v>1112</v>
      </c>
      <c r="AA189" s="65" t="s">
        <v>808</v>
      </c>
      <c r="AB189" s="66"/>
      <c r="AC189" s="62" t="s">
        <v>35</v>
      </c>
      <c r="AD189" s="62" t="str">
        <f>VLOOKUP(X189,'Customer List'!B:C,2,)</f>
        <v>Banglore</v>
      </c>
      <c r="AE189" s="67"/>
      <c r="AF189" s="6">
        <v>46161</v>
      </c>
      <c r="AG189" s="62">
        <f t="shared" si="82"/>
        <v>3</v>
      </c>
      <c r="AH189" s="62" t="str">
        <f t="shared" si="83"/>
        <v>Thursday</v>
      </c>
      <c r="AI189" s="62" t="str">
        <f t="shared" si="84"/>
        <v>Tuesday</v>
      </c>
      <c r="AJ189" s="62" t="str">
        <f>VLOOKUP(AC189,'Currency Sheet'!A:C,3,)</f>
        <v>DOLLAR</v>
      </c>
      <c r="AK189" s="62" t="str">
        <f>VLOOKUP(X189,'Customer List'!B:D,3,)</f>
        <v>OutStation</v>
      </c>
    </row>
    <row r="190" spans="1:37" hidden="1" x14ac:dyDescent="0.25">
      <c r="A190" s="62">
        <f t="shared" si="62"/>
        <v>176</v>
      </c>
      <c r="B190" s="62" t="s">
        <v>35</v>
      </c>
      <c r="C190" s="62" t="s">
        <v>619</v>
      </c>
      <c r="D190" s="6">
        <v>46094</v>
      </c>
      <c r="E190" s="6">
        <v>46102</v>
      </c>
      <c r="F190" s="63">
        <v>112.8</v>
      </c>
      <c r="G190" s="64">
        <f t="shared" si="78"/>
        <v>9926.4</v>
      </c>
      <c r="H190" s="64">
        <f t="shared" si="79"/>
        <v>9926.4</v>
      </c>
      <c r="I190" s="70">
        <v>41003</v>
      </c>
      <c r="J190" s="62"/>
      <c r="K190" s="8"/>
      <c r="L190" s="10"/>
      <c r="M190" s="62">
        <v>1</v>
      </c>
      <c r="N190" s="8"/>
      <c r="O190" s="62">
        <f t="shared" si="80"/>
        <v>1</v>
      </c>
      <c r="P190" s="70"/>
      <c r="Q190" s="71"/>
      <c r="R190" s="6"/>
      <c r="S190" s="64"/>
      <c r="T190" s="22">
        <v>5</v>
      </c>
      <c r="U190" s="64">
        <f t="shared" si="81"/>
        <v>0</v>
      </c>
      <c r="V190" s="22"/>
      <c r="W190" s="22"/>
      <c r="X190" s="62" t="s">
        <v>257</v>
      </c>
      <c r="Y190" s="62"/>
      <c r="Z190" s="62"/>
      <c r="AA190" s="65" t="s">
        <v>808</v>
      </c>
      <c r="AB190" s="66"/>
      <c r="AC190" s="62" t="s">
        <v>35</v>
      </c>
      <c r="AD190" s="62" t="str">
        <f>VLOOKUP(X190,'Customer List'!B:C,2,)</f>
        <v>STOCK</v>
      </c>
      <c r="AE190" s="67"/>
      <c r="AF190" s="6"/>
      <c r="AG190" s="62" t="str">
        <f t="shared" si="82"/>
        <v/>
      </c>
      <c r="AH190" s="62" t="str">
        <f t="shared" si="83"/>
        <v/>
      </c>
      <c r="AI190" s="62" t="str">
        <f t="shared" si="84"/>
        <v/>
      </c>
      <c r="AJ190" s="62" t="str">
        <f>VLOOKUP(AC190,'Currency Sheet'!A:C,3,)</f>
        <v>DOLLAR</v>
      </c>
      <c r="AK190" s="62" t="str">
        <f>VLOOKUP(X190,'Customer List'!B:D,3,)</f>
        <v>STOCK</v>
      </c>
    </row>
    <row r="191" spans="1:37" hidden="1" x14ac:dyDescent="0.25">
      <c r="A191" s="62">
        <f t="shared" si="62"/>
        <v>177</v>
      </c>
      <c r="B191" s="62" t="s">
        <v>824</v>
      </c>
      <c r="C191" s="62" t="s">
        <v>620</v>
      </c>
      <c r="D191" s="6">
        <v>46097</v>
      </c>
      <c r="E191" s="6">
        <v>46108</v>
      </c>
      <c r="F191" s="63">
        <v>221.2</v>
      </c>
      <c r="G191" s="64">
        <f t="shared" si="78"/>
        <v>19465.599999999999</v>
      </c>
      <c r="H191" s="64">
        <f t="shared" si="79"/>
        <v>19465.599999999999</v>
      </c>
      <c r="I191" s="70">
        <v>310914</v>
      </c>
      <c r="J191" s="62" t="s">
        <v>747</v>
      </c>
      <c r="K191" s="8"/>
      <c r="L191" s="10"/>
      <c r="M191" s="62">
        <v>1</v>
      </c>
      <c r="N191" s="8">
        <v>1</v>
      </c>
      <c r="O191" s="62">
        <f t="shared" si="80"/>
        <v>0</v>
      </c>
      <c r="P191" s="70" t="s">
        <v>1450</v>
      </c>
      <c r="Q191" s="71">
        <v>46125</v>
      </c>
      <c r="R191" s="6">
        <v>46125</v>
      </c>
      <c r="S191" s="64">
        <v>0</v>
      </c>
      <c r="T191" s="22">
        <v>5</v>
      </c>
      <c r="U191" s="64">
        <f t="shared" si="81"/>
        <v>0</v>
      </c>
      <c r="V191" s="22">
        <v>0</v>
      </c>
      <c r="W191" s="22">
        <v>0</v>
      </c>
      <c r="X191" s="62" t="s">
        <v>792</v>
      </c>
      <c r="Y191" s="62" t="s">
        <v>1120</v>
      </c>
      <c r="Z191" s="62" t="s">
        <v>821</v>
      </c>
      <c r="AA191" s="65">
        <v>4</v>
      </c>
      <c r="AB191" s="66"/>
      <c r="AC191" s="62" t="s">
        <v>824</v>
      </c>
      <c r="AD191" s="62" t="str">
        <f>VLOOKUP(X191,'Customer List'!B:C,2,)</f>
        <v>Delhi</v>
      </c>
      <c r="AE191" s="67"/>
      <c r="AF191" s="6"/>
      <c r="AG191" s="62" t="str">
        <f t="shared" si="82"/>
        <v/>
      </c>
      <c r="AH191" s="62" t="str">
        <f t="shared" si="83"/>
        <v>Saturday</v>
      </c>
      <c r="AI191" s="62" t="str">
        <f t="shared" si="84"/>
        <v/>
      </c>
      <c r="AJ191" s="62" t="str">
        <f>VLOOKUP(AC191,'Currency Sheet'!A:C,3,)</f>
        <v>DOLLAR</v>
      </c>
      <c r="AK191" s="62" t="str">
        <f>VLOOKUP(X191,'Customer List'!B:D,3,)</f>
        <v>Local</v>
      </c>
    </row>
    <row r="192" spans="1:37" hidden="1" x14ac:dyDescent="0.25">
      <c r="A192" s="62">
        <f t="shared" si="62"/>
        <v>178</v>
      </c>
      <c r="B192" s="62" t="s">
        <v>824</v>
      </c>
      <c r="C192" s="62" t="s">
        <v>621</v>
      </c>
      <c r="D192" s="6">
        <v>46097</v>
      </c>
      <c r="E192" s="6">
        <v>46108</v>
      </c>
      <c r="F192" s="63">
        <v>39.200000000000003</v>
      </c>
      <c r="G192" s="64">
        <f t="shared" si="78"/>
        <v>3449.6000000000004</v>
      </c>
      <c r="H192" s="64">
        <f t="shared" si="79"/>
        <v>3449.6000000000004</v>
      </c>
      <c r="I192" s="70">
        <v>168203</v>
      </c>
      <c r="J192" s="62" t="s">
        <v>748</v>
      </c>
      <c r="K192" s="8"/>
      <c r="L192" s="10"/>
      <c r="M192" s="62">
        <v>1</v>
      </c>
      <c r="N192" s="8">
        <v>1</v>
      </c>
      <c r="O192" s="62">
        <f t="shared" si="80"/>
        <v>0</v>
      </c>
      <c r="P192" s="70" t="s">
        <v>1383</v>
      </c>
      <c r="Q192" s="71">
        <v>46116</v>
      </c>
      <c r="R192" s="6">
        <v>46116</v>
      </c>
      <c r="S192" s="64">
        <v>0</v>
      </c>
      <c r="T192" s="22">
        <v>0</v>
      </c>
      <c r="U192" s="64">
        <f t="shared" si="81"/>
        <v>0</v>
      </c>
      <c r="V192" s="22">
        <v>0</v>
      </c>
      <c r="W192" s="22"/>
      <c r="X192" s="62" t="s">
        <v>800</v>
      </c>
      <c r="Y192" s="62" t="s">
        <v>896</v>
      </c>
      <c r="Z192" s="62" t="s">
        <v>821</v>
      </c>
      <c r="AA192" s="65">
        <v>4</v>
      </c>
      <c r="AB192" s="66" t="s">
        <v>1384</v>
      </c>
      <c r="AC192" s="62" t="s">
        <v>824</v>
      </c>
      <c r="AD192" s="62" t="str">
        <f>VLOOKUP(X192,'Customer List'!B:C,2,)</f>
        <v>Delhi</v>
      </c>
      <c r="AE192" s="67"/>
      <c r="AF192" s="6"/>
      <c r="AG192" s="62" t="str">
        <f t="shared" si="82"/>
        <v/>
      </c>
      <c r="AH192" s="62" t="str">
        <f t="shared" si="83"/>
        <v>Saturday</v>
      </c>
      <c r="AI192" s="62" t="str">
        <f t="shared" si="84"/>
        <v/>
      </c>
      <c r="AJ192" s="62" t="str">
        <f>VLOOKUP(AC192,'Currency Sheet'!A:C,3,)</f>
        <v>DOLLAR</v>
      </c>
      <c r="AK192" s="62" t="str">
        <f>VLOOKUP(X192,'Customer List'!B:D,3,)</f>
        <v>Local</v>
      </c>
    </row>
    <row r="193" spans="1:37" hidden="1" x14ac:dyDescent="0.25">
      <c r="A193" s="62">
        <f t="shared" si="62"/>
        <v>179</v>
      </c>
      <c r="B193" s="62" t="s">
        <v>824</v>
      </c>
      <c r="C193" s="62" t="s">
        <v>621</v>
      </c>
      <c r="D193" s="6">
        <v>46097</v>
      </c>
      <c r="E193" s="6">
        <v>46108</v>
      </c>
      <c r="F193" s="63">
        <v>185.5</v>
      </c>
      <c r="G193" s="64">
        <f t="shared" si="78"/>
        <v>16324</v>
      </c>
      <c r="H193" s="64">
        <f t="shared" si="79"/>
        <v>16324</v>
      </c>
      <c r="I193" s="70">
        <v>300446</v>
      </c>
      <c r="J193" s="62" t="s">
        <v>749</v>
      </c>
      <c r="K193" s="8"/>
      <c r="L193" s="10"/>
      <c r="M193" s="62">
        <v>1</v>
      </c>
      <c r="N193" s="8">
        <v>1</v>
      </c>
      <c r="O193" s="62">
        <f t="shared" si="80"/>
        <v>0</v>
      </c>
      <c r="P193" s="70" t="s">
        <v>1115</v>
      </c>
      <c r="Q193" s="71">
        <v>46112</v>
      </c>
      <c r="R193" s="6">
        <v>46119</v>
      </c>
      <c r="S193" s="64">
        <v>26698.75</v>
      </c>
      <c r="T193" s="22">
        <v>5</v>
      </c>
      <c r="U193" s="64">
        <f t="shared" si="81"/>
        <v>1334.9375</v>
      </c>
      <c r="V193" s="22">
        <v>0</v>
      </c>
      <c r="W193" s="22">
        <v>714595</v>
      </c>
      <c r="X193" s="62" t="s">
        <v>552</v>
      </c>
      <c r="Y193" s="62">
        <v>58163967256</v>
      </c>
      <c r="Z193" s="62" t="s">
        <v>1112</v>
      </c>
      <c r="AA193" s="65">
        <v>4</v>
      </c>
      <c r="AB193" s="66"/>
      <c r="AC193" s="62" t="s">
        <v>824</v>
      </c>
      <c r="AD193" s="62" t="str">
        <f>VLOOKUP(X193,'Customer List'!B:C,2,)</f>
        <v>Jodhpur</v>
      </c>
      <c r="AE193" s="67" t="s">
        <v>1113</v>
      </c>
      <c r="AF193" s="6">
        <v>46121</v>
      </c>
      <c r="AG193" s="62">
        <f t="shared" si="82"/>
        <v>2</v>
      </c>
      <c r="AH193" s="62" t="str">
        <f t="shared" si="83"/>
        <v>Saturday</v>
      </c>
      <c r="AI193" s="62" t="str">
        <f t="shared" si="84"/>
        <v>Thursday</v>
      </c>
      <c r="AJ193" s="62" t="str">
        <f>VLOOKUP(AC193,'Currency Sheet'!A:C,3,)</f>
        <v>DOLLAR</v>
      </c>
      <c r="AK193" s="62" t="str">
        <f>VLOOKUP(X193,'Customer List'!B:D,3,)</f>
        <v>OutStation</v>
      </c>
    </row>
    <row r="194" spans="1:37" hidden="1" x14ac:dyDescent="0.25">
      <c r="A194" s="62">
        <f t="shared" ref="A194:A257" si="85">A193+1</f>
        <v>180</v>
      </c>
      <c r="B194" s="62" t="s">
        <v>824</v>
      </c>
      <c r="C194" s="62" t="s">
        <v>621</v>
      </c>
      <c r="D194" s="6">
        <v>46097</v>
      </c>
      <c r="E194" s="6">
        <v>46108</v>
      </c>
      <c r="F194" s="63">
        <v>326.25</v>
      </c>
      <c r="G194" s="64">
        <f t="shared" si="78"/>
        <v>28710</v>
      </c>
      <c r="H194" s="64">
        <f t="shared" si="79"/>
        <v>57420</v>
      </c>
      <c r="I194" s="70">
        <v>302044</v>
      </c>
      <c r="J194" s="62" t="s">
        <v>750</v>
      </c>
      <c r="K194" s="8"/>
      <c r="L194" s="10"/>
      <c r="M194" s="62">
        <v>2</v>
      </c>
      <c r="N194" s="8">
        <v>2</v>
      </c>
      <c r="O194" s="62">
        <f t="shared" si="80"/>
        <v>0</v>
      </c>
      <c r="P194" s="70" t="s">
        <v>1115</v>
      </c>
      <c r="Q194" s="71">
        <v>46112</v>
      </c>
      <c r="R194" s="6">
        <v>46119</v>
      </c>
      <c r="S194" s="64">
        <v>87652.5</v>
      </c>
      <c r="T194" s="22">
        <v>5</v>
      </c>
      <c r="U194" s="64">
        <f t="shared" si="81"/>
        <v>4382.625</v>
      </c>
      <c r="V194" s="22">
        <v>0</v>
      </c>
      <c r="W194" s="22">
        <v>714595</v>
      </c>
      <c r="X194" s="62" t="s">
        <v>552</v>
      </c>
      <c r="Y194" s="62">
        <v>58163967256</v>
      </c>
      <c r="Z194" s="62" t="s">
        <v>1112</v>
      </c>
      <c r="AA194" s="65">
        <v>4</v>
      </c>
      <c r="AB194" s="66"/>
      <c r="AC194" s="62" t="s">
        <v>824</v>
      </c>
      <c r="AD194" s="62" t="str">
        <f>VLOOKUP(X194,'Customer List'!B:C,2,)</f>
        <v>Jodhpur</v>
      </c>
      <c r="AE194" s="67" t="s">
        <v>1113</v>
      </c>
      <c r="AF194" s="6">
        <v>46121</v>
      </c>
      <c r="AG194" s="62">
        <f t="shared" si="82"/>
        <v>2</v>
      </c>
      <c r="AH194" s="62" t="str">
        <f t="shared" si="83"/>
        <v>Thursday</v>
      </c>
      <c r="AI194" s="62" t="str">
        <f t="shared" si="84"/>
        <v>Thursday</v>
      </c>
      <c r="AJ194" s="62" t="str">
        <f>VLOOKUP(AC194,'Currency Sheet'!A:C,3,)</f>
        <v>DOLLAR</v>
      </c>
      <c r="AK194" s="62" t="str">
        <f>VLOOKUP(X194,'Customer List'!B:D,3,)</f>
        <v>OutStation</v>
      </c>
    </row>
    <row r="195" spans="1:37" hidden="1" x14ac:dyDescent="0.25">
      <c r="A195" s="62">
        <f t="shared" si="85"/>
        <v>181</v>
      </c>
      <c r="B195" s="62" t="s">
        <v>824</v>
      </c>
      <c r="C195" s="62" t="s">
        <v>621</v>
      </c>
      <c r="D195" s="6">
        <v>46097</v>
      </c>
      <c r="E195" s="6">
        <v>46108</v>
      </c>
      <c r="F195" s="63">
        <v>204.4</v>
      </c>
      <c r="G195" s="64">
        <f t="shared" si="78"/>
        <v>17987.2</v>
      </c>
      <c r="H195" s="64">
        <f t="shared" si="79"/>
        <v>35974.400000000001</v>
      </c>
      <c r="I195" s="70">
        <v>302612</v>
      </c>
      <c r="J195" s="62" t="s">
        <v>751</v>
      </c>
      <c r="K195" s="8"/>
      <c r="L195" s="10"/>
      <c r="M195" s="62">
        <v>2</v>
      </c>
      <c r="N195" s="8">
        <v>2</v>
      </c>
      <c r="O195" s="62">
        <f t="shared" si="80"/>
        <v>0</v>
      </c>
      <c r="P195" s="70" t="s">
        <v>1115</v>
      </c>
      <c r="Q195" s="71">
        <v>46112</v>
      </c>
      <c r="R195" s="6">
        <v>46119</v>
      </c>
      <c r="S195" s="64">
        <v>58838</v>
      </c>
      <c r="T195" s="22">
        <v>5</v>
      </c>
      <c r="U195" s="64">
        <f t="shared" si="81"/>
        <v>2941.9</v>
      </c>
      <c r="V195" s="22">
        <v>0</v>
      </c>
      <c r="W195" s="22">
        <v>714595</v>
      </c>
      <c r="X195" s="62" t="s">
        <v>552</v>
      </c>
      <c r="Y195" s="62">
        <v>58163967256</v>
      </c>
      <c r="Z195" s="62" t="s">
        <v>1112</v>
      </c>
      <c r="AA195" s="65">
        <v>4</v>
      </c>
      <c r="AB195" s="66"/>
      <c r="AC195" s="62" t="s">
        <v>824</v>
      </c>
      <c r="AD195" s="62" t="str">
        <f>VLOOKUP(X195,'Customer List'!B:C,2,)</f>
        <v>Jodhpur</v>
      </c>
      <c r="AE195" s="67" t="s">
        <v>1113</v>
      </c>
      <c r="AF195" s="6">
        <v>46121</v>
      </c>
      <c r="AG195" s="62">
        <f t="shared" si="82"/>
        <v>2</v>
      </c>
      <c r="AH195" s="62" t="str">
        <f t="shared" si="83"/>
        <v>Tuesday</v>
      </c>
      <c r="AI195" s="62" t="str">
        <f t="shared" si="84"/>
        <v>Thursday</v>
      </c>
      <c r="AJ195" s="62" t="str">
        <f>VLOOKUP(AC195,'Currency Sheet'!A:C,3,)</f>
        <v>DOLLAR</v>
      </c>
      <c r="AK195" s="62" t="str">
        <f>VLOOKUP(X195,'Customer List'!B:D,3,)</f>
        <v>OutStation</v>
      </c>
    </row>
    <row r="196" spans="1:37" hidden="1" x14ac:dyDescent="0.25">
      <c r="A196" s="62">
        <f t="shared" si="85"/>
        <v>182</v>
      </c>
      <c r="B196" s="62" t="s">
        <v>824</v>
      </c>
      <c r="C196" s="62" t="s">
        <v>621</v>
      </c>
      <c r="D196" s="6">
        <v>46097</v>
      </c>
      <c r="E196" s="6">
        <v>46108</v>
      </c>
      <c r="F196" s="63">
        <v>129.5</v>
      </c>
      <c r="G196" s="64">
        <f t="shared" si="78"/>
        <v>11396</v>
      </c>
      <c r="H196" s="64">
        <f t="shared" si="79"/>
        <v>22792</v>
      </c>
      <c r="I196" s="70">
        <v>307614</v>
      </c>
      <c r="J196" s="62" t="s">
        <v>752</v>
      </c>
      <c r="K196" s="8"/>
      <c r="L196" s="10"/>
      <c r="M196" s="62">
        <v>2</v>
      </c>
      <c r="N196" s="8">
        <v>2</v>
      </c>
      <c r="O196" s="62">
        <f t="shared" si="80"/>
        <v>0</v>
      </c>
      <c r="P196" s="70" t="s">
        <v>1115</v>
      </c>
      <c r="Q196" s="71">
        <v>46112</v>
      </c>
      <c r="R196" s="6">
        <v>46119</v>
      </c>
      <c r="S196" s="64">
        <v>37277.5</v>
      </c>
      <c r="T196" s="22">
        <v>5</v>
      </c>
      <c r="U196" s="64">
        <f t="shared" si="81"/>
        <v>1863.875</v>
      </c>
      <c r="V196" s="22">
        <v>0</v>
      </c>
      <c r="W196" s="22">
        <v>714595</v>
      </c>
      <c r="X196" s="62" t="s">
        <v>552</v>
      </c>
      <c r="Y196" s="62">
        <v>58163967256</v>
      </c>
      <c r="Z196" s="62" t="s">
        <v>1112</v>
      </c>
      <c r="AA196" s="65">
        <v>4</v>
      </c>
      <c r="AB196" s="66"/>
      <c r="AC196" s="62" t="s">
        <v>824</v>
      </c>
      <c r="AD196" s="62" t="str">
        <f>VLOOKUP(X196,'Customer List'!B:C,2,)</f>
        <v>Jodhpur</v>
      </c>
      <c r="AE196" s="67" t="s">
        <v>1113</v>
      </c>
      <c r="AF196" s="6">
        <v>46121</v>
      </c>
      <c r="AG196" s="62">
        <f t="shared" si="82"/>
        <v>2</v>
      </c>
      <c r="AH196" s="62" t="str">
        <f t="shared" si="83"/>
        <v>Monday</v>
      </c>
      <c r="AI196" s="62" t="str">
        <f t="shared" si="84"/>
        <v>Thursday</v>
      </c>
      <c r="AJ196" s="62" t="str">
        <f>VLOOKUP(AC196,'Currency Sheet'!A:C,3,)</f>
        <v>DOLLAR</v>
      </c>
      <c r="AK196" s="62" t="str">
        <f>VLOOKUP(X196,'Customer List'!B:D,3,)</f>
        <v>OutStation</v>
      </c>
    </row>
    <row r="197" spans="1:37" hidden="1" x14ac:dyDescent="0.25">
      <c r="A197" s="62">
        <f t="shared" si="85"/>
        <v>183</v>
      </c>
      <c r="B197" s="62" t="s">
        <v>824</v>
      </c>
      <c r="C197" s="62" t="s">
        <v>621</v>
      </c>
      <c r="D197" s="6">
        <v>46097</v>
      </c>
      <c r="E197" s="6">
        <v>46108</v>
      </c>
      <c r="F197" s="63">
        <v>293.25</v>
      </c>
      <c r="G197" s="64">
        <f t="shared" si="78"/>
        <v>25806</v>
      </c>
      <c r="H197" s="64">
        <f t="shared" si="79"/>
        <v>51612</v>
      </c>
      <c r="I197" s="70">
        <v>317444</v>
      </c>
      <c r="J197" s="62" t="s">
        <v>744</v>
      </c>
      <c r="K197" s="8"/>
      <c r="L197" s="10"/>
      <c r="M197" s="62">
        <v>2</v>
      </c>
      <c r="N197" s="8">
        <v>2</v>
      </c>
      <c r="O197" s="62">
        <f t="shared" si="80"/>
        <v>0</v>
      </c>
      <c r="P197" s="70" t="s">
        <v>1115</v>
      </c>
      <c r="Q197" s="71">
        <v>46112</v>
      </c>
      <c r="R197" s="6">
        <v>46119</v>
      </c>
      <c r="S197" s="64">
        <v>78786.5</v>
      </c>
      <c r="T197" s="22">
        <v>5</v>
      </c>
      <c r="U197" s="64">
        <f t="shared" si="81"/>
        <v>3939.3250000000003</v>
      </c>
      <c r="V197" s="22">
        <v>0</v>
      </c>
      <c r="W197" s="22">
        <v>714595</v>
      </c>
      <c r="X197" s="62" t="s">
        <v>552</v>
      </c>
      <c r="Y197" s="62">
        <v>58163967256</v>
      </c>
      <c r="Z197" s="62" t="s">
        <v>1112</v>
      </c>
      <c r="AA197" s="65">
        <v>4</v>
      </c>
      <c r="AB197" s="66"/>
      <c r="AC197" s="62" t="s">
        <v>824</v>
      </c>
      <c r="AD197" s="62" t="str">
        <f>VLOOKUP(X197,'Customer List'!B:C,2,)</f>
        <v>Jodhpur</v>
      </c>
      <c r="AE197" s="67" t="s">
        <v>1113</v>
      </c>
      <c r="AF197" s="6">
        <v>46121</v>
      </c>
      <c r="AG197" s="62">
        <f t="shared" si="82"/>
        <v>2</v>
      </c>
      <c r="AH197" s="62" t="str">
        <f t="shared" si="83"/>
        <v>Sunday</v>
      </c>
      <c r="AI197" s="62" t="str">
        <f t="shared" si="84"/>
        <v>Thursday</v>
      </c>
      <c r="AJ197" s="62" t="str">
        <f>VLOOKUP(AC197,'Currency Sheet'!A:C,3,)</f>
        <v>DOLLAR</v>
      </c>
      <c r="AK197" s="62" t="str">
        <f>VLOOKUP(X197,'Customer List'!B:D,3,)</f>
        <v>OutStation</v>
      </c>
    </row>
    <row r="198" spans="1:37" hidden="1" x14ac:dyDescent="0.25">
      <c r="A198" s="62">
        <f t="shared" si="85"/>
        <v>184</v>
      </c>
      <c r="B198" s="62" t="s">
        <v>824</v>
      </c>
      <c r="C198" s="62" t="s">
        <v>621</v>
      </c>
      <c r="D198" s="6">
        <v>46097</v>
      </c>
      <c r="E198" s="6">
        <v>46108</v>
      </c>
      <c r="F198" s="63">
        <v>326.25</v>
      </c>
      <c r="G198" s="64">
        <f t="shared" si="78"/>
        <v>28710</v>
      </c>
      <c r="H198" s="64">
        <f t="shared" si="79"/>
        <v>57420</v>
      </c>
      <c r="I198" s="70">
        <v>320124</v>
      </c>
      <c r="J198" s="62" t="s">
        <v>753</v>
      </c>
      <c r="K198" s="8"/>
      <c r="L198" s="10"/>
      <c r="M198" s="62">
        <v>2</v>
      </c>
      <c r="N198" s="8">
        <v>2</v>
      </c>
      <c r="O198" s="62">
        <f t="shared" si="80"/>
        <v>0</v>
      </c>
      <c r="P198" s="70" t="s">
        <v>1115</v>
      </c>
      <c r="Q198" s="71">
        <v>46112</v>
      </c>
      <c r="R198" s="6">
        <v>46119</v>
      </c>
      <c r="S198" s="64">
        <v>87652.5</v>
      </c>
      <c r="T198" s="22">
        <v>5</v>
      </c>
      <c r="U198" s="64">
        <f t="shared" si="81"/>
        <v>4382.625</v>
      </c>
      <c r="V198" s="22">
        <v>0</v>
      </c>
      <c r="W198" s="22">
        <v>714595</v>
      </c>
      <c r="X198" s="62" t="s">
        <v>552</v>
      </c>
      <c r="Y198" s="62">
        <v>58163967256</v>
      </c>
      <c r="Z198" s="62" t="s">
        <v>1112</v>
      </c>
      <c r="AA198" s="65">
        <v>4</v>
      </c>
      <c r="AB198" s="66"/>
      <c r="AC198" s="62" t="s">
        <v>824</v>
      </c>
      <c r="AD198" s="62" t="str">
        <f>VLOOKUP(X198,'Customer List'!B:C,2,)</f>
        <v>Jodhpur</v>
      </c>
      <c r="AE198" s="67" t="s">
        <v>1113</v>
      </c>
      <c r="AF198" s="6">
        <v>46121</v>
      </c>
      <c r="AG198" s="62">
        <f t="shared" si="82"/>
        <v>2</v>
      </c>
      <c r="AH198" s="62" t="str">
        <f t="shared" si="83"/>
        <v>Thursday</v>
      </c>
      <c r="AI198" s="62" t="str">
        <f t="shared" si="84"/>
        <v>Thursday</v>
      </c>
      <c r="AJ198" s="62" t="str">
        <f>VLOOKUP(AC198,'Currency Sheet'!A:C,3,)</f>
        <v>DOLLAR</v>
      </c>
      <c r="AK198" s="62" t="str">
        <f>VLOOKUP(X198,'Customer List'!B:D,3,)</f>
        <v>OutStation</v>
      </c>
    </row>
    <row r="199" spans="1:37" hidden="1" x14ac:dyDescent="0.25">
      <c r="A199" s="62">
        <f t="shared" si="85"/>
        <v>185</v>
      </c>
      <c r="B199" s="62" t="s">
        <v>824</v>
      </c>
      <c r="C199" s="62" t="s">
        <v>621</v>
      </c>
      <c r="D199" s="6">
        <v>46097</v>
      </c>
      <c r="E199" s="6">
        <v>46108</v>
      </c>
      <c r="F199" s="63">
        <v>160.30000000000001</v>
      </c>
      <c r="G199" s="64">
        <f t="shared" si="78"/>
        <v>14106.400000000001</v>
      </c>
      <c r="H199" s="64">
        <f t="shared" si="79"/>
        <v>28212.800000000003</v>
      </c>
      <c r="I199" s="70">
        <v>352304</v>
      </c>
      <c r="J199" s="62" t="s">
        <v>754</v>
      </c>
      <c r="K199" s="8"/>
      <c r="L199" s="10"/>
      <c r="M199" s="62">
        <v>2</v>
      </c>
      <c r="N199" s="8">
        <v>2</v>
      </c>
      <c r="O199" s="62">
        <f t="shared" si="80"/>
        <v>0</v>
      </c>
      <c r="P199" s="70" t="s">
        <v>1115</v>
      </c>
      <c r="Q199" s="71">
        <v>46112</v>
      </c>
      <c r="R199" s="6">
        <v>46119</v>
      </c>
      <c r="S199" s="64">
        <v>46143.5</v>
      </c>
      <c r="T199" s="22">
        <v>5</v>
      </c>
      <c r="U199" s="64">
        <f t="shared" si="81"/>
        <v>2307.1750000000002</v>
      </c>
      <c r="V199" s="22">
        <v>0</v>
      </c>
      <c r="W199" s="22">
        <v>714595</v>
      </c>
      <c r="X199" s="62" t="s">
        <v>552</v>
      </c>
      <c r="Y199" s="62">
        <v>58163967256</v>
      </c>
      <c r="Z199" s="62" t="s">
        <v>1112</v>
      </c>
      <c r="AA199" s="65">
        <v>4</v>
      </c>
      <c r="AB199" s="66"/>
      <c r="AC199" s="62" t="s">
        <v>824</v>
      </c>
      <c r="AD199" s="62" t="str">
        <f>VLOOKUP(X199,'Customer List'!B:C,2,)</f>
        <v>Jodhpur</v>
      </c>
      <c r="AE199" s="67" t="s">
        <v>1113</v>
      </c>
      <c r="AF199" s="6">
        <v>46121</v>
      </c>
      <c r="AG199" s="62">
        <f t="shared" si="82"/>
        <v>2</v>
      </c>
      <c r="AH199" s="62" t="str">
        <f t="shared" si="83"/>
        <v>Friday</v>
      </c>
      <c r="AI199" s="62" t="str">
        <f t="shared" si="84"/>
        <v>Thursday</v>
      </c>
      <c r="AJ199" s="62" t="str">
        <f>VLOOKUP(AC199,'Currency Sheet'!A:C,3,)</f>
        <v>DOLLAR</v>
      </c>
      <c r="AK199" s="62" t="str">
        <f>VLOOKUP(X199,'Customer List'!B:D,3,)</f>
        <v>OutStation</v>
      </c>
    </row>
    <row r="200" spans="1:37" hidden="1" x14ac:dyDescent="0.25">
      <c r="A200" s="62">
        <f t="shared" si="85"/>
        <v>186</v>
      </c>
      <c r="B200" s="62" t="s">
        <v>824</v>
      </c>
      <c r="C200" s="62" t="s">
        <v>621</v>
      </c>
      <c r="D200" s="6">
        <v>46097</v>
      </c>
      <c r="E200" s="6">
        <v>46108</v>
      </c>
      <c r="F200" s="63">
        <v>196.7</v>
      </c>
      <c r="G200" s="64">
        <f t="shared" si="78"/>
        <v>17309.599999999999</v>
      </c>
      <c r="H200" s="64">
        <f t="shared" si="79"/>
        <v>34619.199999999997</v>
      </c>
      <c r="I200" s="70">
        <v>368506</v>
      </c>
      <c r="J200" s="62" t="s">
        <v>755</v>
      </c>
      <c r="K200" s="8"/>
      <c r="L200" s="10"/>
      <c r="M200" s="62">
        <v>2</v>
      </c>
      <c r="N200" s="8">
        <v>2</v>
      </c>
      <c r="O200" s="62">
        <f t="shared" si="80"/>
        <v>0</v>
      </c>
      <c r="P200" s="70" t="s">
        <v>1115</v>
      </c>
      <c r="Q200" s="71">
        <v>46112</v>
      </c>
      <c r="R200" s="6">
        <v>46119</v>
      </c>
      <c r="S200" s="64">
        <v>56621.5</v>
      </c>
      <c r="T200" s="22">
        <v>5</v>
      </c>
      <c r="U200" s="64">
        <f t="shared" si="81"/>
        <v>2831.0750000000003</v>
      </c>
      <c r="V200" s="22">
        <v>0</v>
      </c>
      <c r="W200" s="22">
        <v>714595</v>
      </c>
      <c r="X200" s="62" t="s">
        <v>552</v>
      </c>
      <c r="Y200" s="62">
        <v>58163967256</v>
      </c>
      <c r="Z200" s="62" t="s">
        <v>1112</v>
      </c>
      <c r="AA200" s="65">
        <v>4</v>
      </c>
      <c r="AB200" s="66"/>
      <c r="AC200" s="62" t="s">
        <v>824</v>
      </c>
      <c r="AD200" s="62" t="str">
        <f>VLOOKUP(X200,'Customer List'!B:C,2,)</f>
        <v>Jodhpur</v>
      </c>
      <c r="AE200" s="67" t="s">
        <v>1113</v>
      </c>
      <c r="AF200" s="6">
        <v>46121</v>
      </c>
      <c r="AG200" s="62">
        <f t="shared" si="82"/>
        <v>2</v>
      </c>
      <c r="AH200" s="62" t="str">
        <f t="shared" si="83"/>
        <v>Thursday</v>
      </c>
      <c r="AI200" s="62" t="str">
        <f t="shared" ref="AI200:AI231" si="86">IF(AF200="", "", TEXT(AF200, "dddd"))</f>
        <v>Thursday</v>
      </c>
      <c r="AJ200" s="62" t="str">
        <f>VLOOKUP(AC200,'Currency Sheet'!A:C,3,)</f>
        <v>DOLLAR</v>
      </c>
      <c r="AK200" s="62" t="str">
        <f>VLOOKUP(X200,'Customer List'!B:D,3,)</f>
        <v>OutStation</v>
      </c>
    </row>
    <row r="201" spans="1:37" hidden="1" x14ac:dyDescent="0.25">
      <c r="A201" s="62">
        <f t="shared" si="85"/>
        <v>187</v>
      </c>
      <c r="B201" s="62" t="s">
        <v>824</v>
      </c>
      <c r="C201" s="62" t="s">
        <v>621</v>
      </c>
      <c r="D201" s="6">
        <v>46097</v>
      </c>
      <c r="E201" s="6">
        <v>46108</v>
      </c>
      <c r="F201" s="63">
        <v>115.5</v>
      </c>
      <c r="G201" s="64">
        <f t="shared" si="78"/>
        <v>10164</v>
      </c>
      <c r="H201" s="64">
        <f t="shared" si="79"/>
        <v>20328</v>
      </c>
      <c r="I201" s="70">
        <v>420504</v>
      </c>
      <c r="J201" s="62" t="s">
        <v>756</v>
      </c>
      <c r="K201" s="8"/>
      <c r="L201" s="10"/>
      <c r="M201" s="62">
        <v>2</v>
      </c>
      <c r="N201" s="8">
        <v>2</v>
      </c>
      <c r="O201" s="62">
        <f t="shared" si="80"/>
        <v>0</v>
      </c>
      <c r="P201" s="70" t="s">
        <v>1115</v>
      </c>
      <c r="Q201" s="71">
        <v>46112</v>
      </c>
      <c r="R201" s="6">
        <v>46119</v>
      </c>
      <c r="S201" s="64">
        <v>33247.5</v>
      </c>
      <c r="T201" s="22">
        <v>5</v>
      </c>
      <c r="U201" s="64">
        <f t="shared" si="81"/>
        <v>1662.375</v>
      </c>
      <c r="V201" s="22">
        <v>0</v>
      </c>
      <c r="W201" s="22">
        <v>714595</v>
      </c>
      <c r="X201" s="62" t="s">
        <v>552</v>
      </c>
      <c r="Y201" s="62">
        <v>58163967256</v>
      </c>
      <c r="Z201" s="62" t="s">
        <v>1112</v>
      </c>
      <c r="AA201" s="65">
        <v>4</v>
      </c>
      <c r="AB201" s="66"/>
      <c r="AC201" s="62" t="s">
        <v>824</v>
      </c>
      <c r="AD201" s="62" t="str">
        <f>VLOOKUP(X201,'Customer List'!B:C,2,)</f>
        <v>Jodhpur</v>
      </c>
      <c r="AE201" s="67" t="s">
        <v>1113</v>
      </c>
      <c r="AF201" s="6">
        <v>46121</v>
      </c>
      <c r="AG201" s="62">
        <f t="shared" si="82"/>
        <v>2</v>
      </c>
      <c r="AH201" s="62" t="str">
        <f t="shared" si="83"/>
        <v>Wednesday</v>
      </c>
      <c r="AI201" s="62" t="str">
        <f t="shared" si="86"/>
        <v>Thursday</v>
      </c>
      <c r="AJ201" s="62" t="str">
        <f>VLOOKUP(AC201,'Currency Sheet'!A:C,3,)</f>
        <v>DOLLAR</v>
      </c>
      <c r="AK201" s="62" t="str">
        <f>VLOOKUP(X201,'Customer List'!B:D,3,)</f>
        <v>OutStation</v>
      </c>
    </row>
    <row r="202" spans="1:37" hidden="1" x14ac:dyDescent="0.25">
      <c r="A202" s="62">
        <f t="shared" si="85"/>
        <v>188</v>
      </c>
      <c r="B202" s="62" t="s">
        <v>824</v>
      </c>
      <c r="C202" s="62" t="s">
        <v>621</v>
      </c>
      <c r="D202" s="6">
        <v>46097</v>
      </c>
      <c r="E202" s="6">
        <v>46108</v>
      </c>
      <c r="F202" s="63">
        <v>242.9</v>
      </c>
      <c r="G202" s="64">
        <f t="shared" ref="G202:G265" si="87">IF(AJ202="DOLLAR",F202*88,F202)</f>
        <v>21375.200000000001</v>
      </c>
      <c r="H202" s="64">
        <f t="shared" ref="H202:H265" si="88">G202*M202</f>
        <v>42750.400000000001</v>
      </c>
      <c r="I202" s="70">
        <v>516604</v>
      </c>
      <c r="J202" s="62" t="s">
        <v>757</v>
      </c>
      <c r="K202" s="8"/>
      <c r="L202" s="10"/>
      <c r="M202" s="62">
        <v>2</v>
      </c>
      <c r="N202" s="8">
        <v>2</v>
      </c>
      <c r="O202" s="62">
        <f t="shared" ref="O202:O265" si="89">M202-N202</f>
        <v>0</v>
      </c>
      <c r="P202" s="70" t="s">
        <v>1115</v>
      </c>
      <c r="Q202" s="71">
        <v>46112</v>
      </c>
      <c r="R202" s="6">
        <v>46119</v>
      </c>
      <c r="S202" s="64">
        <v>69920.5</v>
      </c>
      <c r="T202" s="22">
        <v>5</v>
      </c>
      <c r="U202" s="64">
        <f t="shared" ref="U202:U265" si="90">S202*T202%</f>
        <v>3496.0250000000001</v>
      </c>
      <c r="V202" s="22">
        <v>0</v>
      </c>
      <c r="W202" s="22">
        <v>714595</v>
      </c>
      <c r="X202" s="62" t="s">
        <v>552</v>
      </c>
      <c r="Y202" s="62">
        <v>58163967256</v>
      </c>
      <c r="Z202" s="62" t="s">
        <v>1112</v>
      </c>
      <c r="AA202" s="65">
        <v>4</v>
      </c>
      <c r="AB202" s="66"/>
      <c r="AC202" s="62" t="s">
        <v>824</v>
      </c>
      <c r="AD202" s="62" t="str">
        <f>VLOOKUP(X202,'Customer List'!B:C,2,)</f>
        <v>Jodhpur</v>
      </c>
      <c r="AE202" s="67" t="s">
        <v>1113</v>
      </c>
      <c r="AF202" s="6">
        <v>46121</v>
      </c>
      <c r="AG202" s="62">
        <f t="shared" ref="AG202:AG265" si="91">IF(AF202="", "", AF202-R202)</f>
        <v>2</v>
      </c>
      <c r="AH202" s="62" t="str">
        <f t="shared" ref="AH202:AH265" si="92">IF(S202="", "", TEXT(S202, "dddd"))</f>
        <v>Wednesday</v>
      </c>
      <c r="AI202" s="62" t="str">
        <f t="shared" si="86"/>
        <v>Thursday</v>
      </c>
      <c r="AJ202" s="62" t="str">
        <f>VLOOKUP(AC202,'Currency Sheet'!A:C,3,)</f>
        <v>DOLLAR</v>
      </c>
      <c r="AK202" s="62" t="str">
        <f>VLOOKUP(X202,'Customer List'!B:D,3,)</f>
        <v>OutStation</v>
      </c>
    </row>
    <row r="203" spans="1:37" hidden="1" x14ac:dyDescent="0.25">
      <c r="A203" s="62">
        <f t="shared" si="85"/>
        <v>189</v>
      </c>
      <c r="B203" s="62" t="s">
        <v>824</v>
      </c>
      <c r="C203" s="62" t="s">
        <v>621</v>
      </c>
      <c r="D203" s="6">
        <v>46097</v>
      </c>
      <c r="E203" s="6">
        <v>46108</v>
      </c>
      <c r="F203" s="63">
        <v>242.9</v>
      </c>
      <c r="G203" s="64">
        <f t="shared" si="87"/>
        <v>21375.200000000001</v>
      </c>
      <c r="H203" s="64">
        <f t="shared" si="88"/>
        <v>42750.400000000001</v>
      </c>
      <c r="I203" s="70">
        <v>609052</v>
      </c>
      <c r="J203" s="62" t="s">
        <v>758</v>
      </c>
      <c r="K203" s="8"/>
      <c r="L203" s="10"/>
      <c r="M203" s="62">
        <v>2</v>
      </c>
      <c r="N203" s="8">
        <v>2</v>
      </c>
      <c r="O203" s="62">
        <f t="shared" si="89"/>
        <v>0</v>
      </c>
      <c r="P203" s="70" t="s">
        <v>1115</v>
      </c>
      <c r="Q203" s="71">
        <v>46112</v>
      </c>
      <c r="R203" s="6">
        <v>46119</v>
      </c>
      <c r="S203" s="64">
        <v>69920.5</v>
      </c>
      <c r="T203" s="22">
        <v>5</v>
      </c>
      <c r="U203" s="64">
        <f t="shared" si="90"/>
        <v>3496.0250000000001</v>
      </c>
      <c r="V203" s="22">
        <v>0</v>
      </c>
      <c r="W203" s="22">
        <v>714595</v>
      </c>
      <c r="X203" s="62" t="s">
        <v>552</v>
      </c>
      <c r="Y203" s="62">
        <v>58163967256</v>
      </c>
      <c r="Z203" s="62" t="s">
        <v>1112</v>
      </c>
      <c r="AA203" s="65">
        <v>4</v>
      </c>
      <c r="AB203" s="66"/>
      <c r="AC203" s="62" t="s">
        <v>824</v>
      </c>
      <c r="AD203" s="62" t="str">
        <f>VLOOKUP(X203,'Customer List'!B:C,2,)</f>
        <v>Jodhpur</v>
      </c>
      <c r="AE203" s="67" t="s">
        <v>1113</v>
      </c>
      <c r="AF203" s="6">
        <v>46121</v>
      </c>
      <c r="AG203" s="62">
        <f t="shared" si="91"/>
        <v>2</v>
      </c>
      <c r="AH203" s="62" t="str">
        <f t="shared" si="92"/>
        <v>Wednesday</v>
      </c>
      <c r="AI203" s="62" t="str">
        <f t="shared" si="86"/>
        <v>Thursday</v>
      </c>
      <c r="AJ203" s="62" t="str">
        <f>VLOOKUP(AC203,'Currency Sheet'!A:C,3,)</f>
        <v>DOLLAR</v>
      </c>
      <c r="AK203" s="62" t="str">
        <f>VLOOKUP(X203,'Customer List'!B:D,3,)</f>
        <v>OutStation</v>
      </c>
    </row>
    <row r="204" spans="1:37" hidden="1" x14ac:dyDescent="0.25">
      <c r="A204" s="62">
        <f t="shared" si="85"/>
        <v>190</v>
      </c>
      <c r="B204" s="62" t="s">
        <v>887</v>
      </c>
      <c r="C204" s="62" t="s">
        <v>622</v>
      </c>
      <c r="D204" s="6">
        <v>46101</v>
      </c>
      <c r="E204" s="6">
        <v>46108</v>
      </c>
      <c r="F204" s="63">
        <v>45.6</v>
      </c>
      <c r="G204" s="64">
        <f t="shared" si="87"/>
        <v>4012.8</v>
      </c>
      <c r="H204" s="64">
        <f t="shared" si="88"/>
        <v>4012.8</v>
      </c>
      <c r="I204" s="70" t="s">
        <v>681</v>
      </c>
      <c r="J204" s="62"/>
      <c r="K204" s="8"/>
      <c r="L204" s="10"/>
      <c r="M204" s="62">
        <v>1</v>
      </c>
      <c r="N204" s="8">
        <v>1</v>
      </c>
      <c r="O204" s="62">
        <f t="shared" si="89"/>
        <v>0</v>
      </c>
      <c r="P204" s="70" t="s">
        <v>1383</v>
      </c>
      <c r="Q204" s="71">
        <v>46116</v>
      </c>
      <c r="R204" s="6">
        <v>46116</v>
      </c>
      <c r="S204" s="64">
        <v>0</v>
      </c>
      <c r="T204" s="22">
        <v>0</v>
      </c>
      <c r="U204" s="64">
        <f t="shared" si="90"/>
        <v>0</v>
      </c>
      <c r="V204" s="22">
        <v>0</v>
      </c>
      <c r="W204" s="22"/>
      <c r="X204" s="62" t="s">
        <v>800</v>
      </c>
      <c r="Y204" s="62" t="s">
        <v>896</v>
      </c>
      <c r="Z204" s="62" t="s">
        <v>821</v>
      </c>
      <c r="AA204" s="65">
        <v>-20</v>
      </c>
      <c r="AB204" s="66" t="s">
        <v>1384</v>
      </c>
      <c r="AC204" s="62" t="s">
        <v>887</v>
      </c>
      <c r="AD204" s="62" t="str">
        <f>VLOOKUP(X204,'Customer List'!B:C,2,)</f>
        <v>Delhi</v>
      </c>
      <c r="AE204" s="67"/>
      <c r="AF204" s="6"/>
      <c r="AG204" s="62" t="str">
        <f t="shared" si="91"/>
        <v/>
      </c>
      <c r="AH204" s="62" t="str">
        <f t="shared" si="92"/>
        <v>Saturday</v>
      </c>
      <c r="AI204" s="62" t="str">
        <f t="shared" si="86"/>
        <v/>
      </c>
      <c r="AJ204" s="62" t="str">
        <f>VLOOKUP(AC204,'Currency Sheet'!A:C,3,)</f>
        <v>DOLLAR</v>
      </c>
      <c r="AK204" s="62" t="str">
        <f>VLOOKUP(X204,'Customer List'!B:D,3,)</f>
        <v>Local</v>
      </c>
    </row>
    <row r="205" spans="1:37" s="56" customFormat="1" hidden="1" x14ac:dyDescent="0.25">
      <c r="A205" s="48">
        <f t="shared" si="85"/>
        <v>191</v>
      </c>
      <c r="B205" s="48" t="s">
        <v>810</v>
      </c>
      <c r="C205" s="48" t="s">
        <v>623</v>
      </c>
      <c r="D205" s="50">
        <v>46105</v>
      </c>
      <c r="E205" s="50">
        <v>46108</v>
      </c>
      <c r="F205" s="57">
        <v>8379</v>
      </c>
      <c r="G205" s="51">
        <f t="shared" si="87"/>
        <v>8379</v>
      </c>
      <c r="H205" s="64">
        <f t="shared" si="88"/>
        <v>8379</v>
      </c>
      <c r="I205" s="58">
        <v>115076200</v>
      </c>
      <c r="J205" s="48"/>
      <c r="K205" s="47"/>
      <c r="L205" s="49"/>
      <c r="M205" s="48">
        <v>1</v>
      </c>
      <c r="N205" s="47">
        <v>1</v>
      </c>
      <c r="O205" s="48">
        <f t="shared" si="89"/>
        <v>0</v>
      </c>
      <c r="P205" s="58">
        <v>46</v>
      </c>
      <c r="Q205" s="59">
        <v>46119</v>
      </c>
      <c r="R205" s="50">
        <v>46119</v>
      </c>
      <c r="S205" s="51">
        <v>10055.02</v>
      </c>
      <c r="T205" s="52">
        <v>5</v>
      </c>
      <c r="U205" s="51">
        <f t="shared" si="90"/>
        <v>502.75100000000003</v>
      </c>
      <c r="V205" s="52">
        <v>0.08</v>
      </c>
      <c r="W205" s="52">
        <v>11865</v>
      </c>
      <c r="X205" s="48" t="s">
        <v>793</v>
      </c>
      <c r="Y205" s="48" t="s">
        <v>896</v>
      </c>
      <c r="Z205" s="48" t="s">
        <v>821</v>
      </c>
      <c r="AA205" s="53" t="s">
        <v>808</v>
      </c>
      <c r="AB205" s="54"/>
      <c r="AC205" s="48" t="s">
        <v>810</v>
      </c>
      <c r="AD205" s="48" t="str">
        <f>VLOOKUP(X205,'Customer List'!B:C,2,)</f>
        <v>Delhi</v>
      </c>
      <c r="AE205" s="55"/>
      <c r="AF205" s="50"/>
      <c r="AG205" s="48" t="str">
        <f t="shared" si="91"/>
        <v/>
      </c>
      <c r="AH205" s="48" t="str">
        <f t="shared" si="92"/>
        <v>Tuesday</v>
      </c>
      <c r="AI205" s="48" t="str">
        <f t="shared" si="86"/>
        <v/>
      </c>
      <c r="AJ205" s="48" t="str">
        <f>VLOOKUP(AC205,'Currency Sheet'!A:C,3,)</f>
        <v>INR</v>
      </c>
      <c r="AK205" s="48" t="str">
        <f>VLOOKUP(X205,'Customer List'!B:D,3,)</f>
        <v>Local</v>
      </c>
    </row>
    <row r="206" spans="1:37" hidden="1" x14ac:dyDescent="0.25">
      <c r="A206" s="62">
        <f t="shared" si="85"/>
        <v>192</v>
      </c>
      <c r="B206" s="62" t="s">
        <v>810</v>
      </c>
      <c r="C206" s="62" t="s">
        <v>623</v>
      </c>
      <c r="D206" s="6">
        <v>46105</v>
      </c>
      <c r="E206" s="6">
        <v>46108</v>
      </c>
      <c r="F206" s="63">
        <v>3800</v>
      </c>
      <c r="G206" s="64">
        <f t="shared" si="87"/>
        <v>3800</v>
      </c>
      <c r="H206" s="64">
        <f t="shared" si="88"/>
        <v>7600</v>
      </c>
      <c r="I206" s="70" t="s">
        <v>682</v>
      </c>
      <c r="J206" s="62"/>
      <c r="K206" s="8"/>
      <c r="L206" s="10"/>
      <c r="M206" s="62">
        <v>2</v>
      </c>
      <c r="N206" s="8"/>
      <c r="O206" s="62">
        <f t="shared" si="89"/>
        <v>2</v>
      </c>
      <c r="P206" s="70"/>
      <c r="Q206" s="71"/>
      <c r="R206" s="6"/>
      <c r="S206" s="64"/>
      <c r="T206" s="22">
        <v>5</v>
      </c>
      <c r="U206" s="64">
        <f t="shared" si="90"/>
        <v>0</v>
      </c>
      <c r="V206" s="22"/>
      <c r="W206" s="22"/>
      <c r="X206" s="62" t="s">
        <v>257</v>
      </c>
      <c r="Y206" s="62"/>
      <c r="Z206" s="62"/>
      <c r="AA206" s="65" t="s">
        <v>808</v>
      </c>
      <c r="AB206" s="66"/>
      <c r="AC206" s="62" t="s">
        <v>810</v>
      </c>
      <c r="AD206" s="62" t="str">
        <f>VLOOKUP(X206,'Customer List'!B:C,2,)</f>
        <v>STOCK</v>
      </c>
      <c r="AE206" s="67"/>
      <c r="AF206" s="6"/>
      <c r="AG206" s="62" t="str">
        <f t="shared" si="91"/>
        <v/>
      </c>
      <c r="AH206" s="62" t="str">
        <f t="shared" si="92"/>
        <v/>
      </c>
      <c r="AI206" s="62" t="str">
        <f t="shared" si="86"/>
        <v/>
      </c>
      <c r="AJ206" s="62" t="str">
        <f>VLOOKUP(AC206,'Currency Sheet'!A:C,3,)</f>
        <v>INR</v>
      </c>
      <c r="AK206" s="62" t="str">
        <f>VLOOKUP(X206,'Customer List'!B:D,3,)</f>
        <v>STOCK</v>
      </c>
    </row>
    <row r="207" spans="1:37" hidden="1" x14ac:dyDescent="0.25">
      <c r="A207" s="62">
        <f t="shared" si="85"/>
        <v>193</v>
      </c>
      <c r="B207" s="62" t="s">
        <v>810</v>
      </c>
      <c r="C207" s="62" t="s">
        <v>623</v>
      </c>
      <c r="D207" s="6">
        <v>46105</v>
      </c>
      <c r="E207" s="6">
        <v>46108</v>
      </c>
      <c r="F207" s="63">
        <v>6950</v>
      </c>
      <c r="G207" s="64">
        <f t="shared" si="87"/>
        <v>6950</v>
      </c>
      <c r="H207" s="64">
        <f t="shared" si="88"/>
        <v>13900</v>
      </c>
      <c r="I207" s="70" t="s">
        <v>683</v>
      </c>
      <c r="J207" s="62"/>
      <c r="K207" s="8"/>
      <c r="L207" s="10"/>
      <c r="M207" s="62">
        <v>2</v>
      </c>
      <c r="N207" s="8"/>
      <c r="O207" s="62">
        <f t="shared" si="89"/>
        <v>2</v>
      </c>
      <c r="P207" s="70"/>
      <c r="Q207" s="71"/>
      <c r="R207" s="6"/>
      <c r="S207" s="64"/>
      <c r="T207" s="22">
        <v>5</v>
      </c>
      <c r="U207" s="64">
        <f t="shared" si="90"/>
        <v>0</v>
      </c>
      <c r="V207" s="22"/>
      <c r="W207" s="22"/>
      <c r="X207" s="62" t="s">
        <v>257</v>
      </c>
      <c r="Y207" s="62"/>
      <c r="Z207" s="62"/>
      <c r="AA207" s="65">
        <v>4</v>
      </c>
      <c r="AB207" s="66"/>
      <c r="AC207" s="62" t="s">
        <v>810</v>
      </c>
      <c r="AD207" s="62" t="str">
        <f>VLOOKUP(X207,'Customer List'!B:C,2,)</f>
        <v>STOCK</v>
      </c>
      <c r="AE207" s="67"/>
      <c r="AF207" s="6"/>
      <c r="AG207" s="62" t="str">
        <f t="shared" si="91"/>
        <v/>
      </c>
      <c r="AH207" s="62" t="str">
        <f t="shared" si="92"/>
        <v/>
      </c>
      <c r="AI207" s="62" t="str">
        <f t="shared" si="86"/>
        <v/>
      </c>
      <c r="AJ207" s="62" t="str">
        <f>VLOOKUP(AC207,'Currency Sheet'!A:C,3,)</f>
        <v>INR</v>
      </c>
      <c r="AK207" s="62" t="str">
        <f>VLOOKUP(X207,'Customer List'!B:D,3,)</f>
        <v>STOCK</v>
      </c>
    </row>
    <row r="208" spans="1:37" hidden="1" x14ac:dyDescent="0.25">
      <c r="A208" s="62">
        <f t="shared" si="85"/>
        <v>194</v>
      </c>
      <c r="B208" s="62" t="s">
        <v>271</v>
      </c>
      <c r="C208" s="62" t="s">
        <v>624</v>
      </c>
      <c r="D208" s="6">
        <v>46106</v>
      </c>
      <c r="E208" s="6">
        <v>46111</v>
      </c>
      <c r="F208" s="63">
        <v>9000</v>
      </c>
      <c r="G208" s="64">
        <f t="shared" si="87"/>
        <v>9000</v>
      </c>
      <c r="H208" s="64">
        <f t="shared" si="88"/>
        <v>36000</v>
      </c>
      <c r="I208" s="62" t="s">
        <v>650</v>
      </c>
      <c r="J208" s="62"/>
      <c r="K208" s="8">
        <v>502222607</v>
      </c>
      <c r="L208" s="10">
        <v>47817</v>
      </c>
      <c r="M208" s="62">
        <v>4</v>
      </c>
      <c r="N208" s="8"/>
      <c r="O208" s="62">
        <f t="shared" si="89"/>
        <v>4</v>
      </c>
      <c r="P208" s="70"/>
      <c r="Q208" s="71"/>
      <c r="R208" s="6"/>
      <c r="S208" s="64"/>
      <c r="T208" s="22">
        <v>5</v>
      </c>
      <c r="U208" s="64">
        <f t="shared" si="90"/>
        <v>0</v>
      </c>
      <c r="V208" s="22"/>
      <c r="W208" s="22"/>
      <c r="X208" s="62" t="s">
        <v>257</v>
      </c>
      <c r="Y208" s="62"/>
      <c r="Z208" s="62"/>
      <c r="AA208" s="65" t="s">
        <v>808</v>
      </c>
      <c r="AB208" s="66"/>
      <c r="AC208" s="62" t="s">
        <v>271</v>
      </c>
      <c r="AD208" s="62" t="str">
        <f>VLOOKUP(X208,'Customer List'!B:C,2,)</f>
        <v>STOCK</v>
      </c>
      <c r="AE208" s="67"/>
      <c r="AF208" s="6"/>
      <c r="AG208" s="62" t="str">
        <f t="shared" si="91"/>
        <v/>
      </c>
      <c r="AH208" s="62" t="str">
        <f t="shared" si="92"/>
        <v/>
      </c>
      <c r="AI208" s="62" t="str">
        <f t="shared" si="86"/>
        <v/>
      </c>
      <c r="AJ208" s="62" t="str">
        <f>VLOOKUP(AC208,'Currency Sheet'!A:C,3,)</f>
        <v>INR</v>
      </c>
      <c r="AK208" s="62" t="str">
        <f>VLOOKUP(X208,'Customer List'!B:D,3,)</f>
        <v>STOCK</v>
      </c>
    </row>
    <row r="209" spans="1:37" s="56" customFormat="1" hidden="1" x14ac:dyDescent="0.25">
      <c r="A209" s="48">
        <f t="shared" si="85"/>
        <v>195</v>
      </c>
      <c r="B209" s="48" t="s">
        <v>271</v>
      </c>
      <c r="C209" s="48" t="s">
        <v>624</v>
      </c>
      <c r="D209" s="50">
        <v>46106</v>
      </c>
      <c r="E209" s="50">
        <v>46111</v>
      </c>
      <c r="F209" s="57">
        <v>7200</v>
      </c>
      <c r="G209" s="51">
        <f t="shared" si="87"/>
        <v>7200</v>
      </c>
      <c r="H209" s="64">
        <f t="shared" si="88"/>
        <v>7200</v>
      </c>
      <c r="I209" s="58" t="s">
        <v>684</v>
      </c>
      <c r="J209" s="48"/>
      <c r="K209" s="47"/>
      <c r="L209" s="49"/>
      <c r="M209" s="48">
        <v>1</v>
      </c>
      <c r="N209" s="47">
        <v>1</v>
      </c>
      <c r="O209" s="48">
        <f t="shared" si="89"/>
        <v>0</v>
      </c>
      <c r="P209" s="58" t="s">
        <v>1117</v>
      </c>
      <c r="Q209" s="59">
        <v>46119</v>
      </c>
      <c r="R209" s="50">
        <v>46119</v>
      </c>
      <c r="S209" s="51">
        <v>8125</v>
      </c>
      <c r="T209" s="52">
        <v>18</v>
      </c>
      <c r="U209" s="51">
        <f t="shared" si="90"/>
        <v>1462.5</v>
      </c>
      <c r="V209" s="52">
        <v>0</v>
      </c>
      <c r="W209" s="52">
        <v>19175</v>
      </c>
      <c r="X209" s="48" t="s">
        <v>432</v>
      </c>
      <c r="Y209" s="48" t="s">
        <v>896</v>
      </c>
      <c r="Z209" s="48" t="s">
        <v>1116</v>
      </c>
      <c r="AA209" s="53" t="s">
        <v>808</v>
      </c>
      <c r="AB209" s="54" t="s">
        <v>1118</v>
      </c>
      <c r="AC209" s="48" t="s">
        <v>271</v>
      </c>
      <c r="AD209" s="48" t="str">
        <f>VLOOKUP(X209,'Customer List'!B:C,2,)</f>
        <v>DELHI</v>
      </c>
      <c r="AE209" s="55"/>
      <c r="AF209" s="50"/>
      <c r="AG209" s="48" t="str">
        <f t="shared" si="91"/>
        <v/>
      </c>
      <c r="AH209" s="48" t="str">
        <f t="shared" si="92"/>
        <v>Thursday</v>
      </c>
      <c r="AI209" s="48" t="str">
        <f t="shared" si="86"/>
        <v/>
      </c>
      <c r="AJ209" s="48" t="str">
        <f>VLOOKUP(AC209,'Currency Sheet'!A:C,3,)</f>
        <v>INR</v>
      </c>
      <c r="AK209" s="48" t="str">
        <f>VLOOKUP(X209,'Customer List'!B:D,3,)</f>
        <v>Local</v>
      </c>
    </row>
    <row r="210" spans="1:37" s="56" customFormat="1" hidden="1" x14ac:dyDescent="0.25">
      <c r="A210" s="48">
        <f t="shared" si="85"/>
        <v>196</v>
      </c>
      <c r="B210" s="48" t="s">
        <v>271</v>
      </c>
      <c r="C210" s="48" t="s">
        <v>624</v>
      </c>
      <c r="D210" s="50">
        <v>46106</v>
      </c>
      <c r="E210" s="50">
        <v>46111</v>
      </c>
      <c r="F210" s="57">
        <v>7200</v>
      </c>
      <c r="G210" s="51">
        <f t="shared" si="87"/>
        <v>7200</v>
      </c>
      <c r="H210" s="64">
        <f t="shared" si="88"/>
        <v>7200</v>
      </c>
      <c r="I210" s="58" t="s">
        <v>685</v>
      </c>
      <c r="J210" s="48"/>
      <c r="K210" s="47"/>
      <c r="L210" s="49"/>
      <c r="M210" s="48">
        <v>1</v>
      </c>
      <c r="N210" s="47">
        <v>1</v>
      </c>
      <c r="O210" s="48">
        <f t="shared" si="89"/>
        <v>0</v>
      </c>
      <c r="P210" s="58" t="s">
        <v>1117</v>
      </c>
      <c r="Q210" s="59">
        <v>46119</v>
      </c>
      <c r="R210" s="50">
        <v>46119</v>
      </c>
      <c r="S210" s="51">
        <v>8125</v>
      </c>
      <c r="T210" s="52">
        <v>18</v>
      </c>
      <c r="U210" s="51">
        <f t="shared" si="90"/>
        <v>1462.5</v>
      </c>
      <c r="V210" s="52">
        <v>0</v>
      </c>
      <c r="W210" s="52">
        <v>19175</v>
      </c>
      <c r="X210" s="48" t="s">
        <v>432</v>
      </c>
      <c r="Y210" s="48" t="s">
        <v>896</v>
      </c>
      <c r="Z210" s="48" t="s">
        <v>1116</v>
      </c>
      <c r="AA210" s="53" t="s">
        <v>808</v>
      </c>
      <c r="AB210" s="54" t="s">
        <v>1118</v>
      </c>
      <c r="AC210" s="48" t="s">
        <v>271</v>
      </c>
      <c r="AD210" s="48" t="str">
        <f>VLOOKUP(X210,'Customer List'!B:C,2,)</f>
        <v>DELHI</v>
      </c>
      <c r="AE210" s="55"/>
      <c r="AF210" s="50"/>
      <c r="AG210" s="48" t="str">
        <f t="shared" si="91"/>
        <v/>
      </c>
      <c r="AH210" s="48" t="str">
        <f t="shared" si="92"/>
        <v>Thursday</v>
      </c>
      <c r="AI210" s="48" t="str">
        <f t="shared" si="86"/>
        <v/>
      </c>
      <c r="AJ210" s="48" t="str">
        <f>VLOOKUP(AC210,'Currency Sheet'!A:C,3,)</f>
        <v>INR</v>
      </c>
      <c r="AK210" s="48" t="str">
        <f>VLOOKUP(X210,'Customer List'!B:D,3,)</f>
        <v>Local</v>
      </c>
    </row>
    <row r="211" spans="1:37" hidden="1" x14ac:dyDescent="0.25">
      <c r="A211" s="62">
        <f t="shared" si="85"/>
        <v>197</v>
      </c>
      <c r="B211" s="62" t="s">
        <v>824</v>
      </c>
      <c r="C211" s="62" t="s">
        <v>625</v>
      </c>
      <c r="D211" s="6">
        <v>46101</v>
      </c>
      <c r="E211" s="6">
        <v>46112</v>
      </c>
      <c r="F211" s="63">
        <v>100.1</v>
      </c>
      <c r="G211" s="64">
        <f t="shared" si="87"/>
        <v>8808.7999999999993</v>
      </c>
      <c r="H211" s="64">
        <f t="shared" si="88"/>
        <v>8808.7999999999993</v>
      </c>
      <c r="I211" s="70">
        <v>100204</v>
      </c>
      <c r="J211" s="62" t="s">
        <v>759</v>
      </c>
      <c r="K211" s="8"/>
      <c r="L211" s="10"/>
      <c r="M211" s="62">
        <v>1</v>
      </c>
      <c r="N211" s="8">
        <v>1</v>
      </c>
      <c r="O211" s="62">
        <f t="shared" si="89"/>
        <v>0</v>
      </c>
      <c r="P211" s="70" t="s">
        <v>835</v>
      </c>
      <c r="Q211" s="71">
        <v>46112</v>
      </c>
      <c r="R211" s="6">
        <v>46116</v>
      </c>
      <c r="S211" s="64">
        <v>12226.5</v>
      </c>
      <c r="T211" s="22">
        <v>5</v>
      </c>
      <c r="U211" s="64">
        <f t="shared" si="90"/>
        <v>611.32500000000005</v>
      </c>
      <c r="V211" s="22">
        <v>0</v>
      </c>
      <c r="W211" s="22"/>
      <c r="X211" s="62" t="s">
        <v>801</v>
      </c>
      <c r="Y211" s="62">
        <v>58163866714</v>
      </c>
      <c r="Z211" s="62" t="s">
        <v>1112</v>
      </c>
      <c r="AA211" s="65">
        <v>4</v>
      </c>
      <c r="AB211" s="66"/>
      <c r="AC211" s="1" t="s">
        <v>824</v>
      </c>
      <c r="AD211" s="62" t="str">
        <f>VLOOKUP(X211,'Customer List'!B:C,2,)</f>
        <v>Mumbai</v>
      </c>
      <c r="AE211" s="67"/>
      <c r="AF211" s="6">
        <v>46118</v>
      </c>
      <c r="AG211" s="62">
        <f t="shared" si="91"/>
        <v>2</v>
      </c>
      <c r="AH211" s="62" t="str">
        <f t="shared" si="92"/>
        <v>Wednesday</v>
      </c>
      <c r="AI211" s="62" t="str">
        <f t="shared" si="86"/>
        <v>Monday</v>
      </c>
      <c r="AJ211" s="62" t="str">
        <f>VLOOKUP(AC211,'Currency Sheet'!A:C,3,)</f>
        <v>DOLLAR</v>
      </c>
      <c r="AK211" s="62" t="str">
        <f>VLOOKUP(X211,'Customer List'!B:D,3,)</f>
        <v>OutStation</v>
      </c>
    </row>
    <row r="212" spans="1:37" hidden="1" x14ac:dyDescent="0.25">
      <c r="A212" s="62">
        <f t="shared" si="85"/>
        <v>198</v>
      </c>
      <c r="B212" s="62" t="s">
        <v>824</v>
      </c>
      <c r="C212" s="62" t="s">
        <v>625</v>
      </c>
      <c r="D212" s="6">
        <v>46101</v>
      </c>
      <c r="E212" s="6">
        <v>46112</v>
      </c>
      <c r="F212" s="63">
        <v>228.75</v>
      </c>
      <c r="G212" s="64">
        <f t="shared" si="87"/>
        <v>20130</v>
      </c>
      <c r="H212" s="64">
        <f t="shared" si="88"/>
        <v>20130</v>
      </c>
      <c r="I212" s="70">
        <v>101647</v>
      </c>
      <c r="J212" s="62" t="s">
        <v>760</v>
      </c>
      <c r="K212" s="8"/>
      <c r="L212" s="10"/>
      <c r="M212" s="62">
        <v>1</v>
      </c>
      <c r="N212" s="8">
        <v>1</v>
      </c>
      <c r="O212" s="62">
        <f t="shared" si="89"/>
        <v>0</v>
      </c>
      <c r="P212" s="70" t="s">
        <v>836</v>
      </c>
      <c r="Q212" s="71">
        <v>46112</v>
      </c>
      <c r="R212" s="6">
        <v>46116</v>
      </c>
      <c r="S212" s="64">
        <v>23167.8</v>
      </c>
      <c r="T212" s="22">
        <v>5</v>
      </c>
      <c r="U212" s="64">
        <f t="shared" si="90"/>
        <v>1158.3900000000001</v>
      </c>
      <c r="V212" s="22">
        <v>0</v>
      </c>
      <c r="W212" s="22"/>
      <c r="X212" s="62" t="s">
        <v>802</v>
      </c>
      <c r="Y212" s="62">
        <v>58163866110</v>
      </c>
      <c r="Z212" s="62" t="s">
        <v>1112</v>
      </c>
      <c r="AA212" s="65">
        <v>4</v>
      </c>
      <c r="AB212" s="66"/>
      <c r="AC212" s="1" t="s">
        <v>824</v>
      </c>
      <c r="AD212" s="62" t="str">
        <f>VLOOKUP(X212,'Customer List'!B:C,2,)</f>
        <v>Pune</v>
      </c>
      <c r="AE212" s="67"/>
      <c r="AF212" s="6">
        <v>46118</v>
      </c>
      <c r="AG212" s="62">
        <f t="shared" si="91"/>
        <v>2</v>
      </c>
      <c r="AH212" s="62" t="str">
        <f t="shared" si="92"/>
        <v>Wednesday</v>
      </c>
      <c r="AI212" s="62" t="str">
        <f t="shared" si="86"/>
        <v>Monday</v>
      </c>
      <c r="AJ212" s="62" t="str">
        <f>VLOOKUP(AC212,'Currency Sheet'!A:C,3,)</f>
        <v>DOLLAR</v>
      </c>
      <c r="AK212" s="62" t="str">
        <f>VLOOKUP(X212,'Customer List'!B:D,3,)</f>
        <v>OutStation</v>
      </c>
    </row>
    <row r="213" spans="1:37" hidden="1" x14ac:dyDescent="0.25">
      <c r="A213" s="62">
        <f t="shared" si="85"/>
        <v>199</v>
      </c>
      <c r="B213" s="62" t="s">
        <v>824</v>
      </c>
      <c r="C213" s="62" t="s">
        <v>625</v>
      </c>
      <c r="D213" s="6">
        <v>46101</v>
      </c>
      <c r="E213" s="6">
        <v>46112</v>
      </c>
      <c r="F213" s="63">
        <v>131.6</v>
      </c>
      <c r="G213" s="64">
        <f t="shared" si="87"/>
        <v>11580.8</v>
      </c>
      <c r="H213" s="64">
        <f t="shared" si="88"/>
        <v>11580.8</v>
      </c>
      <c r="I213" s="70">
        <v>121602</v>
      </c>
      <c r="J213" s="62" t="s">
        <v>761</v>
      </c>
      <c r="K213" s="8"/>
      <c r="L213" s="10"/>
      <c r="M213" s="62">
        <v>1</v>
      </c>
      <c r="N213" s="8">
        <v>1</v>
      </c>
      <c r="O213" s="62">
        <f t="shared" si="89"/>
        <v>0</v>
      </c>
      <c r="P213" s="70">
        <v>53</v>
      </c>
      <c r="Q213" s="71">
        <v>46121</v>
      </c>
      <c r="R213" s="6">
        <v>46121</v>
      </c>
      <c r="S213" s="64">
        <v>17766</v>
      </c>
      <c r="T213" s="22">
        <v>5</v>
      </c>
      <c r="U213" s="64">
        <f t="shared" si="90"/>
        <v>888.30000000000007</v>
      </c>
      <c r="V213" s="22">
        <v>-0.47</v>
      </c>
      <c r="W213" s="22">
        <v>166896</v>
      </c>
      <c r="X213" s="62" t="s">
        <v>803</v>
      </c>
      <c r="Y213" s="62" t="s">
        <v>896</v>
      </c>
      <c r="Z213" s="62" t="s">
        <v>821</v>
      </c>
      <c r="AA213" s="65">
        <v>4</v>
      </c>
      <c r="AB213" s="66"/>
      <c r="AC213" s="1" t="s">
        <v>824</v>
      </c>
      <c r="AD213" s="62" t="str">
        <f>VLOOKUP(X213,'Customer List'!B:C,2,)</f>
        <v>Faridabad</v>
      </c>
      <c r="AE213" s="67"/>
      <c r="AF213" s="6"/>
      <c r="AG213" s="62" t="str">
        <f t="shared" si="91"/>
        <v/>
      </c>
      <c r="AH213" s="62" t="str">
        <f t="shared" si="92"/>
        <v>Saturday</v>
      </c>
      <c r="AI213" s="62" t="str">
        <f t="shared" si="86"/>
        <v/>
      </c>
      <c r="AJ213" s="62" t="str">
        <f>VLOOKUP(AC213,'Currency Sheet'!A:C,3,)</f>
        <v>DOLLAR</v>
      </c>
      <c r="AK213" s="62" t="str">
        <f>VLOOKUP(X213,'Customer List'!B:D,3,)</f>
        <v>Local</v>
      </c>
    </row>
    <row r="214" spans="1:37" hidden="1" x14ac:dyDescent="0.25">
      <c r="A214" s="62">
        <f t="shared" si="85"/>
        <v>200</v>
      </c>
      <c r="B214" s="62" t="s">
        <v>824</v>
      </c>
      <c r="C214" s="62" t="s">
        <v>625</v>
      </c>
      <c r="D214" s="6">
        <v>46101</v>
      </c>
      <c r="E214" s="6">
        <v>46112</v>
      </c>
      <c r="F214" s="63">
        <v>242.9</v>
      </c>
      <c r="G214" s="64">
        <f t="shared" si="87"/>
        <v>21375.200000000001</v>
      </c>
      <c r="H214" s="64">
        <f t="shared" si="88"/>
        <v>42750.400000000001</v>
      </c>
      <c r="I214" s="70">
        <v>201518</v>
      </c>
      <c r="J214" s="62" t="s">
        <v>762</v>
      </c>
      <c r="K214" s="8"/>
      <c r="L214" s="10"/>
      <c r="M214" s="62">
        <v>2</v>
      </c>
      <c r="N214" s="8">
        <v>2</v>
      </c>
      <c r="O214" s="62">
        <f t="shared" si="89"/>
        <v>0</v>
      </c>
      <c r="P214" s="70" t="s">
        <v>837</v>
      </c>
      <c r="Q214" s="71">
        <v>46112</v>
      </c>
      <c r="R214" s="6">
        <v>46116</v>
      </c>
      <c r="S214" s="64">
        <v>75299</v>
      </c>
      <c r="T214" s="22">
        <v>5</v>
      </c>
      <c r="U214" s="64">
        <f t="shared" si="90"/>
        <v>3764.9500000000003</v>
      </c>
      <c r="V214" s="22">
        <v>0</v>
      </c>
      <c r="W214" s="22"/>
      <c r="X214" s="62" t="s">
        <v>559</v>
      </c>
      <c r="Y214" s="62">
        <v>58163866935</v>
      </c>
      <c r="Z214" s="62" t="s">
        <v>1112</v>
      </c>
      <c r="AA214" s="65">
        <v>4</v>
      </c>
      <c r="AB214" s="66"/>
      <c r="AC214" s="1" t="s">
        <v>824</v>
      </c>
      <c r="AD214" s="62" t="str">
        <f>VLOOKUP(X214,'Customer List'!B:C,2,)</f>
        <v>BANGALORE</v>
      </c>
      <c r="AE214" s="67"/>
      <c r="AF214" s="6">
        <v>46118</v>
      </c>
      <c r="AG214" s="62">
        <f t="shared" si="91"/>
        <v>2</v>
      </c>
      <c r="AH214" s="62" t="str">
        <f t="shared" si="92"/>
        <v>Saturday</v>
      </c>
      <c r="AI214" s="62" t="str">
        <f t="shared" si="86"/>
        <v>Monday</v>
      </c>
      <c r="AJ214" s="62" t="str">
        <f>VLOOKUP(AC214,'Currency Sheet'!A:C,3,)</f>
        <v>DOLLAR</v>
      </c>
      <c r="AK214" s="62" t="str">
        <f>VLOOKUP(X214,'Customer List'!B:D,3,)</f>
        <v>OutStation</v>
      </c>
    </row>
    <row r="215" spans="1:37" hidden="1" x14ac:dyDescent="0.25">
      <c r="A215" s="62">
        <f t="shared" si="85"/>
        <v>201</v>
      </c>
      <c r="B215" s="62" t="s">
        <v>824</v>
      </c>
      <c r="C215" s="62" t="s">
        <v>625</v>
      </c>
      <c r="D215" s="6">
        <v>46101</v>
      </c>
      <c r="E215" s="6">
        <v>46112</v>
      </c>
      <c r="F215" s="63">
        <v>42.7</v>
      </c>
      <c r="G215" s="64">
        <f t="shared" si="87"/>
        <v>3757.6000000000004</v>
      </c>
      <c r="H215" s="64">
        <f t="shared" si="88"/>
        <v>3757.6000000000004</v>
      </c>
      <c r="I215" s="70">
        <v>300308</v>
      </c>
      <c r="J215" s="62" t="s">
        <v>749</v>
      </c>
      <c r="K215" s="8"/>
      <c r="L215" s="10"/>
      <c r="M215" s="62">
        <v>1</v>
      </c>
      <c r="N215" s="8">
        <v>1</v>
      </c>
      <c r="O215" s="62">
        <f t="shared" si="89"/>
        <v>0</v>
      </c>
      <c r="P215" s="70" t="s">
        <v>838</v>
      </c>
      <c r="Q215" s="71">
        <v>46112</v>
      </c>
      <c r="R215" s="6">
        <v>46116</v>
      </c>
      <c r="S215" s="64">
        <v>7564</v>
      </c>
      <c r="T215" s="22">
        <v>5</v>
      </c>
      <c r="U215" s="64">
        <f t="shared" si="90"/>
        <v>378.20000000000005</v>
      </c>
      <c r="V215" s="22">
        <v>0</v>
      </c>
      <c r="W215" s="22"/>
      <c r="X215" s="62" t="s">
        <v>804</v>
      </c>
      <c r="Y215" s="62">
        <v>58163866504</v>
      </c>
      <c r="Z215" s="62" t="s">
        <v>1112</v>
      </c>
      <c r="AA215" s="65">
        <v>4</v>
      </c>
      <c r="AB215" s="66"/>
      <c r="AC215" s="1" t="s">
        <v>824</v>
      </c>
      <c r="AD215" s="62" t="str">
        <f>VLOOKUP(X215,'Customer List'!B:C,2,)</f>
        <v>Coimbatore</v>
      </c>
      <c r="AE215" s="67"/>
      <c r="AF215" s="6">
        <v>46120</v>
      </c>
      <c r="AG215" s="62">
        <f t="shared" si="91"/>
        <v>4</v>
      </c>
      <c r="AH215" s="62" t="str">
        <f t="shared" si="92"/>
        <v>Wednesday</v>
      </c>
      <c r="AI215" s="62" t="str">
        <f t="shared" si="86"/>
        <v>Wednesday</v>
      </c>
      <c r="AJ215" s="62" t="str">
        <f>VLOOKUP(AC215,'Currency Sheet'!A:C,3,)</f>
        <v>DOLLAR</v>
      </c>
      <c r="AK215" s="62" t="str">
        <f>VLOOKUP(X215,'Customer List'!B:D,3,)</f>
        <v>OutStation</v>
      </c>
    </row>
    <row r="216" spans="1:37" hidden="1" x14ac:dyDescent="0.25">
      <c r="A216" s="62">
        <f t="shared" si="85"/>
        <v>202</v>
      </c>
      <c r="B216" s="62" t="s">
        <v>824</v>
      </c>
      <c r="C216" s="62" t="s">
        <v>625</v>
      </c>
      <c r="D216" s="6">
        <v>46101</v>
      </c>
      <c r="E216" s="6">
        <v>46112</v>
      </c>
      <c r="F216" s="63">
        <v>297</v>
      </c>
      <c r="G216" s="64">
        <f t="shared" si="87"/>
        <v>26136</v>
      </c>
      <c r="H216" s="64">
        <f t="shared" si="88"/>
        <v>26136</v>
      </c>
      <c r="I216" s="70">
        <v>301044</v>
      </c>
      <c r="J216" s="62" t="s">
        <v>763</v>
      </c>
      <c r="K216" s="8"/>
      <c r="L216" s="10"/>
      <c r="M216" s="62">
        <v>1</v>
      </c>
      <c r="N216" s="8">
        <v>1</v>
      </c>
      <c r="O216" s="62">
        <f t="shared" si="89"/>
        <v>0</v>
      </c>
      <c r="P216" s="70" t="s">
        <v>839</v>
      </c>
      <c r="Q216" s="71">
        <v>46112</v>
      </c>
      <c r="R216" s="6">
        <v>46116</v>
      </c>
      <c r="S216" s="64">
        <v>41580</v>
      </c>
      <c r="T216" s="22">
        <v>5</v>
      </c>
      <c r="U216" s="64">
        <f t="shared" si="90"/>
        <v>2079</v>
      </c>
      <c r="V216" s="22">
        <v>0</v>
      </c>
      <c r="W216" s="22"/>
      <c r="X216" s="62" t="s">
        <v>204</v>
      </c>
      <c r="Y216" s="62">
        <v>58163866202</v>
      </c>
      <c r="Z216" s="62" t="s">
        <v>1112</v>
      </c>
      <c r="AA216" s="65">
        <v>4</v>
      </c>
      <c r="AB216" s="66"/>
      <c r="AC216" s="1" t="s">
        <v>824</v>
      </c>
      <c r="AD216" s="62" t="str">
        <f>VLOOKUP(X216,'Customer List'!B:C,2,)</f>
        <v>Kerala</v>
      </c>
      <c r="AE216" s="67"/>
      <c r="AF216" s="6">
        <v>46118</v>
      </c>
      <c r="AG216" s="62">
        <f t="shared" si="91"/>
        <v>2</v>
      </c>
      <c r="AH216" s="62" t="str">
        <f t="shared" si="92"/>
        <v>Saturday</v>
      </c>
      <c r="AI216" s="62" t="str">
        <f t="shared" si="86"/>
        <v>Monday</v>
      </c>
      <c r="AJ216" s="62" t="str">
        <f>VLOOKUP(AC216,'Currency Sheet'!A:C,3,)</f>
        <v>DOLLAR</v>
      </c>
      <c r="AK216" s="62" t="str">
        <f>VLOOKUP(X216,'Customer List'!B:D,3,)</f>
        <v>OutStation</v>
      </c>
    </row>
    <row r="217" spans="1:37" hidden="1" x14ac:dyDescent="0.25">
      <c r="A217" s="62">
        <f t="shared" si="85"/>
        <v>203</v>
      </c>
      <c r="B217" s="62" t="s">
        <v>824</v>
      </c>
      <c r="C217" s="62" t="s">
        <v>625</v>
      </c>
      <c r="D217" s="6">
        <v>46101</v>
      </c>
      <c r="E217" s="6">
        <v>46112</v>
      </c>
      <c r="F217" s="63">
        <v>181.3</v>
      </c>
      <c r="G217" s="64">
        <f t="shared" si="87"/>
        <v>15954.400000000001</v>
      </c>
      <c r="H217" s="64">
        <f t="shared" si="88"/>
        <v>15954.400000000001</v>
      </c>
      <c r="I217" s="70">
        <v>302210</v>
      </c>
      <c r="J217" s="62" t="s">
        <v>764</v>
      </c>
      <c r="K217" s="8"/>
      <c r="L217" s="10"/>
      <c r="M217" s="62">
        <v>1</v>
      </c>
      <c r="N217" s="8">
        <v>1</v>
      </c>
      <c r="O217" s="62">
        <f t="shared" si="89"/>
        <v>0</v>
      </c>
      <c r="P217" s="70" t="s">
        <v>838</v>
      </c>
      <c r="Q217" s="71">
        <v>46112</v>
      </c>
      <c r="R217" s="6">
        <v>46116</v>
      </c>
      <c r="S217" s="64">
        <v>32116</v>
      </c>
      <c r="T217" s="22">
        <v>5</v>
      </c>
      <c r="U217" s="64">
        <f t="shared" si="90"/>
        <v>1605.8000000000002</v>
      </c>
      <c r="V217" s="22">
        <v>0</v>
      </c>
      <c r="W217" s="22"/>
      <c r="X217" s="62" t="s">
        <v>804</v>
      </c>
      <c r="Y217" s="62">
        <v>58163866504</v>
      </c>
      <c r="Z217" s="62" t="s">
        <v>1112</v>
      </c>
      <c r="AA217" s="65">
        <v>4</v>
      </c>
      <c r="AB217" s="66"/>
      <c r="AC217" s="1" t="s">
        <v>824</v>
      </c>
      <c r="AD217" s="62" t="str">
        <f>VLOOKUP(X217,'Customer List'!B:C,2,)</f>
        <v>Coimbatore</v>
      </c>
      <c r="AE217" s="67"/>
      <c r="AF217" s="6">
        <v>46120</v>
      </c>
      <c r="AG217" s="62">
        <f t="shared" si="91"/>
        <v>4</v>
      </c>
      <c r="AH217" s="62" t="str">
        <f t="shared" si="92"/>
        <v>Saturday</v>
      </c>
      <c r="AI217" s="62" t="str">
        <f t="shared" si="86"/>
        <v>Wednesday</v>
      </c>
      <c r="AJ217" s="62" t="str">
        <f>VLOOKUP(AC217,'Currency Sheet'!A:C,3,)</f>
        <v>DOLLAR</v>
      </c>
      <c r="AK217" s="62" t="str">
        <f>VLOOKUP(X217,'Customer List'!B:D,3,)</f>
        <v>OutStation</v>
      </c>
    </row>
    <row r="218" spans="1:37" hidden="1" x14ac:dyDescent="0.25">
      <c r="A218" s="62">
        <f t="shared" si="85"/>
        <v>204</v>
      </c>
      <c r="B218" s="62" t="s">
        <v>824</v>
      </c>
      <c r="C218" s="62" t="s">
        <v>625</v>
      </c>
      <c r="D218" s="6">
        <v>46101</v>
      </c>
      <c r="E218" s="6">
        <v>46112</v>
      </c>
      <c r="F218" s="63">
        <v>136.5</v>
      </c>
      <c r="G218" s="64">
        <f t="shared" si="87"/>
        <v>12012</v>
      </c>
      <c r="H218" s="64">
        <f t="shared" si="88"/>
        <v>24024</v>
      </c>
      <c r="I218" s="70">
        <v>302339</v>
      </c>
      <c r="J218" s="62" t="s">
        <v>765</v>
      </c>
      <c r="K218" s="8"/>
      <c r="L218" s="10"/>
      <c r="M218" s="62">
        <v>2</v>
      </c>
      <c r="N218" s="8">
        <v>2</v>
      </c>
      <c r="O218" s="62">
        <f t="shared" si="89"/>
        <v>0</v>
      </c>
      <c r="P218" s="70" t="s">
        <v>1380</v>
      </c>
      <c r="Q218" s="71">
        <v>46112</v>
      </c>
      <c r="R218" s="6">
        <v>46119</v>
      </c>
      <c r="S218" s="64">
        <v>41188</v>
      </c>
      <c r="T218" s="22">
        <v>5</v>
      </c>
      <c r="U218" s="64">
        <f t="shared" si="90"/>
        <v>2059.4</v>
      </c>
      <c r="V218" s="22">
        <v>0.4</v>
      </c>
      <c r="W218" s="22">
        <v>127382</v>
      </c>
      <c r="X218" s="62" t="s">
        <v>805</v>
      </c>
      <c r="Y218" s="62" t="s">
        <v>896</v>
      </c>
      <c r="Z218" s="62" t="s">
        <v>821</v>
      </c>
      <c r="AA218" s="65">
        <v>4</v>
      </c>
      <c r="AB218" s="66"/>
      <c r="AC218" s="1" t="s">
        <v>824</v>
      </c>
      <c r="AD218" s="62" t="str">
        <f>VLOOKUP(X218,'Customer List'!B:C,2,)</f>
        <v>Delhi</v>
      </c>
      <c r="AE218" s="67"/>
      <c r="AF218" s="6"/>
      <c r="AG218" s="62" t="str">
        <f t="shared" si="91"/>
        <v/>
      </c>
      <c r="AH218" s="62" t="str">
        <f t="shared" si="92"/>
        <v>Saturday</v>
      </c>
      <c r="AI218" s="62" t="str">
        <f t="shared" si="86"/>
        <v/>
      </c>
      <c r="AJ218" s="62" t="str">
        <f>VLOOKUP(AC218,'Currency Sheet'!A:C,3,)</f>
        <v>DOLLAR</v>
      </c>
      <c r="AK218" s="62" t="str">
        <f>VLOOKUP(X218,'Customer List'!B:D,3,)</f>
        <v>Local</v>
      </c>
    </row>
    <row r="219" spans="1:37" hidden="1" x14ac:dyDescent="0.25">
      <c r="A219" s="62">
        <f t="shared" si="85"/>
        <v>205</v>
      </c>
      <c r="B219" s="62" t="s">
        <v>824</v>
      </c>
      <c r="C219" s="62" t="s">
        <v>625</v>
      </c>
      <c r="D219" s="6">
        <v>46101</v>
      </c>
      <c r="E219" s="6">
        <v>46112</v>
      </c>
      <c r="F219" s="63">
        <v>37.799999999999997</v>
      </c>
      <c r="G219" s="64">
        <f t="shared" si="87"/>
        <v>3326.3999999999996</v>
      </c>
      <c r="H219" s="64">
        <f t="shared" si="88"/>
        <v>3326.3999999999996</v>
      </c>
      <c r="I219" s="70">
        <v>302603</v>
      </c>
      <c r="J219" s="62" t="s">
        <v>751</v>
      </c>
      <c r="K219" s="8"/>
      <c r="L219" s="10"/>
      <c r="M219" s="62">
        <v>1</v>
      </c>
      <c r="N219" s="8">
        <v>1</v>
      </c>
      <c r="O219" s="62">
        <f t="shared" si="89"/>
        <v>0</v>
      </c>
      <c r="P219" s="70" t="s">
        <v>840</v>
      </c>
      <c r="Q219" s="71">
        <v>46112</v>
      </c>
      <c r="R219" s="6">
        <v>46116</v>
      </c>
      <c r="S219" s="64">
        <v>6277.5</v>
      </c>
      <c r="T219" s="22">
        <v>5</v>
      </c>
      <c r="U219" s="64">
        <f t="shared" si="90"/>
        <v>313.875</v>
      </c>
      <c r="V219" s="22">
        <v>0</v>
      </c>
      <c r="W219" s="22"/>
      <c r="X219" s="62" t="s">
        <v>371</v>
      </c>
      <c r="Y219" s="62">
        <v>58163865900</v>
      </c>
      <c r="Z219" s="62" t="s">
        <v>1112</v>
      </c>
      <c r="AA219" s="65">
        <v>4</v>
      </c>
      <c r="AB219" s="66"/>
      <c r="AC219" s="1" t="s">
        <v>824</v>
      </c>
      <c r="AD219" s="62" t="str">
        <f>VLOOKUP(X219,'Customer List'!B:C,2,)</f>
        <v>AHMEDABAD</v>
      </c>
      <c r="AE219" s="67"/>
      <c r="AF219" s="6">
        <v>46118</v>
      </c>
      <c r="AG219" s="62">
        <f t="shared" si="91"/>
        <v>2</v>
      </c>
      <c r="AH219" s="62" t="str">
        <f t="shared" si="92"/>
        <v>Thursday</v>
      </c>
      <c r="AI219" s="62" t="str">
        <f t="shared" si="86"/>
        <v>Monday</v>
      </c>
      <c r="AJ219" s="62" t="str">
        <f>VLOOKUP(AC219,'Currency Sheet'!A:C,3,)</f>
        <v>DOLLAR</v>
      </c>
      <c r="AK219" s="62" t="str">
        <f>VLOOKUP(X219,'Customer List'!B:D,3,)</f>
        <v>OutStation</v>
      </c>
    </row>
    <row r="220" spans="1:37" hidden="1" x14ac:dyDescent="0.25">
      <c r="A220" s="62">
        <f t="shared" si="85"/>
        <v>206</v>
      </c>
      <c r="B220" s="62" t="s">
        <v>824</v>
      </c>
      <c r="C220" s="62" t="s">
        <v>625</v>
      </c>
      <c r="D220" s="6">
        <v>46101</v>
      </c>
      <c r="E220" s="6">
        <v>46112</v>
      </c>
      <c r="F220" s="63">
        <v>326.25</v>
      </c>
      <c r="G220" s="64">
        <f t="shared" si="87"/>
        <v>28710</v>
      </c>
      <c r="H220" s="64">
        <f t="shared" si="88"/>
        <v>28710</v>
      </c>
      <c r="I220" s="70">
        <v>302830</v>
      </c>
      <c r="J220" s="62" t="s">
        <v>766</v>
      </c>
      <c r="K220" s="8"/>
      <c r="L220" s="10"/>
      <c r="M220" s="62">
        <v>1</v>
      </c>
      <c r="N220" s="8">
        <v>1</v>
      </c>
      <c r="O220" s="62">
        <f t="shared" si="89"/>
        <v>0</v>
      </c>
      <c r="P220" s="70" t="s">
        <v>841</v>
      </c>
      <c r="Q220" s="71">
        <v>46112</v>
      </c>
      <c r="R220" s="6">
        <v>46116</v>
      </c>
      <c r="S220" s="64">
        <v>47197.5</v>
      </c>
      <c r="T220" s="22">
        <v>5</v>
      </c>
      <c r="U220" s="64">
        <f t="shared" si="90"/>
        <v>2359.875</v>
      </c>
      <c r="V220" s="22">
        <v>0</v>
      </c>
      <c r="W220" s="22"/>
      <c r="X220" s="62" t="s">
        <v>806</v>
      </c>
      <c r="Y220" s="62">
        <v>58163865476</v>
      </c>
      <c r="Z220" s="62" t="s">
        <v>1112</v>
      </c>
      <c r="AA220" s="65">
        <v>4</v>
      </c>
      <c r="AB220" s="66"/>
      <c r="AC220" s="1" t="s">
        <v>824</v>
      </c>
      <c r="AD220" s="62" t="str">
        <f>VLOOKUP(X220,'Customer List'!B:C,2,)</f>
        <v>Kerala</v>
      </c>
      <c r="AE220" s="67"/>
      <c r="AF220" s="6">
        <v>46120</v>
      </c>
      <c r="AG220" s="62">
        <f t="shared" si="91"/>
        <v>4</v>
      </c>
      <c r="AH220" s="62" t="str">
        <f t="shared" si="92"/>
        <v>Tuesday</v>
      </c>
      <c r="AI220" s="62" t="str">
        <f t="shared" si="86"/>
        <v>Wednesday</v>
      </c>
      <c r="AJ220" s="62" t="str">
        <f>VLOOKUP(AC220,'Currency Sheet'!A:C,3,)</f>
        <v>DOLLAR</v>
      </c>
      <c r="AK220" s="62" t="str">
        <f>VLOOKUP(X220,'Customer List'!B:D,3,)</f>
        <v>OutStation</v>
      </c>
    </row>
    <row r="221" spans="1:37" hidden="1" x14ac:dyDescent="0.25">
      <c r="A221" s="62">
        <f t="shared" si="85"/>
        <v>207</v>
      </c>
      <c r="B221" s="62" t="s">
        <v>824</v>
      </c>
      <c r="C221" s="62" t="s">
        <v>625</v>
      </c>
      <c r="D221" s="6">
        <v>46101</v>
      </c>
      <c r="E221" s="6">
        <v>46112</v>
      </c>
      <c r="F221" s="63">
        <v>153</v>
      </c>
      <c r="G221" s="64">
        <f t="shared" si="87"/>
        <v>13464</v>
      </c>
      <c r="H221" s="64">
        <f t="shared" si="88"/>
        <v>26928</v>
      </c>
      <c r="I221" s="70">
        <v>303529</v>
      </c>
      <c r="J221" s="62" t="s">
        <v>767</v>
      </c>
      <c r="K221" s="8"/>
      <c r="L221" s="10"/>
      <c r="M221" s="62">
        <v>2</v>
      </c>
      <c r="N221" s="8">
        <v>2</v>
      </c>
      <c r="O221" s="62">
        <f t="shared" si="89"/>
        <v>0</v>
      </c>
      <c r="P221" s="70" t="s">
        <v>1380</v>
      </c>
      <c r="Q221" s="71">
        <v>46112</v>
      </c>
      <c r="R221" s="6">
        <v>46119</v>
      </c>
      <c r="S221" s="64">
        <v>46165.2</v>
      </c>
      <c r="T221" s="22">
        <v>5</v>
      </c>
      <c r="U221" s="64">
        <f t="shared" si="90"/>
        <v>2308.2599999999998</v>
      </c>
      <c r="V221" s="22">
        <v>0</v>
      </c>
      <c r="W221" s="22">
        <v>127382</v>
      </c>
      <c r="X221" s="62" t="s">
        <v>805</v>
      </c>
      <c r="Y221" s="62" t="s">
        <v>896</v>
      </c>
      <c r="Z221" s="62" t="s">
        <v>821</v>
      </c>
      <c r="AA221" s="65">
        <v>4</v>
      </c>
      <c r="AB221" s="66"/>
      <c r="AC221" s="1" t="s">
        <v>824</v>
      </c>
      <c r="AD221" s="62" t="str">
        <f>VLOOKUP(X221,'Customer List'!B:C,2,)</f>
        <v>Delhi</v>
      </c>
      <c r="AE221" s="67"/>
      <c r="AF221" s="6"/>
      <c r="AG221" s="62" t="str">
        <f t="shared" si="91"/>
        <v/>
      </c>
      <c r="AH221" s="62" t="str">
        <f t="shared" si="92"/>
        <v>Saturday</v>
      </c>
      <c r="AI221" s="62" t="str">
        <f t="shared" si="86"/>
        <v/>
      </c>
      <c r="AJ221" s="62" t="str">
        <f>VLOOKUP(AC221,'Currency Sheet'!A:C,3,)</f>
        <v>DOLLAR</v>
      </c>
      <c r="AK221" s="62" t="str">
        <f>VLOOKUP(X221,'Customer List'!B:D,3,)</f>
        <v>Local</v>
      </c>
    </row>
    <row r="222" spans="1:37" hidden="1" x14ac:dyDescent="0.25">
      <c r="A222" s="62">
        <f t="shared" si="85"/>
        <v>208</v>
      </c>
      <c r="B222" s="62" t="s">
        <v>824</v>
      </c>
      <c r="C222" s="62" t="s">
        <v>625</v>
      </c>
      <c r="D222" s="6">
        <v>46101</v>
      </c>
      <c r="E222" s="6">
        <v>46112</v>
      </c>
      <c r="F222" s="63">
        <v>161.25</v>
      </c>
      <c r="G222" s="64">
        <f t="shared" si="87"/>
        <v>14190</v>
      </c>
      <c r="H222" s="64">
        <f t="shared" si="88"/>
        <v>14190</v>
      </c>
      <c r="I222" s="70">
        <v>306739</v>
      </c>
      <c r="J222" s="62" t="s">
        <v>768</v>
      </c>
      <c r="K222" s="8"/>
      <c r="L222" s="10"/>
      <c r="M222" s="62">
        <v>1</v>
      </c>
      <c r="N222" s="8">
        <v>1</v>
      </c>
      <c r="O222" s="62">
        <f t="shared" si="89"/>
        <v>0</v>
      </c>
      <c r="P222" s="70" t="s">
        <v>841</v>
      </c>
      <c r="Q222" s="71">
        <v>46112</v>
      </c>
      <c r="R222" s="6">
        <v>46116</v>
      </c>
      <c r="S222" s="64">
        <v>23327.5</v>
      </c>
      <c r="T222" s="22">
        <v>5</v>
      </c>
      <c r="U222" s="64">
        <f t="shared" si="90"/>
        <v>1166.375</v>
      </c>
      <c r="V222" s="22">
        <v>0</v>
      </c>
      <c r="W222" s="22"/>
      <c r="X222" s="62" t="s">
        <v>806</v>
      </c>
      <c r="Y222" s="62">
        <v>58163865476</v>
      </c>
      <c r="Z222" s="62" t="s">
        <v>1112</v>
      </c>
      <c r="AA222" s="65">
        <v>4</v>
      </c>
      <c r="AB222" s="66"/>
      <c r="AC222" s="1" t="s">
        <v>824</v>
      </c>
      <c r="AD222" s="62" t="str">
        <f>VLOOKUP(X222,'Customer List'!B:C,2,)</f>
        <v>Kerala</v>
      </c>
      <c r="AE222" s="67"/>
      <c r="AF222" s="6">
        <v>46120</v>
      </c>
      <c r="AG222" s="62">
        <f t="shared" si="91"/>
        <v>4</v>
      </c>
      <c r="AH222" s="62" t="str">
        <f t="shared" si="92"/>
        <v>Tuesday</v>
      </c>
      <c r="AI222" s="62" t="str">
        <f t="shared" si="86"/>
        <v>Wednesday</v>
      </c>
      <c r="AJ222" s="62" t="str">
        <f>VLOOKUP(AC222,'Currency Sheet'!A:C,3,)</f>
        <v>DOLLAR</v>
      </c>
      <c r="AK222" s="62" t="str">
        <f>VLOOKUP(X222,'Customer List'!B:D,3,)</f>
        <v>OutStation</v>
      </c>
    </row>
    <row r="223" spans="1:37" hidden="1" x14ac:dyDescent="0.25">
      <c r="A223" s="62">
        <f t="shared" si="85"/>
        <v>209</v>
      </c>
      <c r="B223" s="62" t="s">
        <v>824</v>
      </c>
      <c r="C223" s="62" t="s">
        <v>625</v>
      </c>
      <c r="D223" s="6">
        <v>46101</v>
      </c>
      <c r="E223" s="6">
        <v>46112</v>
      </c>
      <c r="F223" s="63">
        <v>285</v>
      </c>
      <c r="G223" s="64">
        <f t="shared" si="87"/>
        <v>25080</v>
      </c>
      <c r="H223" s="64">
        <f t="shared" si="88"/>
        <v>25080</v>
      </c>
      <c r="I223" s="70">
        <v>307646</v>
      </c>
      <c r="J223" s="62" t="s">
        <v>752</v>
      </c>
      <c r="K223" s="8"/>
      <c r="L223" s="10"/>
      <c r="M223" s="62">
        <v>1</v>
      </c>
      <c r="N223" s="8">
        <v>1</v>
      </c>
      <c r="O223" s="62">
        <f t="shared" si="89"/>
        <v>0</v>
      </c>
      <c r="P223" s="70" t="s">
        <v>842</v>
      </c>
      <c r="Q223" s="71">
        <v>46112</v>
      </c>
      <c r="R223" s="6">
        <v>46116</v>
      </c>
      <c r="S223" s="64">
        <v>32490</v>
      </c>
      <c r="T223" s="22">
        <v>5</v>
      </c>
      <c r="U223" s="64">
        <f t="shared" si="90"/>
        <v>1624.5</v>
      </c>
      <c r="V223" s="22">
        <v>0</v>
      </c>
      <c r="W223" s="22"/>
      <c r="X223" s="62" t="s">
        <v>801</v>
      </c>
      <c r="Y223" s="62">
        <v>58163866714</v>
      </c>
      <c r="Z223" s="62" t="s">
        <v>1112</v>
      </c>
      <c r="AA223" s="65">
        <v>4</v>
      </c>
      <c r="AB223" s="66"/>
      <c r="AC223" s="1" t="s">
        <v>824</v>
      </c>
      <c r="AD223" s="62" t="str">
        <f>VLOOKUP(X223,'Customer List'!B:C,2,)</f>
        <v>Mumbai</v>
      </c>
      <c r="AE223" s="67"/>
      <c r="AF223" s="6">
        <v>46118</v>
      </c>
      <c r="AG223" s="62">
        <f t="shared" si="91"/>
        <v>2</v>
      </c>
      <c r="AH223" s="62" t="str">
        <f t="shared" si="92"/>
        <v>Tuesday</v>
      </c>
      <c r="AI223" s="62" t="str">
        <f t="shared" si="86"/>
        <v>Monday</v>
      </c>
      <c r="AJ223" s="62" t="str">
        <f>VLOOKUP(AC223,'Currency Sheet'!A:C,3,)</f>
        <v>DOLLAR</v>
      </c>
      <c r="AK223" s="62" t="str">
        <f>VLOOKUP(X223,'Customer List'!B:D,3,)</f>
        <v>OutStation</v>
      </c>
    </row>
    <row r="224" spans="1:37" hidden="1" x14ac:dyDescent="0.25">
      <c r="A224" s="62">
        <f t="shared" si="85"/>
        <v>210</v>
      </c>
      <c r="B224" s="62" t="s">
        <v>824</v>
      </c>
      <c r="C224" s="62" t="s">
        <v>625</v>
      </c>
      <c r="D224" s="6">
        <v>46101</v>
      </c>
      <c r="E224" s="6">
        <v>46112</v>
      </c>
      <c r="F224" s="63">
        <v>293.25</v>
      </c>
      <c r="G224" s="64">
        <f t="shared" si="87"/>
        <v>25806</v>
      </c>
      <c r="H224" s="64">
        <f t="shared" si="88"/>
        <v>25806</v>
      </c>
      <c r="I224" s="70">
        <v>317444</v>
      </c>
      <c r="J224" s="62" t="s">
        <v>744</v>
      </c>
      <c r="K224" s="8"/>
      <c r="L224" s="10"/>
      <c r="M224" s="62">
        <v>1</v>
      </c>
      <c r="N224" s="8">
        <v>1</v>
      </c>
      <c r="O224" s="62">
        <f t="shared" si="89"/>
        <v>0</v>
      </c>
      <c r="P224" s="70" t="s">
        <v>839</v>
      </c>
      <c r="Q224" s="71">
        <v>46112</v>
      </c>
      <c r="R224" s="6">
        <v>46116</v>
      </c>
      <c r="S224" s="64">
        <v>41055</v>
      </c>
      <c r="T224" s="22">
        <v>5</v>
      </c>
      <c r="U224" s="64">
        <f t="shared" si="90"/>
        <v>2052.75</v>
      </c>
      <c r="V224" s="22">
        <v>0</v>
      </c>
      <c r="W224" s="22"/>
      <c r="X224" s="62" t="s">
        <v>204</v>
      </c>
      <c r="Y224" s="62">
        <v>58163866202</v>
      </c>
      <c r="Z224" s="62" t="s">
        <v>1112</v>
      </c>
      <c r="AA224" s="65">
        <v>4</v>
      </c>
      <c r="AB224" s="66"/>
      <c r="AC224" s="1" t="s">
        <v>824</v>
      </c>
      <c r="AD224" s="62" t="str">
        <f>VLOOKUP(X224,'Customer List'!B:C,2,)</f>
        <v>Kerala</v>
      </c>
      <c r="AE224" s="67"/>
      <c r="AF224" s="6">
        <v>46118</v>
      </c>
      <c r="AG224" s="62">
        <f t="shared" si="91"/>
        <v>2</v>
      </c>
      <c r="AH224" s="62" t="str">
        <f t="shared" si="92"/>
        <v>Saturday</v>
      </c>
      <c r="AI224" s="62" t="str">
        <f t="shared" si="86"/>
        <v>Monday</v>
      </c>
      <c r="AJ224" s="62" t="str">
        <f>VLOOKUP(AC224,'Currency Sheet'!A:C,3,)</f>
        <v>DOLLAR</v>
      </c>
      <c r="AK224" s="62" t="str">
        <f>VLOOKUP(X224,'Customer List'!B:D,3,)</f>
        <v>OutStation</v>
      </c>
    </row>
    <row r="225" spans="1:37" hidden="1" x14ac:dyDescent="0.25">
      <c r="A225" s="62">
        <f t="shared" si="85"/>
        <v>211</v>
      </c>
      <c r="B225" s="62" t="s">
        <v>824</v>
      </c>
      <c r="C225" s="62" t="s">
        <v>625</v>
      </c>
      <c r="D225" s="6">
        <v>46101</v>
      </c>
      <c r="E225" s="6">
        <v>46112</v>
      </c>
      <c r="F225" s="63">
        <v>115.5</v>
      </c>
      <c r="G225" s="64">
        <f t="shared" si="87"/>
        <v>10164</v>
      </c>
      <c r="H225" s="64">
        <f t="shared" si="88"/>
        <v>10164</v>
      </c>
      <c r="I225" s="70">
        <v>329220</v>
      </c>
      <c r="J225" s="62" t="s">
        <v>769</v>
      </c>
      <c r="K225" s="8"/>
      <c r="L225" s="10"/>
      <c r="M225" s="62">
        <v>1</v>
      </c>
      <c r="N225" s="8">
        <v>1</v>
      </c>
      <c r="O225" s="62">
        <f t="shared" si="89"/>
        <v>0</v>
      </c>
      <c r="P225" s="70" t="s">
        <v>840</v>
      </c>
      <c r="Q225" s="71">
        <v>46112</v>
      </c>
      <c r="R225" s="6">
        <v>46116</v>
      </c>
      <c r="S225" s="64">
        <v>19181.25</v>
      </c>
      <c r="T225" s="22">
        <v>5</v>
      </c>
      <c r="U225" s="64">
        <f t="shared" si="90"/>
        <v>959.0625</v>
      </c>
      <c r="V225" s="22">
        <v>0</v>
      </c>
      <c r="W225" s="22"/>
      <c r="X225" s="62" t="s">
        <v>371</v>
      </c>
      <c r="Y225" s="62">
        <v>58163865900</v>
      </c>
      <c r="Z225" s="62" t="s">
        <v>1112</v>
      </c>
      <c r="AA225" s="65">
        <v>4</v>
      </c>
      <c r="AB225" s="66"/>
      <c r="AC225" s="1" t="s">
        <v>824</v>
      </c>
      <c r="AD225" s="62" t="str">
        <f>VLOOKUP(X225,'Customer List'!B:C,2,)</f>
        <v>AHMEDABAD</v>
      </c>
      <c r="AE225" s="67"/>
      <c r="AF225" s="6">
        <v>46118</v>
      </c>
      <c r="AG225" s="62">
        <f t="shared" si="91"/>
        <v>2</v>
      </c>
      <c r="AH225" s="62" t="str">
        <f t="shared" si="92"/>
        <v>Sunday</v>
      </c>
      <c r="AI225" s="62" t="str">
        <f t="shared" si="86"/>
        <v>Monday</v>
      </c>
      <c r="AJ225" s="62" t="str">
        <f>VLOOKUP(AC225,'Currency Sheet'!A:C,3,)</f>
        <v>DOLLAR</v>
      </c>
      <c r="AK225" s="62" t="str">
        <f>VLOOKUP(X225,'Customer List'!B:D,3,)</f>
        <v>OutStation</v>
      </c>
    </row>
    <row r="226" spans="1:37" hidden="1" x14ac:dyDescent="0.25">
      <c r="A226" s="62">
        <f t="shared" si="85"/>
        <v>212</v>
      </c>
      <c r="B226" s="62" t="s">
        <v>824</v>
      </c>
      <c r="C226" s="62" t="s">
        <v>625</v>
      </c>
      <c r="D226" s="6">
        <v>46101</v>
      </c>
      <c r="E226" s="6">
        <v>46112</v>
      </c>
      <c r="F226" s="63">
        <v>318</v>
      </c>
      <c r="G226" s="64">
        <f t="shared" si="87"/>
        <v>27984</v>
      </c>
      <c r="H226" s="64">
        <f t="shared" si="88"/>
        <v>55968</v>
      </c>
      <c r="I226" s="70">
        <v>329536</v>
      </c>
      <c r="J226" s="62" t="s">
        <v>770</v>
      </c>
      <c r="K226" s="8"/>
      <c r="L226" s="10"/>
      <c r="M226" s="62">
        <v>2</v>
      </c>
      <c r="N226" s="8">
        <v>2</v>
      </c>
      <c r="O226" s="62">
        <f t="shared" si="89"/>
        <v>0</v>
      </c>
      <c r="P226" s="70" t="s">
        <v>1388</v>
      </c>
      <c r="Q226" s="71">
        <v>46112</v>
      </c>
      <c r="R226" s="6">
        <v>46121</v>
      </c>
      <c r="S226" s="64">
        <v>92008</v>
      </c>
      <c r="T226" s="22">
        <v>5</v>
      </c>
      <c r="U226" s="64">
        <f t="shared" si="90"/>
        <v>4600.4000000000005</v>
      </c>
      <c r="V226" s="22">
        <v>0</v>
      </c>
      <c r="W226" s="22">
        <v>136710</v>
      </c>
      <c r="X226" s="62" t="s">
        <v>807</v>
      </c>
      <c r="Y226" s="62" t="s">
        <v>896</v>
      </c>
      <c r="Z226" s="62" t="s">
        <v>821</v>
      </c>
      <c r="AA226" s="65">
        <v>4</v>
      </c>
      <c r="AB226" s="66"/>
      <c r="AC226" s="1" t="s">
        <v>824</v>
      </c>
      <c r="AD226" s="62" t="str">
        <f>VLOOKUP(X226,'Customer List'!B:C,2,)</f>
        <v>Delhi</v>
      </c>
      <c r="AE226" s="67"/>
      <c r="AF226" s="6"/>
      <c r="AG226" s="62" t="str">
        <f t="shared" si="91"/>
        <v/>
      </c>
      <c r="AH226" s="62" t="str">
        <f t="shared" si="92"/>
        <v>Saturday</v>
      </c>
      <c r="AI226" s="62" t="str">
        <f t="shared" si="86"/>
        <v/>
      </c>
      <c r="AJ226" s="62" t="str">
        <f>VLOOKUP(AC226,'Currency Sheet'!A:C,3,)</f>
        <v>DOLLAR</v>
      </c>
      <c r="AK226" s="62" t="str">
        <f>VLOOKUP(X226,'Customer List'!B:D,3,)</f>
        <v>Local</v>
      </c>
    </row>
    <row r="227" spans="1:37" hidden="1" x14ac:dyDescent="0.25">
      <c r="A227" s="62">
        <f t="shared" si="85"/>
        <v>213</v>
      </c>
      <c r="B227" s="62" t="s">
        <v>824</v>
      </c>
      <c r="C227" s="62" t="s">
        <v>625</v>
      </c>
      <c r="D227" s="6">
        <v>46101</v>
      </c>
      <c r="E227" s="6">
        <v>46112</v>
      </c>
      <c r="F227" s="63">
        <v>82.6</v>
      </c>
      <c r="G227" s="64">
        <f t="shared" si="87"/>
        <v>7268.7999999999993</v>
      </c>
      <c r="H227" s="64">
        <f t="shared" si="88"/>
        <v>7268.7999999999993</v>
      </c>
      <c r="I227" s="70">
        <v>333503</v>
      </c>
      <c r="J227" s="62" t="s">
        <v>771</v>
      </c>
      <c r="K227" s="8"/>
      <c r="L227" s="10"/>
      <c r="M227" s="62">
        <v>1</v>
      </c>
      <c r="N227" s="8">
        <v>1</v>
      </c>
      <c r="O227" s="62">
        <f t="shared" si="89"/>
        <v>0</v>
      </c>
      <c r="P227" s="70" t="s">
        <v>840</v>
      </c>
      <c r="Q227" s="71">
        <v>46112</v>
      </c>
      <c r="R227" s="6">
        <v>46116</v>
      </c>
      <c r="S227" s="64">
        <v>13717.5</v>
      </c>
      <c r="T227" s="22">
        <v>5</v>
      </c>
      <c r="U227" s="64">
        <f t="shared" si="90"/>
        <v>685.875</v>
      </c>
      <c r="V227" s="22">
        <v>0</v>
      </c>
      <c r="W227" s="22"/>
      <c r="X227" s="62" t="s">
        <v>371</v>
      </c>
      <c r="Y227" s="62">
        <v>58163865900</v>
      </c>
      <c r="Z227" s="62" t="s">
        <v>1112</v>
      </c>
      <c r="AA227" s="65">
        <v>4</v>
      </c>
      <c r="AB227" s="66"/>
      <c r="AC227" s="1" t="s">
        <v>824</v>
      </c>
      <c r="AD227" s="62" t="str">
        <f>VLOOKUP(X227,'Customer List'!B:C,2,)</f>
        <v>AHMEDABAD</v>
      </c>
      <c r="AE227" s="67"/>
      <c r="AF227" s="6">
        <v>46118</v>
      </c>
      <c r="AG227" s="62">
        <f t="shared" si="91"/>
        <v>2</v>
      </c>
      <c r="AH227" s="62" t="str">
        <f t="shared" si="92"/>
        <v>Wednesday</v>
      </c>
      <c r="AI227" s="62" t="str">
        <f t="shared" si="86"/>
        <v>Monday</v>
      </c>
      <c r="AJ227" s="62" t="str">
        <f>VLOOKUP(AC227,'Currency Sheet'!A:C,3,)</f>
        <v>DOLLAR</v>
      </c>
      <c r="AK227" s="62" t="str">
        <f>VLOOKUP(X227,'Customer List'!B:D,3,)</f>
        <v>OutStation</v>
      </c>
    </row>
    <row r="228" spans="1:37" hidden="1" x14ac:dyDescent="0.25">
      <c r="A228" s="62">
        <f t="shared" si="85"/>
        <v>214</v>
      </c>
      <c r="B228" s="62" t="s">
        <v>824</v>
      </c>
      <c r="C228" s="62" t="s">
        <v>625</v>
      </c>
      <c r="D228" s="6">
        <v>46101</v>
      </c>
      <c r="E228" s="6">
        <v>46112</v>
      </c>
      <c r="F228" s="63">
        <v>79.099999999999994</v>
      </c>
      <c r="G228" s="64">
        <f t="shared" si="87"/>
        <v>6960.7999999999993</v>
      </c>
      <c r="H228" s="64">
        <f t="shared" si="88"/>
        <v>6960.7999999999993</v>
      </c>
      <c r="I228" s="70">
        <v>342605</v>
      </c>
      <c r="J228" s="62" t="s">
        <v>772</v>
      </c>
      <c r="K228" s="8"/>
      <c r="L228" s="10"/>
      <c r="M228" s="62">
        <v>1</v>
      </c>
      <c r="N228" s="8">
        <v>1</v>
      </c>
      <c r="O228" s="62">
        <f t="shared" si="89"/>
        <v>0</v>
      </c>
      <c r="P228" s="70" t="s">
        <v>841</v>
      </c>
      <c r="Q228" s="71">
        <v>46112</v>
      </c>
      <c r="R228" s="6">
        <v>46116</v>
      </c>
      <c r="S228" s="64">
        <v>12260.5</v>
      </c>
      <c r="T228" s="22">
        <v>5</v>
      </c>
      <c r="U228" s="64">
        <f t="shared" si="90"/>
        <v>613.02499999999998</v>
      </c>
      <c r="V228" s="22">
        <v>0</v>
      </c>
      <c r="W228" s="22"/>
      <c r="X228" s="62" t="s">
        <v>806</v>
      </c>
      <c r="Y228" s="62">
        <v>58163865476</v>
      </c>
      <c r="Z228" s="62" t="s">
        <v>1112</v>
      </c>
      <c r="AA228" s="65">
        <v>4</v>
      </c>
      <c r="AB228" s="66"/>
      <c r="AC228" s="1" t="s">
        <v>824</v>
      </c>
      <c r="AD228" s="62" t="str">
        <f>VLOOKUP(X228,'Customer List'!B:C,2,)</f>
        <v>Kerala</v>
      </c>
      <c r="AE228" s="67"/>
      <c r="AF228" s="6">
        <v>46120</v>
      </c>
      <c r="AG228" s="62">
        <f t="shared" si="91"/>
        <v>4</v>
      </c>
      <c r="AH228" s="62" t="str">
        <f t="shared" si="92"/>
        <v>Tuesday</v>
      </c>
      <c r="AI228" s="62" t="str">
        <f t="shared" si="86"/>
        <v>Wednesday</v>
      </c>
      <c r="AJ228" s="62" t="str">
        <f>VLOOKUP(AC228,'Currency Sheet'!A:C,3,)</f>
        <v>DOLLAR</v>
      </c>
      <c r="AK228" s="62" t="str">
        <f>VLOOKUP(X228,'Customer List'!B:D,3,)</f>
        <v>OutStation</v>
      </c>
    </row>
    <row r="229" spans="1:37" hidden="1" x14ac:dyDescent="0.25">
      <c r="A229" s="62">
        <f t="shared" si="85"/>
        <v>215</v>
      </c>
      <c r="B229" s="62" t="s">
        <v>824</v>
      </c>
      <c r="C229" s="62" t="s">
        <v>625</v>
      </c>
      <c r="D229" s="6">
        <v>46101</v>
      </c>
      <c r="E229" s="6">
        <v>46112</v>
      </c>
      <c r="F229" s="63">
        <v>153</v>
      </c>
      <c r="G229" s="64">
        <f t="shared" si="87"/>
        <v>13464</v>
      </c>
      <c r="H229" s="64">
        <f t="shared" si="88"/>
        <v>13464</v>
      </c>
      <c r="I229" s="70">
        <v>344739</v>
      </c>
      <c r="J229" s="62" t="s">
        <v>773</v>
      </c>
      <c r="K229" s="8"/>
      <c r="L229" s="10"/>
      <c r="M229" s="62">
        <v>1</v>
      </c>
      <c r="N229" s="8">
        <v>1</v>
      </c>
      <c r="O229" s="62">
        <f t="shared" si="89"/>
        <v>0</v>
      </c>
      <c r="P229" s="70" t="s">
        <v>1380</v>
      </c>
      <c r="Q229" s="71">
        <v>46112</v>
      </c>
      <c r="R229" s="6">
        <v>46119</v>
      </c>
      <c r="S229" s="64">
        <v>23082.6</v>
      </c>
      <c r="T229" s="22">
        <v>5</v>
      </c>
      <c r="U229" s="64">
        <f t="shared" si="90"/>
        <v>1154.1299999999999</v>
      </c>
      <c r="V229" s="22">
        <v>0</v>
      </c>
      <c r="W229" s="22">
        <v>127382</v>
      </c>
      <c r="X229" s="62" t="s">
        <v>805</v>
      </c>
      <c r="Y229" s="62" t="s">
        <v>896</v>
      </c>
      <c r="Z229" s="62" t="s">
        <v>821</v>
      </c>
      <c r="AA229" s="65">
        <v>4</v>
      </c>
      <c r="AB229" s="66"/>
      <c r="AC229" s="1" t="s">
        <v>824</v>
      </c>
      <c r="AD229" s="62" t="str">
        <f>VLOOKUP(X229,'Customer List'!B:C,2,)</f>
        <v>Delhi</v>
      </c>
      <c r="AE229" s="67"/>
      <c r="AF229" s="6"/>
      <c r="AG229" s="62" t="str">
        <f t="shared" si="91"/>
        <v/>
      </c>
      <c r="AH229" s="62" t="str">
        <f t="shared" si="92"/>
        <v>Tuesday</v>
      </c>
      <c r="AI229" s="62" t="str">
        <f t="shared" si="86"/>
        <v/>
      </c>
      <c r="AJ229" s="62" t="str">
        <f>VLOOKUP(AC229,'Currency Sheet'!A:C,3,)</f>
        <v>DOLLAR</v>
      </c>
      <c r="AK229" s="62" t="str">
        <f>VLOOKUP(X229,'Customer List'!B:D,3,)</f>
        <v>Local</v>
      </c>
    </row>
    <row r="230" spans="1:37" hidden="1" x14ac:dyDescent="0.25">
      <c r="A230" s="62">
        <f t="shared" si="85"/>
        <v>216</v>
      </c>
      <c r="B230" s="62" t="s">
        <v>824</v>
      </c>
      <c r="C230" s="62" t="s">
        <v>625</v>
      </c>
      <c r="D230" s="6">
        <v>46101</v>
      </c>
      <c r="E230" s="6">
        <v>46112</v>
      </c>
      <c r="F230" s="63">
        <v>119.7</v>
      </c>
      <c r="G230" s="64">
        <f t="shared" si="87"/>
        <v>10533.6</v>
      </c>
      <c r="H230" s="64">
        <f t="shared" si="88"/>
        <v>10533.6</v>
      </c>
      <c r="I230" s="70">
        <v>347205</v>
      </c>
      <c r="J230" s="62" t="s">
        <v>774</v>
      </c>
      <c r="K230" s="8"/>
      <c r="L230" s="10"/>
      <c r="M230" s="62">
        <v>1</v>
      </c>
      <c r="N230" s="8">
        <v>1</v>
      </c>
      <c r="O230" s="62">
        <f t="shared" si="89"/>
        <v>0</v>
      </c>
      <c r="P230" s="70" t="s">
        <v>840</v>
      </c>
      <c r="Q230" s="71">
        <v>46112</v>
      </c>
      <c r="R230" s="6">
        <v>46116</v>
      </c>
      <c r="S230" s="64">
        <v>19878.75</v>
      </c>
      <c r="T230" s="22">
        <v>5</v>
      </c>
      <c r="U230" s="64">
        <f t="shared" si="90"/>
        <v>993.9375</v>
      </c>
      <c r="V230" s="22">
        <v>0</v>
      </c>
      <c r="W230" s="22"/>
      <c r="X230" s="62" t="s">
        <v>371</v>
      </c>
      <c r="Y230" s="62">
        <v>58163865900</v>
      </c>
      <c r="Z230" s="62" t="s">
        <v>1112</v>
      </c>
      <c r="AA230" s="65">
        <v>4</v>
      </c>
      <c r="AB230" s="66"/>
      <c r="AC230" s="1" t="s">
        <v>824</v>
      </c>
      <c r="AD230" s="62" t="str">
        <f>VLOOKUP(X230,'Customer List'!B:C,2,)</f>
        <v>AHMEDABAD</v>
      </c>
      <c r="AE230" s="67"/>
      <c r="AF230" s="6">
        <v>46118</v>
      </c>
      <c r="AG230" s="62">
        <f t="shared" si="91"/>
        <v>2</v>
      </c>
      <c r="AH230" s="62" t="str">
        <f t="shared" si="92"/>
        <v>Thursday</v>
      </c>
      <c r="AI230" s="62" t="str">
        <f t="shared" si="86"/>
        <v>Monday</v>
      </c>
      <c r="AJ230" s="62" t="str">
        <f>VLOOKUP(AC230,'Currency Sheet'!A:C,3,)</f>
        <v>DOLLAR</v>
      </c>
      <c r="AK230" s="62" t="str">
        <f>VLOOKUP(X230,'Customer List'!B:D,3,)</f>
        <v>OutStation</v>
      </c>
    </row>
    <row r="231" spans="1:37" hidden="1" x14ac:dyDescent="0.25">
      <c r="A231" s="62">
        <f t="shared" si="85"/>
        <v>217</v>
      </c>
      <c r="B231" s="62" t="s">
        <v>824</v>
      </c>
      <c r="C231" s="62" t="s">
        <v>625</v>
      </c>
      <c r="D231" s="6">
        <v>46101</v>
      </c>
      <c r="E231" s="6">
        <v>46112</v>
      </c>
      <c r="F231" s="63">
        <v>87.5</v>
      </c>
      <c r="G231" s="64">
        <f t="shared" si="87"/>
        <v>7700</v>
      </c>
      <c r="H231" s="64">
        <f t="shared" si="88"/>
        <v>7700</v>
      </c>
      <c r="I231" s="70">
        <v>356505</v>
      </c>
      <c r="J231" s="62" t="s">
        <v>754</v>
      </c>
      <c r="K231" s="8"/>
      <c r="L231" s="10"/>
      <c r="M231" s="62">
        <v>1</v>
      </c>
      <c r="N231" s="8">
        <v>1</v>
      </c>
      <c r="O231" s="62">
        <f t="shared" si="89"/>
        <v>0</v>
      </c>
      <c r="P231" s="70" t="s">
        <v>843</v>
      </c>
      <c r="Q231" s="71">
        <v>46112</v>
      </c>
      <c r="R231" s="6">
        <v>46116</v>
      </c>
      <c r="S231" s="64">
        <v>14531.25</v>
      </c>
      <c r="T231" s="22">
        <v>5</v>
      </c>
      <c r="U231" s="64">
        <f t="shared" si="90"/>
        <v>726.5625</v>
      </c>
      <c r="V231" s="22">
        <v>0</v>
      </c>
      <c r="W231" s="22"/>
      <c r="X231" s="62" t="s">
        <v>371</v>
      </c>
      <c r="Y231" s="62">
        <v>58163865900</v>
      </c>
      <c r="Z231" s="62" t="s">
        <v>1112</v>
      </c>
      <c r="AA231" s="65">
        <v>4</v>
      </c>
      <c r="AB231" s="66"/>
      <c r="AC231" s="1" t="s">
        <v>824</v>
      </c>
      <c r="AD231" s="62" t="str">
        <f>VLOOKUP(X231,'Customer List'!B:C,2,)</f>
        <v>AHMEDABAD</v>
      </c>
      <c r="AE231" s="67"/>
      <c r="AF231" s="6">
        <v>46118</v>
      </c>
      <c r="AG231" s="62">
        <f t="shared" si="91"/>
        <v>2</v>
      </c>
      <c r="AH231" s="62" t="str">
        <f t="shared" si="92"/>
        <v>Friday</v>
      </c>
      <c r="AI231" s="62" t="str">
        <f t="shared" si="86"/>
        <v>Monday</v>
      </c>
      <c r="AJ231" s="62" t="str">
        <f>VLOOKUP(AC231,'Currency Sheet'!A:C,3,)</f>
        <v>DOLLAR</v>
      </c>
      <c r="AK231" s="62" t="str">
        <f>VLOOKUP(X231,'Customer List'!B:D,3,)</f>
        <v>OutStation</v>
      </c>
    </row>
    <row r="232" spans="1:37" hidden="1" x14ac:dyDescent="0.25">
      <c r="A232" s="62">
        <f t="shared" si="85"/>
        <v>218</v>
      </c>
      <c r="B232" s="62" t="s">
        <v>824</v>
      </c>
      <c r="C232" s="62" t="s">
        <v>625</v>
      </c>
      <c r="D232" s="6">
        <v>46101</v>
      </c>
      <c r="E232" s="6">
        <v>46112</v>
      </c>
      <c r="F232" s="63">
        <v>37.799999999999997</v>
      </c>
      <c r="G232" s="64">
        <f t="shared" si="87"/>
        <v>3326.3999999999996</v>
      </c>
      <c r="H232" s="64">
        <f t="shared" si="88"/>
        <v>6652.7999999999993</v>
      </c>
      <c r="I232" s="70">
        <v>357405</v>
      </c>
      <c r="J232" s="62" t="s">
        <v>744</v>
      </c>
      <c r="K232" s="8"/>
      <c r="L232" s="10"/>
      <c r="M232" s="62">
        <v>2</v>
      </c>
      <c r="N232" s="8">
        <v>2</v>
      </c>
      <c r="O232" s="62">
        <f t="shared" si="89"/>
        <v>0</v>
      </c>
      <c r="P232" s="70" t="s">
        <v>1380</v>
      </c>
      <c r="Q232" s="71">
        <v>46112</v>
      </c>
      <c r="R232" s="6">
        <v>46119</v>
      </c>
      <c r="S232" s="64">
        <v>10880</v>
      </c>
      <c r="T232" s="22">
        <v>5</v>
      </c>
      <c r="U232" s="64">
        <f t="shared" si="90"/>
        <v>544</v>
      </c>
      <c r="V232" s="22">
        <v>0</v>
      </c>
      <c r="W232" s="22">
        <v>127382</v>
      </c>
      <c r="X232" s="62" t="s">
        <v>805</v>
      </c>
      <c r="Y232" s="62" t="s">
        <v>896</v>
      </c>
      <c r="Z232" s="62" t="s">
        <v>821</v>
      </c>
      <c r="AA232" s="65">
        <v>4</v>
      </c>
      <c r="AB232" s="66"/>
      <c r="AC232" s="1" t="s">
        <v>824</v>
      </c>
      <c r="AD232" s="62" t="str">
        <f>VLOOKUP(X232,'Customer List'!B:C,2,)</f>
        <v>Delhi</v>
      </c>
      <c r="AE232" s="67"/>
      <c r="AF232" s="6"/>
      <c r="AG232" s="62" t="str">
        <f t="shared" si="91"/>
        <v/>
      </c>
      <c r="AH232" s="62" t="str">
        <f t="shared" si="92"/>
        <v>Monday</v>
      </c>
      <c r="AI232" s="62" t="str">
        <f t="shared" ref="AI232:AI263" si="93">IF(AF232="", "", TEXT(AF232, "dddd"))</f>
        <v/>
      </c>
      <c r="AJ232" s="62" t="str">
        <f>VLOOKUP(AC232,'Currency Sheet'!A:C,3,)</f>
        <v>DOLLAR</v>
      </c>
      <c r="AK232" s="62" t="str">
        <f>VLOOKUP(X232,'Customer List'!B:D,3,)</f>
        <v>Local</v>
      </c>
    </row>
    <row r="233" spans="1:37" hidden="1" x14ac:dyDescent="0.25">
      <c r="A233" s="62">
        <f t="shared" si="85"/>
        <v>219</v>
      </c>
      <c r="B233" s="62" t="s">
        <v>824</v>
      </c>
      <c r="C233" s="62" t="s">
        <v>625</v>
      </c>
      <c r="D233" s="6">
        <v>46101</v>
      </c>
      <c r="E233" s="6">
        <v>46112</v>
      </c>
      <c r="F233" s="63">
        <v>246.4</v>
      </c>
      <c r="G233" s="64">
        <f t="shared" si="87"/>
        <v>21683.200000000001</v>
      </c>
      <c r="H233" s="64">
        <f t="shared" si="88"/>
        <v>21683.200000000001</v>
      </c>
      <c r="I233" s="70">
        <v>374210</v>
      </c>
      <c r="J233" s="62" t="s">
        <v>775</v>
      </c>
      <c r="K233" s="8"/>
      <c r="L233" s="10"/>
      <c r="M233" s="62">
        <v>1</v>
      </c>
      <c r="N233" s="8">
        <v>1</v>
      </c>
      <c r="O233" s="62">
        <f t="shared" si="89"/>
        <v>0</v>
      </c>
      <c r="P233" s="70" t="s">
        <v>1388</v>
      </c>
      <c r="Q233" s="71">
        <v>46112</v>
      </c>
      <c r="R233" s="6">
        <v>46121</v>
      </c>
      <c r="S233" s="64">
        <v>38192</v>
      </c>
      <c r="T233" s="22">
        <v>5</v>
      </c>
      <c r="U233" s="64">
        <f t="shared" si="90"/>
        <v>1909.6000000000001</v>
      </c>
      <c r="V233" s="22">
        <v>0</v>
      </c>
      <c r="W233" s="22">
        <v>136710</v>
      </c>
      <c r="X233" s="62" t="s">
        <v>807</v>
      </c>
      <c r="Y233" s="62" t="s">
        <v>896</v>
      </c>
      <c r="Z233" s="62" t="s">
        <v>821</v>
      </c>
      <c r="AA233" s="65">
        <v>4</v>
      </c>
      <c r="AB233" s="66"/>
      <c r="AC233" s="1" t="s">
        <v>824</v>
      </c>
      <c r="AD233" s="62" t="str">
        <f>VLOOKUP(X233,'Customer List'!B:C,2,)</f>
        <v>Delhi</v>
      </c>
      <c r="AE233" s="67"/>
      <c r="AF233" s="6"/>
      <c r="AG233" s="62" t="str">
        <f t="shared" si="91"/>
        <v/>
      </c>
      <c r="AH233" s="62" t="str">
        <f t="shared" si="92"/>
        <v>Saturday</v>
      </c>
      <c r="AI233" s="62" t="str">
        <f t="shared" si="93"/>
        <v/>
      </c>
      <c r="AJ233" s="62" t="str">
        <f>VLOOKUP(AC233,'Currency Sheet'!A:C,3,)</f>
        <v>DOLLAR</v>
      </c>
      <c r="AK233" s="62" t="str">
        <f>VLOOKUP(X233,'Customer List'!B:D,3,)</f>
        <v>Local</v>
      </c>
    </row>
    <row r="234" spans="1:37" hidden="1" x14ac:dyDescent="0.25">
      <c r="A234" s="62">
        <f t="shared" si="85"/>
        <v>220</v>
      </c>
      <c r="B234" s="62" t="s">
        <v>824</v>
      </c>
      <c r="C234" s="62" t="s">
        <v>625</v>
      </c>
      <c r="D234" s="6">
        <v>46101</v>
      </c>
      <c r="E234" s="6">
        <v>46112</v>
      </c>
      <c r="F234" s="63">
        <v>286.3</v>
      </c>
      <c r="G234" s="64">
        <f t="shared" si="87"/>
        <v>25194.400000000001</v>
      </c>
      <c r="H234" s="64">
        <f t="shared" si="88"/>
        <v>25194.400000000001</v>
      </c>
      <c r="I234" s="70">
        <v>383204</v>
      </c>
      <c r="J234" s="62" t="s">
        <v>776</v>
      </c>
      <c r="K234" s="8"/>
      <c r="L234" s="10"/>
      <c r="M234" s="62">
        <v>1</v>
      </c>
      <c r="N234" s="8">
        <v>1</v>
      </c>
      <c r="O234" s="62">
        <f t="shared" si="89"/>
        <v>0</v>
      </c>
      <c r="P234" s="70" t="s">
        <v>841</v>
      </c>
      <c r="Q234" s="71">
        <v>46112</v>
      </c>
      <c r="R234" s="6">
        <v>46116</v>
      </c>
      <c r="S234" s="64">
        <v>35980</v>
      </c>
      <c r="T234" s="22">
        <v>5</v>
      </c>
      <c r="U234" s="64">
        <f t="shared" si="90"/>
        <v>1799</v>
      </c>
      <c r="V234" s="22">
        <v>0</v>
      </c>
      <c r="W234" s="22"/>
      <c r="X234" s="62" t="s">
        <v>806</v>
      </c>
      <c r="Y234" s="62">
        <v>58163865476</v>
      </c>
      <c r="Z234" s="62" t="s">
        <v>1112</v>
      </c>
      <c r="AA234" s="65">
        <v>4</v>
      </c>
      <c r="AB234" s="66"/>
      <c r="AC234" s="1" t="s">
        <v>824</v>
      </c>
      <c r="AD234" s="62" t="str">
        <f>VLOOKUP(X234,'Customer List'!B:C,2,)</f>
        <v>Kerala</v>
      </c>
      <c r="AE234" s="67"/>
      <c r="AF234" s="6">
        <v>46120</v>
      </c>
      <c r="AG234" s="62">
        <f t="shared" si="91"/>
        <v>4</v>
      </c>
      <c r="AH234" s="62" t="str">
        <f t="shared" si="92"/>
        <v>Saturday</v>
      </c>
      <c r="AI234" s="62" t="str">
        <f t="shared" si="93"/>
        <v>Wednesday</v>
      </c>
      <c r="AJ234" s="62" t="str">
        <f>VLOOKUP(AC234,'Currency Sheet'!A:C,3,)</f>
        <v>DOLLAR</v>
      </c>
      <c r="AK234" s="62" t="str">
        <f>VLOOKUP(X234,'Customer List'!B:D,3,)</f>
        <v>OutStation</v>
      </c>
    </row>
    <row r="235" spans="1:37" hidden="1" x14ac:dyDescent="0.25">
      <c r="A235" s="62">
        <f t="shared" si="85"/>
        <v>221</v>
      </c>
      <c r="B235" s="62" t="s">
        <v>824</v>
      </c>
      <c r="C235" s="62" t="s">
        <v>625</v>
      </c>
      <c r="D235" s="6">
        <v>46101</v>
      </c>
      <c r="E235" s="6">
        <v>46112</v>
      </c>
      <c r="F235" s="63">
        <v>99.4</v>
      </c>
      <c r="G235" s="64">
        <f t="shared" si="87"/>
        <v>8747.2000000000007</v>
      </c>
      <c r="H235" s="64">
        <f t="shared" si="88"/>
        <v>8747.2000000000007</v>
      </c>
      <c r="I235" s="70">
        <v>391803</v>
      </c>
      <c r="J235" s="62" t="s">
        <v>777</v>
      </c>
      <c r="K235" s="8"/>
      <c r="L235" s="10"/>
      <c r="M235" s="62">
        <v>1</v>
      </c>
      <c r="N235" s="8">
        <v>1</v>
      </c>
      <c r="O235" s="62">
        <f t="shared" si="89"/>
        <v>0</v>
      </c>
      <c r="P235" s="70" t="s">
        <v>841</v>
      </c>
      <c r="Q235" s="71">
        <v>46112</v>
      </c>
      <c r="R235" s="6">
        <v>46116</v>
      </c>
      <c r="S235" s="64">
        <v>15407</v>
      </c>
      <c r="T235" s="22">
        <v>5</v>
      </c>
      <c r="U235" s="64">
        <f t="shared" si="90"/>
        <v>770.35</v>
      </c>
      <c r="V235" s="22">
        <v>0</v>
      </c>
      <c r="W235" s="22"/>
      <c r="X235" s="62" t="s">
        <v>806</v>
      </c>
      <c r="Y235" s="62">
        <v>58163865476</v>
      </c>
      <c r="Z235" s="62" t="s">
        <v>1112</v>
      </c>
      <c r="AA235" s="65">
        <v>4</v>
      </c>
      <c r="AB235" s="66"/>
      <c r="AC235" s="1" t="s">
        <v>824</v>
      </c>
      <c r="AD235" s="62" t="str">
        <f>VLOOKUP(X235,'Customer List'!B:C,2,)</f>
        <v>Kerala</v>
      </c>
      <c r="AE235" s="67"/>
      <c r="AF235" s="6">
        <v>46120</v>
      </c>
      <c r="AG235" s="62">
        <f t="shared" si="91"/>
        <v>4</v>
      </c>
      <c r="AH235" s="62" t="str">
        <f t="shared" si="92"/>
        <v>Saturday</v>
      </c>
      <c r="AI235" s="62" t="str">
        <f t="shared" si="93"/>
        <v>Wednesday</v>
      </c>
      <c r="AJ235" s="62" t="str">
        <f>VLOOKUP(AC235,'Currency Sheet'!A:C,3,)</f>
        <v>DOLLAR</v>
      </c>
      <c r="AK235" s="62" t="str">
        <f>VLOOKUP(X235,'Customer List'!B:D,3,)</f>
        <v>OutStation</v>
      </c>
    </row>
    <row r="236" spans="1:37" hidden="1" x14ac:dyDescent="0.25">
      <c r="A236" s="62">
        <f t="shared" si="85"/>
        <v>222</v>
      </c>
      <c r="B236" s="62" t="s">
        <v>824</v>
      </c>
      <c r="C236" s="62" t="s">
        <v>625</v>
      </c>
      <c r="D236" s="6">
        <v>46101</v>
      </c>
      <c r="E236" s="6">
        <v>46112</v>
      </c>
      <c r="F236" s="63">
        <v>98.7</v>
      </c>
      <c r="G236" s="64">
        <f t="shared" si="87"/>
        <v>8685.6</v>
      </c>
      <c r="H236" s="64">
        <f t="shared" si="88"/>
        <v>8685.6</v>
      </c>
      <c r="I236" s="70">
        <v>405405</v>
      </c>
      <c r="J236" s="62" t="s">
        <v>778</v>
      </c>
      <c r="K236" s="8"/>
      <c r="L236" s="10"/>
      <c r="M236" s="62">
        <v>1</v>
      </c>
      <c r="N236" s="8">
        <v>1</v>
      </c>
      <c r="O236" s="62">
        <f t="shared" si="89"/>
        <v>0</v>
      </c>
      <c r="P236" s="70">
        <v>53</v>
      </c>
      <c r="Q236" s="71">
        <v>46121</v>
      </c>
      <c r="R236" s="6">
        <v>46121</v>
      </c>
      <c r="S236" s="64">
        <v>13324.5</v>
      </c>
      <c r="T236" s="22">
        <v>5</v>
      </c>
      <c r="U236" s="64">
        <f t="shared" si="90"/>
        <v>666.22500000000002</v>
      </c>
      <c r="V236" s="22">
        <v>0</v>
      </c>
      <c r="W236" s="22">
        <v>166896</v>
      </c>
      <c r="X236" s="62" t="s">
        <v>803</v>
      </c>
      <c r="Y236" s="62" t="s">
        <v>896</v>
      </c>
      <c r="Z236" s="62" t="s">
        <v>821</v>
      </c>
      <c r="AA236" s="65">
        <v>4</v>
      </c>
      <c r="AB236" s="66"/>
      <c r="AC236" s="1" t="s">
        <v>824</v>
      </c>
      <c r="AD236" s="62" t="str">
        <f>VLOOKUP(X236,'Customer List'!B:C,2,)</f>
        <v>Faridabad</v>
      </c>
      <c r="AE236" s="67"/>
      <c r="AF236" s="6"/>
      <c r="AG236" s="62" t="str">
        <f t="shared" si="91"/>
        <v/>
      </c>
      <c r="AH236" s="62" t="str">
        <f t="shared" si="92"/>
        <v>Tuesday</v>
      </c>
      <c r="AI236" s="62" t="str">
        <f t="shared" si="93"/>
        <v/>
      </c>
      <c r="AJ236" s="62" t="str">
        <f>VLOOKUP(AC236,'Currency Sheet'!A:C,3,)</f>
        <v>DOLLAR</v>
      </c>
      <c r="AK236" s="62" t="str">
        <f>VLOOKUP(X236,'Customer List'!B:D,3,)</f>
        <v>Local</v>
      </c>
    </row>
    <row r="237" spans="1:37" hidden="1" x14ac:dyDescent="0.25">
      <c r="A237" s="62">
        <f t="shared" si="85"/>
        <v>223</v>
      </c>
      <c r="B237" s="62" t="s">
        <v>824</v>
      </c>
      <c r="C237" s="62" t="s">
        <v>625</v>
      </c>
      <c r="D237" s="6">
        <v>46101</v>
      </c>
      <c r="E237" s="6">
        <v>46112</v>
      </c>
      <c r="F237" s="63">
        <v>98.7</v>
      </c>
      <c r="G237" s="64">
        <f t="shared" si="87"/>
        <v>8685.6</v>
      </c>
      <c r="H237" s="64">
        <f t="shared" si="88"/>
        <v>8685.6</v>
      </c>
      <c r="I237" s="70">
        <v>406401</v>
      </c>
      <c r="J237" s="62" t="s">
        <v>779</v>
      </c>
      <c r="K237" s="8"/>
      <c r="L237" s="10"/>
      <c r="M237" s="62">
        <v>1</v>
      </c>
      <c r="N237" s="8">
        <v>1</v>
      </c>
      <c r="O237" s="62">
        <f t="shared" si="89"/>
        <v>0</v>
      </c>
      <c r="P237" s="70">
        <v>53</v>
      </c>
      <c r="Q237" s="71">
        <v>46121</v>
      </c>
      <c r="R237" s="6">
        <v>46121</v>
      </c>
      <c r="S237" s="64">
        <v>13324.5</v>
      </c>
      <c r="T237" s="22">
        <v>5</v>
      </c>
      <c r="U237" s="64">
        <f t="shared" si="90"/>
        <v>666.22500000000002</v>
      </c>
      <c r="V237" s="22">
        <v>0</v>
      </c>
      <c r="W237" s="22">
        <v>166896</v>
      </c>
      <c r="X237" s="62" t="s">
        <v>803</v>
      </c>
      <c r="Y237" s="62" t="s">
        <v>896</v>
      </c>
      <c r="Z237" s="62" t="s">
        <v>821</v>
      </c>
      <c r="AA237" s="65">
        <v>4</v>
      </c>
      <c r="AB237" s="66"/>
      <c r="AC237" s="1" t="s">
        <v>824</v>
      </c>
      <c r="AD237" s="62" t="str">
        <f>VLOOKUP(X237,'Customer List'!B:C,2,)</f>
        <v>Faridabad</v>
      </c>
      <c r="AE237" s="67"/>
      <c r="AF237" s="6"/>
      <c r="AG237" s="62" t="str">
        <f t="shared" si="91"/>
        <v/>
      </c>
      <c r="AH237" s="62" t="str">
        <f t="shared" si="92"/>
        <v>Tuesday</v>
      </c>
      <c r="AI237" s="62" t="str">
        <f t="shared" si="93"/>
        <v/>
      </c>
      <c r="AJ237" s="62" t="str">
        <f>VLOOKUP(AC237,'Currency Sheet'!A:C,3,)</f>
        <v>DOLLAR</v>
      </c>
      <c r="AK237" s="62" t="str">
        <f>VLOOKUP(X237,'Customer List'!B:D,3,)</f>
        <v>Local</v>
      </c>
    </row>
    <row r="238" spans="1:37" hidden="1" x14ac:dyDescent="0.25">
      <c r="A238" s="62">
        <f t="shared" si="85"/>
        <v>224</v>
      </c>
      <c r="B238" s="62" t="s">
        <v>824</v>
      </c>
      <c r="C238" s="62" t="s">
        <v>625</v>
      </c>
      <c r="D238" s="6">
        <v>46101</v>
      </c>
      <c r="E238" s="6">
        <v>46112</v>
      </c>
      <c r="F238" s="63">
        <v>135.80000000000001</v>
      </c>
      <c r="G238" s="64">
        <f t="shared" si="87"/>
        <v>11950.400000000001</v>
      </c>
      <c r="H238" s="64">
        <f t="shared" si="88"/>
        <v>11950.400000000001</v>
      </c>
      <c r="I238" s="70">
        <v>407514</v>
      </c>
      <c r="J238" s="62" t="s">
        <v>780</v>
      </c>
      <c r="K238" s="8"/>
      <c r="L238" s="10"/>
      <c r="M238" s="62">
        <v>1</v>
      </c>
      <c r="N238" s="8">
        <v>1</v>
      </c>
      <c r="O238" s="62">
        <f t="shared" si="89"/>
        <v>0</v>
      </c>
      <c r="P238" s="70">
        <v>53</v>
      </c>
      <c r="Q238" s="71">
        <v>46121</v>
      </c>
      <c r="R238" s="6">
        <v>46121</v>
      </c>
      <c r="S238" s="64">
        <v>18333</v>
      </c>
      <c r="T238" s="22">
        <v>5</v>
      </c>
      <c r="U238" s="64">
        <f t="shared" si="90"/>
        <v>916.65000000000009</v>
      </c>
      <c r="V238" s="22">
        <v>0</v>
      </c>
      <c r="W238" s="22">
        <v>166896</v>
      </c>
      <c r="X238" s="62" t="s">
        <v>803</v>
      </c>
      <c r="Y238" s="62" t="s">
        <v>896</v>
      </c>
      <c r="Z238" s="62" t="s">
        <v>821</v>
      </c>
      <c r="AA238" s="65">
        <v>4</v>
      </c>
      <c r="AB238" s="66"/>
      <c r="AC238" s="1" t="s">
        <v>824</v>
      </c>
      <c r="AD238" s="62" t="str">
        <f>VLOOKUP(X238,'Customer List'!B:C,2,)</f>
        <v>Faridabad</v>
      </c>
      <c r="AE238" s="67"/>
      <c r="AF238" s="6"/>
      <c r="AG238" s="62" t="str">
        <f t="shared" si="91"/>
        <v/>
      </c>
      <c r="AH238" s="62" t="str">
        <f t="shared" si="92"/>
        <v>Saturday</v>
      </c>
      <c r="AI238" s="62" t="str">
        <f t="shared" si="93"/>
        <v/>
      </c>
      <c r="AJ238" s="62" t="str">
        <f>VLOOKUP(AC238,'Currency Sheet'!A:C,3,)</f>
        <v>DOLLAR</v>
      </c>
      <c r="AK238" s="62" t="str">
        <f>VLOOKUP(X238,'Customer List'!B:D,3,)</f>
        <v>Local</v>
      </c>
    </row>
    <row r="239" spans="1:37" hidden="1" x14ac:dyDescent="0.25">
      <c r="A239" s="62">
        <f t="shared" si="85"/>
        <v>225</v>
      </c>
      <c r="B239" s="62" t="s">
        <v>824</v>
      </c>
      <c r="C239" s="62" t="s">
        <v>625</v>
      </c>
      <c r="D239" s="6">
        <v>46101</v>
      </c>
      <c r="E239" s="6">
        <v>46112</v>
      </c>
      <c r="F239" s="63">
        <v>410.2</v>
      </c>
      <c r="G239" s="64">
        <f t="shared" si="87"/>
        <v>36097.599999999999</v>
      </c>
      <c r="H239" s="64">
        <f t="shared" si="88"/>
        <v>36097.599999999999</v>
      </c>
      <c r="I239" s="70">
        <v>430115</v>
      </c>
      <c r="J239" s="62" t="s">
        <v>781</v>
      </c>
      <c r="K239" s="8"/>
      <c r="L239" s="10"/>
      <c r="M239" s="62">
        <v>1</v>
      </c>
      <c r="N239" s="8">
        <v>1</v>
      </c>
      <c r="O239" s="62">
        <f t="shared" si="89"/>
        <v>0</v>
      </c>
      <c r="P239" s="70" t="s">
        <v>841</v>
      </c>
      <c r="Q239" s="71">
        <v>46112</v>
      </c>
      <c r="R239" s="6">
        <v>46116</v>
      </c>
      <c r="S239" s="64">
        <v>63581</v>
      </c>
      <c r="T239" s="22">
        <v>5</v>
      </c>
      <c r="U239" s="64">
        <f t="shared" si="90"/>
        <v>3179.05</v>
      </c>
      <c r="V239" s="22">
        <v>0</v>
      </c>
      <c r="W239" s="22"/>
      <c r="X239" s="62" t="s">
        <v>806</v>
      </c>
      <c r="Y239" s="62">
        <v>58163865476</v>
      </c>
      <c r="Z239" s="62" t="s">
        <v>1112</v>
      </c>
      <c r="AA239" s="65">
        <v>4</v>
      </c>
      <c r="AB239" s="66"/>
      <c r="AC239" s="1" t="s">
        <v>824</v>
      </c>
      <c r="AD239" s="62" t="str">
        <f>VLOOKUP(X239,'Customer List'!B:C,2,)</f>
        <v>Kerala</v>
      </c>
      <c r="AE239" s="67"/>
      <c r="AF239" s="6">
        <v>46120</v>
      </c>
      <c r="AG239" s="62">
        <f t="shared" si="91"/>
        <v>4</v>
      </c>
      <c r="AH239" s="62" t="str">
        <f t="shared" si="92"/>
        <v>Saturday</v>
      </c>
      <c r="AI239" s="62" t="str">
        <f t="shared" si="93"/>
        <v>Wednesday</v>
      </c>
      <c r="AJ239" s="62" t="str">
        <f>VLOOKUP(AC239,'Currency Sheet'!A:C,3,)</f>
        <v>DOLLAR</v>
      </c>
      <c r="AK239" s="62" t="str">
        <f>VLOOKUP(X239,'Customer List'!B:D,3,)</f>
        <v>OutStation</v>
      </c>
    </row>
    <row r="240" spans="1:37" hidden="1" x14ac:dyDescent="0.25">
      <c r="A240" s="62">
        <f t="shared" si="85"/>
        <v>226</v>
      </c>
      <c r="B240" s="62" t="s">
        <v>824</v>
      </c>
      <c r="C240" s="62" t="s">
        <v>625</v>
      </c>
      <c r="D240" s="6">
        <v>46101</v>
      </c>
      <c r="E240" s="6">
        <v>46112</v>
      </c>
      <c r="F240" s="63">
        <v>410.2</v>
      </c>
      <c r="G240" s="64">
        <f t="shared" si="87"/>
        <v>36097.599999999999</v>
      </c>
      <c r="H240" s="64">
        <f t="shared" si="88"/>
        <v>36097.599999999999</v>
      </c>
      <c r="I240" s="70">
        <v>431815</v>
      </c>
      <c r="J240" s="62" t="s">
        <v>782</v>
      </c>
      <c r="K240" s="8"/>
      <c r="L240" s="10"/>
      <c r="M240" s="62">
        <v>1</v>
      </c>
      <c r="N240" s="8">
        <v>1</v>
      </c>
      <c r="O240" s="62">
        <f t="shared" si="89"/>
        <v>0</v>
      </c>
      <c r="P240" s="70" t="s">
        <v>841</v>
      </c>
      <c r="Q240" s="71">
        <v>46112</v>
      </c>
      <c r="R240" s="6">
        <v>46116</v>
      </c>
      <c r="S240" s="64">
        <v>63591</v>
      </c>
      <c r="T240" s="22">
        <v>5</v>
      </c>
      <c r="U240" s="64">
        <f t="shared" si="90"/>
        <v>3179.55</v>
      </c>
      <c r="V240" s="22">
        <v>0</v>
      </c>
      <c r="W240" s="22"/>
      <c r="X240" s="62" t="s">
        <v>806</v>
      </c>
      <c r="Y240" s="62">
        <v>58163865476</v>
      </c>
      <c r="Z240" s="62" t="s">
        <v>1112</v>
      </c>
      <c r="AA240" s="65">
        <v>4</v>
      </c>
      <c r="AB240" s="66"/>
      <c r="AC240" s="1" t="s">
        <v>824</v>
      </c>
      <c r="AD240" s="62" t="str">
        <f>VLOOKUP(X240,'Customer List'!B:C,2,)</f>
        <v>Kerala</v>
      </c>
      <c r="AE240" s="67"/>
      <c r="AF240" s="6">
        <v>46120</v>
      </c>
      <c r="AG240" s="62">
        <f t="shared" si="91"/>
        <v>4</v>
      </c>
      <c r="AH240" s="62" t="str">
        <f t="shared" si="92"/>
        <v>Tuesday</v>
      </c>
      <c r="AI240" s="62" t="str">
        <f t="shared" si="93"/>
        <v>Wednesday</v>
      </c>
      <c r="AJ240" s="62" t="str">
        <f>VLOOKUP(AC240,'Currency Sheet'!A:C,3,)</f>
        <v>DOLLAR</v>
      </c>
      <c r="AK240" s="62" t="str">
        <f>VLOOKUP(X240,'Customer List'!B:D,3,)</f>
        <v>OutStation</v>
      </c>
    </row>
    <row r="241" spans="1:37" hidden="1" x14ac:dyDescent="0.25">
      <c r="A241" s="62">
        <f t="shared" si="85"/>
        <v>227</v>
      </c>
      <c r="B241" s="62" t="s">
        <v>824</v>
      </c>
      <c r="C241" s="62" t="s">
        <v>625</v>
      </c>
      <c r="D241" s="6">
        <v>46101</v>
      </c>
      <c r="E241" s="6">
        <v>46112</v>
      </c>
      <c r="F241" s="63">
        <v>95.2</v>
      </c>
      <c r="G241" s="64">
        <f t="shared" si="87"/>
        <v>8377.6</v>
      </c>
      <c r="H241" s="64">
        <f t="shared" si="88"/>
        <v>8377.6</v>
      </c>
      <c r="I241" s="70">
        <v>505802</v>
      </c>
      <c r="J241" s="62" t="s">
        <v>783</v>
      </c>
      <c r="K241" s="8"/>
      <c r="L241" s="10"/>
      <c r="M241" s="62">
        <v>1</v>
      </c>
      <c r="N241" s="8">
        <v>1</v>
      </c>
      <c r="O241" s="62">
        <f t="shared" si="89"/>
        <v>0</v>
      </c>
      <c r="P241" s="70">
        <v>53</v>
      </c>
      <c r="Q241" s="71">
        <v>46121</v>
      </c>
      <c r="R241" s="6">
        <v>46121</v>
      </c>
      <c r="S241" s="64">
        <v>12852</v>
      </c>
      <c r="T241" s="22">
        <v>5</v>
      </c>
      <c r="U241" s="64">
        <f t="shared" si="90"/>
        <v>642.6</v>
      </c>
      <c r="V241" s="22">
        <v>0</v>
      </c>
      <c r="W241" s="22">
        <v>166896</v>
      </c>
      <c r="X241" s="62" t="s">
        <v>803</v>
      </c>
      <c r="Y241" s="62" t="s">
        <v>896</v>
      </c>
      <c r="Z241" s="62" t="s">
        <v>821</v>
      </c>
      <c r="AA241" s="65">
        <v>4</v>
      </c>
      <c r="AB241" s="66"/>
      <c r="AC241" s="1" t="s">
        <v>824</v>
      </c>
      <c r="AD241" s="62" t="str">
        <f>VLOOKUP(X241,'Customer List'!B:C,2,)</f>
        <v>Faridabad</v>
      </c>
      <c r="AE241" s="67"/>
      <c r="AF241" s="6"/>
      <c r="AG241" s="62" t="str">
        <f t="shared" si="91"/>
        <v/>
      </c>
      <c r="AH241" s="62" t="str">
        <f t="shared" si="92"/>
        <v>Saturday</v>
      </c>
      <c r="AI241" s="62" t="str">
        <f t="shared" si="93"/>
        <v/>
      </c>
      <c r="AJ241" s="62" t="str">
        <f>VLOOKUP(AC241,'Currency Sheet'!A:C,3,)</f>
        <v>DOLLAR</v>
      </c>
      <c r="AK241" s="62" t="str">
        <f>VLOOKUP(X241,'Customer List'!B:D,3,)</f>
        <v>Local</v>
      </c>
    </row>
    <row r="242" spans="1:37" hidden="1" x14ac:dyDescent="0.25">
      <c r="A242" s="62">
        <f t="shared" si="85"/>
        <v>228</v>
      </c>
      <c r="B242" s="62" t="s">
        <v>824</v>
      </c>
      <c r="C242" s="62" t="s">
        <v>625</v>
      </c>
      <c r="D242" s="6">
        <v>46101</v>
      </c>
      <c r="E242" s="6">
        <v>46112</v>
      </c>
      <c r="F242" s="63">
        <v>197.4</v>
      </c>
      <c r="G242" s="64">
        <f t="shared" si="87"/>
        <v>17371.2</v>
      </c>
      <c r="H242" s="64">
        <f t="shared" si="88"/>
        <v>17371.2</v>
      </c>
      <c r="I242" s="70">
        <v>506902</v>
      </c>
      <c r="J242" s="62" t="s">
        <v>784</v>
      </c>
      <c r="K242" s="8"/>
      <c r="L242" s="10"/>
      <c r="M242" s="62">
        <v>1</v>
      </c>
      <c r="N242" s="8">
        <v>1</v>
      </c>
      <c r="O242" s="62">
        <f t="shared" si="89"/>
        <v>0</v>
      </c>
      <c r="P242" s="70">
        <v>53</v>
      </c>
      <c r="Q242" s="71">
        <v>46121</v>
      </c>
      <c r="R242" s="6">
        <v>46121</v>
      </c>
      <c r="S242" s="64">
        <v>26649</v>
      </c>
      <c r="T242" s="22">
        <v>5</v>
      </c>
      <c r="U242" s="64">
        <f t="shared" si="90"/>
        <v>1332.45</v>
      </c>
      <c r="V242" s="22">
        <v>0</v>
      </c>
      <c r="W242" s="22">
        <v>166896</v>
      </c>
      <c r="X242" s="62" t="s">
        <v>803</v>
      </c>
      <c r="Y242" s="62" t="s">
        <v>896</v>
      </c>
      <c r="Z242" s="62" t="s">
        <v>821</v>
      </c>
      <c r="AA242" s="65">
        <v>4</v>
      </c>
      <c r="AB242" s="66"/>
      <c r="AC242" s="1" t="s">
        <v>824</v>
      </c>
      <c r="AD242" s="62" t="str">
        <f>VLOOKUP(X242,'Customer List'!B:C,2,)</f>
        <v>Faridabad</v>
      </c>
      <c r="AE242" s="67"/>
      <c r="AF242" s="6"/>
      <c r="AG242" s="62" t="str">
        <f t="shared" si="91"/>
        <v/>
      </c>
      <c r="AH242" s="62" t="str">
        <f t="shared" si="92"/>
        <v>Saturday</v>
      </c>
      <c r="AI242" s="62" t="str">
        <f t="shared" si="93"/>
        <v/>
      </c>
      <c r="AJ242" s="62" t="str">
        <f>VLOOKUP(AC242,'Currency Sheet'!A:C,3,)</f>
        <v>DOLLAR</v>
      </c>
      <c r="AK242" s="62" t="str">
        <f>VLOOKUP(X242,'Customer List'!B:D,3,)</f>
        <v>Local</v>
      </c>
    </row>
    <row r="243" spans="1:37" hidden="1" x14ac:dyDescent="0.25">
      <c r="A243" s="62">
        <f t="shared" si="85"/>
        <v>229</v>
      </c>
      <c r="B243" s="62" t="s">
        <v>824</v>
      </c>
      <c r="C243" s="62" t="s">
        <v>625</v>
      </c>
      <c r="D243" s="6">
        <v>46101</v>
      </c>
      <c r="E243" s="6">
        <v>46112</v>
      </c>
      <c r="F243" s="63">
        <v>185.5</v>
      </c>
      <c r="G243" s="64">
        <f t="shared" si="87"/>
        <v>16324</v>
      </c>
      <c r="H243" s="64">
        <f t="shared" si="88"/>
        <v>16324</v>
      </c>
      <c r="I243" s="70">
        <v>517502</v>
      </c>
      <c r="J243" s="62" t="s">
        <v>785</v>
      </c>
      <c r="K243" s="8"/>
      <c r="L243" s="10"/>
      <c r="M243" s="62">
        <v>1</v>
      </c>
      <c r="N243" s="8">
        <v>1</v>
      </c>
      <c r="O243" s="62">
        <f t="shared" si="89"/>
        <v>0</v>
      </c>
      <c r="P243" s="70">
        <v>53</v>
      </c>
      <c r="Q243" s="71">
        <v>46121</v>
      </c>
      <c r="R243" s="6">
        <v>46121</v>
      </c>
      <c r="S243" s="64">
        <v>25042.5</v>
      </c>
      <c r="T243" s="22">
        <v>5</v>
      </c>
      <c r="U243" s="64">
        <f t="shared" si="90"/>
        <v>1252.125</v>
      </c>
      <c r="V243" s="22">
        <v>0</v>
      </c>
      <c r="W243" s="22">
        <v>166896</v>
      </c>
      <c r="X243" s="62" t="s">
        <v>803</v>
      </c>
      <c r="Y243" s="62" t="s">
        <v>896</v>
      </c>
      <c r="Z243" s="62" t="s">
        <v>821</v>
      </c>
      <c r="AA243" s="65">
        <v>4</v>
      </c>
      <c r="AB243" s="66"/>
      <c r="AC243" s="1" t="s">
        <v>824</v>
      </c>
      <c r="AD243" s="62" t="str">
        <f>VLOOKUP(X243,'Customer List'!B:C,2,)</f>
        <v>Faridabad</v>
      </c>
      <c r="AE243" s="67"/>
      <c r="AF243" s="6"/>
      <c r="AG243" s="62" t="str">
        <f t="shared" si="91"/>
        <v/>
      </c>
      <c r="AH243" s="62" t="str">
        <f t="shared" si="92"/>
        <v>Tuesday</v>
      </c>
      <c r="AI243" s="62" t="str">
        <f t="shared" si="93"/>
        <v/>
      </c>
      <c r="AJ243" s="62" t="str">
        <f>VLOOKUP(AC243,'Currency Sheet'!A:C,3,)</f>
        <v>DOLLAR</v>
      </c>
      <c r="AK243" s="62" t="str">
        <f>VLOOKUP(X243,'Customer List'!B:D,3,)</f>
        <v>Local</v>
      </c>
    </row>
    <row r="244" spans="1:37" hidden="1" x14ac:dyDescent="0.25">
      <c r="A244" s="62">
        <f t="shared" si="85"/>
        <v>230</v>
      </c>
      <c r="B244" s="62" t="s">
        <v>824</v>
      </c>
      <c r="C244" s="62" t="s">
        <v>625</v>
      </c>
      <c r="D244" s="6">
        <v>46101</v>
      </c>
      <c r="E244" s="6">
        <v>46112</v>
      </c>
      <c r="F244" s="63">
        <v>59.5</v>
      </c>
      <c r="G244" s="64">
        <f t="shared" si="87"/>
        <v>5236</v>
      </c>
      <c r="H244" s="64">
        <f t="shared" si="88"/>
        <v>5236</v>
      </c>
      <c r="I244" s="70">
        <v>567903</v>
      </c>
      <c r="J244" s="62" t="s">
        <v>786</v>
      </c>
      <c r="K244" s="8"/>
      <c r="L244" s="10"/>
      <c r="M244" s="62">
        <v>1</v>
      </c>
      <c r="N244" s="8"/>
      <c r="O244" s="62">
        <f t="shared" si="89"/>
        <v>1</v>
      </c>
      <c r="P244" s="70"/>
      <c r="Q244" s="71"/>
      <c r="R244" s="6"/>
      <c r="S244" s="64"/>
      <c r="T244" s="22">
        <v>5</v>
      </c>
      <c r="U244" s="64">
        <f t="shared" si="90"/>
        <v>0</v>
      </c>
      <c r="V244" s="22"/>
      <c r="W244" s="22"/>
      <c r="X244" s="62" t="s">
        <v>2191</v>
      </c>
      <c r="Y244" s="62"/>
      <c r="Z244" s="62"/>
      <c r="AA244" s="65">
        <v>4</v>
      </c>
      <c r="AB244" s="66"/>
      <c r="AC244" s="1" t="s">
        <v>824</v>
      </c>
      <c r="AD244" s="62" t="str">
        <f>VLOOKUP(X244,'Customer List'!B:C,2,)</f>
        <v>DELHI</v>
      </c>
      <c r="AE244" s="67" t="s">
        <v>1879</v>
      </c>
      <c r="AF244" s="6"/>
      <c r="AG244" s="62" t="str">
        <f t="shared" si="91"/>
        <v/>
      </c>
      <c r="AH244" s="62" t="str">
        <f t="shared" si="92"/>
        <v/>
      </c>
      <c r="AI244" s="62" t="str">
        <f t="shared" si="93"/>
        <v/>
      </c>
      <c r="AJ244" s="62" t="str">
        <f>VLOOKUP(AC244,'Currency Sheet'!A:C,3,)</f>
        <v>DOLLAR</v>
      </c>
      <c r="AK244" s="62" t="str">
        <f>VLOOKUP(X244,'Customer List'!B:D,3,)</f>
        <v>Local</v>
      </c>
    </row>
    <row r="245" spans="1:37" hidden="1" x14ac:dyDescent="0.25">
      <c r="A245" s="62">
        <f t="shared" si="85"/>
        <v>231</v>
      </c>
      <c r="B245" s="62" t="s">
        <v>824</v>
      </c>
      <c r="C245" s="62" t="s">
        <v>625</v>
      </c>
      <c r="D245" s="6">
        <v>46101</v>
      </c>
      <c r="E245" s="6">
        <v>46112</v>
      </c>
      <c r="F245" s="63">
        <v>309.75</v>
      </c>
      <c r="G245" s="64">
        <f t="shared" si="87"/>
        <v>27258</v>
      </c>
      <c r="H245" s="64">
        <f t="shared" si="88"/>
        <v>27258</v>
      </c>
      <c r="I245" s="70">
        <v>651010</v>
      </c>
      <c r="J245" s="62" t="s">
        <v>787</v>
      </c>
      <c r="K245" s="8"/>
      <c r="L245" s="10"/>
      <c r="M245" s="62">
        <v>1</v>
      </c>
      <c r="N245" s="8">
        <v>1</v>
      </c>
      <c r="O245" s="62">
        <f t="shared" si="89"/>
        <v>0</v>
      </c>
      <c r="P245" s="70" t="s">
        <v>839</v>
      </c>
      <c r="Q245" s="71">
        <v>46112</v>
      </c>
      <c r="R245" s="6">
        <v>46116</v>
      </c>
      <c r="S245" s="64">
        <v>43365</v>
      </c>
      <c r="T245" s="22">
        <v>5</v>
      </c>
      <c r="U245" s="64">
        <f t="shared" si="90"/>
        <v>2168.25</v>
      </c>
      <c r="V245" s="22">
        <v>0</v>
      </c>
      <c r="W245" s="22"/>
      <c r="X245" s="62" t="s">
        <v>204</v>
      </c>
      <c r="Y245" s="62">
        <v>58163866202</v>
      </c>
      <c r="Z245" s="62" t="s">
        <v>1112</v>
      </c>
      <c r="AA245" s="65">
        <v>4</v>
      </c>
      <c r="AB245" s="66"/>
      <c r="AC245" s="1" t="s">
        <v>824</v>
      </c>
      <c r="AD245" s="62" t="str">
        <f>VLOOKUP(X245,'Customer List'!B:C,2,)</f>
        <v>Kerala</v>
      </c>
      <c r="AE245" s="67"/>
      <c r="AF245" s="6">
        <v>46118</v>
      </c>
      <c r="AG245" s="62">
        <f t="shared" si="91"/>
        <v>2</v>
      </c>
      <c r="AH245" s="62" t="str">
        <f t="shared" si="92"/>
        <v>Saturday</v>
      </c>
      <c r="AI245" s="62" t="str">
        <f t="shared" si="93"/>
        <v>Monday</v>
      </c>
      <c r="AJ245" s="62" t="str">
        <f>VLOOKUP(AC245,'Currency Sheet'!A:C,3,)</f>
        <v>DOLLAR</v>
      </c>
      <c r="AK245" s="62" t="str">
        <f>VLOOKUP(X245,'Customer List'!B:D,3,)</f>
        <v>OutStation</v>
      </c>
    </row>
    <row r="246" spans="1:37" hidden="1" x14ac:dyDescent="0.25">
      <c r="A246" s="62">
        <f t="shared" si="85"/>
        <v>232</v>
      </c>
      <c r="B246" s="62" t="s">
        <v>824</v>
      </c>
      <c r="C246" s="62" t="s">
        <v>625</v>
      </c>
      <c r="D246" s="6">
        <v>46101</v>
      </c>
      <c r="E246" s="6">
        <v>46112</v>
      </c>
      <c r="F246" s="63">
        <v>234.5</v>
      </c>
      <c r="G246" s="64">
        <f t="shared" si="87"/>
        <v>20636</v>
      </c>
      <c r="H246" s="64">
        <f t="shared" si="88"/>
        <v>20636</v>
      </c>
      <c r="I246" s="70">
        <v>651020</v>
      </c>
      <c r="J246" s="62" t="s">
        <v>787</v>
      </c>
      <c r="K246" s="8"/>
      <c r="L246" s="10"/>
      <c r="M246" s="62">
        <v>1</v>
      </c>
      <c r="N246" s="8">
        <v>1</v>
      </c>
      <c r="O246" s="62">
        <f t="shared" si="89"/>
        <v>0</v>
      </c>
      <c r="P246" s="70" t="s">
        <v>839</v>
      </c>
      <c r="Q246" s="71">
        <v>46112</v>
      </c>
      <c r="R246" s="6">
        <v>46116</v>
      </c>
      <c r="S246" s="64">
        <v>35175</v>
      </c>
      <c r="T246" s="22">
        <v>5</v>
      </c>
      <c r="U246" s="64">
        <f t="shared" si="90"/>
        <v>1758.75</v>
      </c>
      <c r="V246" s="22">
        <v>0</v>
      </c>
      <c r="W246" s="22"/>
      <c r="X246" s="62" t="s">
        <v>204</v>
      </c>
      <c r="Y246" s="62">
        <v>58163866202</v>
      </c>
      <c r="Z246" s="62" t="s">
        <v>1112</v>
      </c>
      <c r="AA246" s="65">
        <v>4</v>
      </c>
      <c r="AB246" s="66"/>
      <c r="AC246" s="1" t="s">
        <v>824</v>
      </c>
      <c r="AD246" s="62" t="str">
        <f>VLOOKUP(X246,'Customer List'!B:C,2,)</f>
        <v>Kerala</v>
      </c>
      <c r="AE246" s="67"/>
      <c r="AF246" s="6">
        <v>46118</v>
      </c>
      <c r="AG246" s="62">
        <f t="shared" si="91"/>
        <v>2</v>
      </c>
      <c r="AH246" s="62" t="str">
        <f t="shared" si="92"/>
        <v>Saturday</v>
      </c>
      <c r="AI246" s="62" t="str">
        <f t="shared" si="93"/>
        <v>Monday</v>
      </c>
      <c r="AJ246" s="62" t="str">
        <f>VLOOKUP(AC246,'Currency Sheet'!A:C,3,)</f>
        <v>DOLLAR</v>
      </c>
      <c r="AK246" s="62" t="str">
        <f>VLOOKUP(X246,'Customer List'!B:D,3,)</f>
        <v>OutStation</v>
      </c>
    </row>
    <row r="247" spans="1:37" hidden="1" x14ac:dyDescent="0.25">
      <c r="A247" s="62">
        <f t="shared" si="85"/>
        <v>233</v>
      </c>
      <c r="B247" s="62" t="s">
        <v>824</v>
      </c>
      <c r="C247" s="62" t="s">
        <v>625</v>
      </c>
      <c r="D247" s="6">
        <v>46101</v>
      </c>
      <c r="E247" s="6">
        <v>46112</v>
      </c>
      <c r="F247" s="63">
        <v>270.89999999999998</v>
      </c>
      <c r="G247" s="64">
        <f t="shared" si="87"/>
        <v>23839.199999999997</v>
      </c>
      <c r="H247" s="64">
        <f t="shared" si="88"/>
        <v>23839.199999999997</v>
      </c>
      <c r="I247" s="70">
        <v>651022</v>
      </c>
      <c r="J247" s="62" t="s">
        <v>787</v>
      </c>
      <c r="K247" s="8"/>
      <c r="L247" s="10"/>
      <c r="M247" s="62">
        <v>1</v>
      </c>
      <c r="N247" s="8">
        <v>1</v>
      </c>
      <c r="O247" s="62">
        <f t="shared" si="89"/>
        <v>0</v>
      </c>
      <c r="P247" s="70" t="s">
        <v>844</v>
      </c>
      <c r="Q247" s="71">
        <v>46112</v>
      </c>
      <c r="R247" s="6">
        <v>46116</v>
      </c>
      <c r="S247" s="64">
        <v>29396.52</v>
      </c>
      <c r="T247" s="22">
        <v>5</v>
      </c>
      <c r="U247" s="64">
        <f t="shared" si="90"/>
        <v>1469.826</v>
      </c>
      <c r="V247" s="22">
        <v>0</v>
      </c>
      <c r="W247" s="22"/>
      <c r="X247" s="62" t="s">
        <v>802</v>
      </c>
      <c r="Y247" s="62">
        <v>58163866110</v>
      </c>
      <c r="Z247" s="62" t="s">
        <v>1112</v>
      </c>
      <c r="AA247" s="65">
        <v>4</v>
      </c>
      <c r="AB247" s="66"/>
      <c r="AC247" s="1" t="s">
        <v>824</v>
      </c>
      <c r="AD247" s="62" t="str">
        <f>VLOOKUP(X247,'Customer List'!B:C,2,)</f>
        <v>Pune</v>
      </c>
      <c r="AE247" s="67"/>
      <c r="AF247" s="6">
        <v>46118</v>
      </c>
      <c r="AG247" s="62">
        <f t="shared" si="91"/>
        <v>2</v>
      </c>
      <c r="AH247" s="62" t="str">
        <f t="shared" si="92"/>
        <v>Tuesday</v>
      </c>
      <c r="AI247" s="62" t="str">
        <f t="shared" si="93"/>
        <v>Monday</v>
      </c>
      <c r="AJ247" s="62" t="str">
        <f>VLOOKUP(AC247,'Currency Sheet'!A:C,3,)</f>
        <v>DOLLAR</v>
      </c>
      <c r="AK247" s="62" t="str">
        <f>VLOOKUP(X247,'Customer List'!B:D,3,)</f>
        <v>OutStation</v>
      </c>
    </row>
    <row r="248" spans="1:37" hidden="1" x14ac:dyDescent="0.25">
      <c r="A248" s="62">
        <f t="shared" si="85"/>
        <v>234</v>
      </c>
      <c r="B248" s="62" t="s">
        <v>824</v>
      </c>
      <c r="C248" s="62" t="s">
        <v>625</v>
      </c>
      <c r="D248" s="6">
        <v>46101</v>
      </c>
      <c r="E248" s="6">
        <v>46112</v>
      </c>
      <c r="F248" s="63">
        <v>234.5</v>
      </c>
      <c r="G248" s="64">
        <f t="shared" si="87"/>
        <v>20636</v>
      </c>
      <c r="H248" s="64">
        <f t="shared" si="88"/>
        <v>20636</v>
      </c>
      <c r="I248" s="70">
        <v>945102</v>
      </c>
      <c r="J248" s="62" t="s">
        <v>788</v>
      </c>
      <c r="K248" s="8"/>
      <c r="L248" s="10"/>
      <c r="M248" s="62">
        <v>1</v>
      </c>
      <c r="N248" s="8">
        <v>1</v>
      </c>
      <c r="O248" s="62">
        <f t="shared" si="89"/>
        <v>0</v>
      </c>
      <c r="P248" s="70">
        <v>53</v>
      </c>
      <c r="Q248" s="71">
        <v>46121</v>
      </c>
      <c r="R248" s="6">
        <v>46121</v>
      </c>
      <c r="S248" s="64">
        <v>31657.5</v>
      </c>
      <c r="T248" s="22">
        <v>5</v>
      </c>
      <c r="U248" s="64">
        <f t="shared" si="90"/>
        <v>1582.875</v>
      </c>
      <c r="V248" s="22">
        <v>0</v>
      </c>
      <c r="W248" s="22">
        <v>166896</v>
      </c>
      <c r="X248" s="62" t="s">
        <v>803</v>
      </c>
      <c r="Y248" s="62" t="s">
        <v>896</v>
      </c>
      <c r="Z248" s="62" t="s">
        <v>821</v>
      </c>
      <c r="AA248" s="65">
        <v>4</v>
      </c>
      <c r="AB248" s="66"/>
      <c r="AC248" s="1" t="s">
        <v>824</v>
      </c>
      <c r="AD248" s="62" t="str">
        <f>VLOOKUP(X248,'Customer List'!B:C,2,)</f>
        <v>Faridabad</v>
      </c>
      <c r="AE248" s="67"/>
      <c r="AF248" s="6"/>
      <c r="AG248" s="62" t="str">
        <f t="shared" si="91"/>
        <v/>
      </c>
      <c r="AH248" s="62" t="str">
        <f t="shared" si="92"/>
        <v>Tuesday</v>
      </c>
      <c r="AI248" s="62" t="str">
        <f t="shared" si="93"/>
        <v/>
      </c>
      <c r="AJ248" s="62" t="str">
        <f>VLOOKUP(AC248,'Currency Sheet'!A:C,3,)</f>
        <v>DOLLAR</v>
      </c>
      <c r="AK248" s="62" t="str">
        <f>VLOOKUP(X248,'Customer List'!B:D,3,)</f>
        <v>Local</v>
      </c>
    </row>
    <row r="249" spans="1:37" hidden="1" x14ac:dyDescent="0.25">
      <c r="A249" s="62">
        <f t="shared" si="85"/>
        <v>235</v>
      </c>
      <c r="B249" s="62" t="s">
        <v>892</v>
      </c>
      <c r="C249" s="62" t="s">
        <v>845</v>
      </c>
      <c r="D249" s="6">
        <v>46109</v>
      </c>
      <c r="E249" s="6">
        <v>46114</v>
      </c>
      <c r="F249" s="63">
        <v>2100</v>
      </c>
      <c r="G249" s="64">
        <f t="shared" si="87"/>
        <v>2100</v>
      </c>
      <c r="H249" s="64">
        <f t="shared" si="88"/>
        <v>2100</v>
      </c>
      <c r="I249" s="70">
        <v>10010244</v>
      </c>
      <c r="J249" s="62" t="s">
        <v>846</v>
      </c>
      <c r="K249" s="8"/>
      <c r="L249" s="10"/>
      <c r="M249" s="62">
        <v>1</v>
      </c>
      <c r="N249" s="8">
        <v>1</v>
      </c>
      <c r="O249" s="62">
        <f t="shared" si="89"/>
        <v>0</v>
      </c>
      <c r="P249" s="70">
        <v>5</v>
      </c>
      <c r="Q249" s="71">
        <v>46115</v>
      </c>
      <c r="R249" s="6">
        <v>46116</v>
      </c>
      <c r="S249" s="64">
        <v>2550</v>
      </c>
      <c r="T249" s="22">
        <v>5</v>
      </c>
      <c r="U249" s="64">
        <f t="shared" si="90"/>
        <v>127.5</v>
      </c>
      <c r="V249" s="22">
        <v>-0.5</v>
      </c>
      <c r="W249" s="22">
        <v>2677</v>
      </c>
      <c r="X249" s="62" t="s">
        <v>847</v>
      </c>
      <c r="Y249" s="62">
        <v>58163865351</v>
      </c>
      <c r="Z249" s="62" t="s">
        <v>1112</v>
      </c>
      <c r="AA249" s="65">
        <v>-20</v>
      </c>
      <c r="AB249" s="66"/>
      <c r="AC249" s="1" t="s">
        <v>894</v>
      </c>
      <c r="AD249" s="62" t="str">
        <f>VLOOKUP(X249,'Customer List'!B:C,2,)</f>
        <v>Bhuvneshwar</v>
      </c>
      <c r="AE249" s="67"/>
      <c r="AF249" s="6">
        <v>46118</v>
      </c>
      <c r="AG249" s="62">
        <f t="shared" si="91"/>
        <v>2</v>
      </c>
      <c r="AH249" s="62" t="str">
        <f t="shared" si="92"/>
        <v>Monday</v>
      </c>
      <c r="AI249" s="62" t="str">
        <f t="shared" si="93"/>
        <v>Monday</v>
      </c>
      <c r="AJ249" s="62" t="str">
        <f>VLOOKUP(AC249,'Currency Sheet'!A:C,3,)</f>
        <v>INR</v>
      </c>
      <c r="AK249" s="62" t="str">
        <f>VLOOKUP(X249,'Customer List'!B:D,3,)</f>
        <v>OutStation</v>
      </c>
    </row>
    <row r="250" spans="1:37" hidden="1" x14ac:dyDescent="0.25">
      <c r="A250" s="62">
        <f t="shared" si="85"/>
        <v>236</v>
      </c>
      <c r="B250" s="62" t="s">
        <v>893</v>
      </c>
      <c r="C250" s="62">
        <v>187777</v>
      </c>
      <c r="D250" s="6">
        <v>46108</v>
      </c>
      <c r="E250" s="6">
        <v>46115</v>
      </c>
      <c r="F250" s="63">
        <v>213.6</v>
      </c>
      <c r="G250" s="64">
        <f t="shared" si="87"/>
        <v>18796.8</v>
      </c>
      <c r="H250" s="64">
        <f t="shared" si="88"/>
        <v>18796.8</v>
      </c>
      <c r="I250" s="70" t="s">
        <v>883</v>
      </c>
      <c r="J250" s="62"/>
      <c r="K250" s="8"/>
      <c r="L250" s="10"/>
      <c r="M250" s="62">
        <v>1</v>
      </c>
      <c r="N250" s="8">
        <v>1</v>
      </c>
      <c r="O250" s="62">
        <f t="shared" si="89"/>
        <v>0</v>
      </c>
      <c r="P250" s="70">
        <v>7</v>
      </c>
      <c r="Q250" s="71">
        <v>46115</v>
      </c>
      <c r="R250" s="6">
        <v>46116</v>
      </c>
      <c r="S250" s="64">
        <v>38626</v>
      </c>
      <c r="T250" s="22">
        <v>5</v>
      </c>
      <c r="U250" s="64">
        <f t="shared" si="90"/>
        <v>1931.3000000000002</v>
      </c>
      <c r="V250" s="22">
        <v>1890</v>
      </c>
      <c r="W250" s="22">
        <v>42447</v>
      </c>
      <c r="X250" s="62" t="s">
        <v>92</v>
      </c>
      <c r="Y250" s="62">
        <v>58163865712</v>
      </c>
      <c r="Z250" s="62" t="s">
        <v>1112</v>
      </c>
      <c r="AA250" s="65">
        <v>4</v>
      </c>
      <c r="AB250" s="66"/>
      <c r="AC250" s="1" t="s">
        <v>893</v>
      </c>
      <c r="AD250" s="62" t="str">
        <f>VLOOKUP(X250,'Customer List'!B:C,2,)</f>
        <v>Kolkata</v>
      </c>
      <c r="AE250" s="67"/>
      <c r="AF250" s="6">
        <v>46118</v>
      </c>
      <c r="AG250" s="62">
        <f t="shared" si="91"/>
        <v>2</v>
      </c>
      <c r="AH250" s="62" t="str">
        <f t="shared" si="92"/>
        <v>Saturday</v>
      </c>
      <c r="AI250" s="62" t="str">
        <f t="shared" si="93"/>
        <v>Monday</v>
      </c>
      <c r="AJ250" s="62" t="str">
        <f>VLOOKUP(AC250,'Currency Sheet'!A:C,3,)</f>
        <v>DOLLAR</v>
      </c>
      <c r="AK250" s="62" t="str">
        <f>VLOOKUP(X250,'Customer List'!B:D,3,)</f>
        <v>OutStation</v>
      </c>
    </row>
    <row r="251" spans="1:37" hidden="1" x14ac:dyDescent="0.25">
      <c r="A251" s="62">
        <f t="shared" si="85"/>
        <v>237</v>
      </c>
      <c r="B251" s="62" t="s">
        <v>893</v>
      </c>
      <c r="C251" s="62">
        <v>187777</v>
      </c>
      <c r="D251" s="6">
        <v>46108</v>
      </c>
      <c r="E251" s="6">
        <v>46115</v>
      </c>
      <c r="F251" s="63">
        <v>413.1</v>
      </c>
      <c r="G251" s="64">
        <f t="shared" si="87"/>
        <v>36352.800000000003</v>
      </c>
      <c r="H251" s="64">
        <f t="shared" si="88"/>
        <v>36352.800000000003</v>
      </c>
      <c r="I251" s="70" t="s">
        <v>884</v>
      </c>
      <c r="J251" s="62"/>
      <c r="K251" s="8"/>
      <c r="L251" s="10"/>
      <c r="M251" s="62">
        <v>1</v>
      </c>
      <c r="N251" s="8">
        <v>1</v>
      </c>
      <c r="O251" s="62">
        <f t="shared" si="89"/>
        <v>0</v>
      </c>
      <c r="P251" s="70">
        <v>8</v>
      </c>
      <c r="Q251" s="71">
        <v>46115</v>
      </c>
      <c r="R251" s="6">
        <v>46116</v>
      </c>
      <c r="S251" s="64">
        <v>47248.25</v>
      </c>
      <c r="T251" s="22">
        <v>5</v>
      </c>
      <c r="U251" s="64">
        <f t="shared" si="90"/>
        <v>2362.4124999999999</v>
      </c>
      <c r="V251" s="22">
        <v>0.34</v>
      </c>
      <c r="W251" s="22">
        <v>49611</v>
      </c>
      <c r="X251" s="62" t="s">
        <v>204</v>
      </c>
      <c r="Y251" s="62">
        <v>58163866202</v>
      </c>
      <c r="Z251" s="62" t="s">
        <v>1112</v>
      </c>
      <c r="AA251" s="65">
        <v>4</v>
      </c>
      <c r="AB251" s="66"/>
      <c r="AC251" s="1" t="s">
        <v>893</v>
      </c>
      <c r="AD251" s="62" t="str">
        <f>VLOOKUP(X251,'Customer List'!B:C,2,)</f>
        <v>Kerala</v>
      </c>
      <c r="AE251" s="67"/>
      <c r="AF251" s="6">
        <v>46118</v>
      </c>
      <c r="AG251" s="62">
        <f t="shared" si="91"/>
        <v>2</v>
      </c>
      <c r="AH251" s="62" t="str">
        <f t="shared" si="92"/>
        <v>Thursday</v>
      </c>
      <c r="AI251" s="62" t="str">
        <f t="shared" si="93"/>
        <v>Monday</v>
      </c>
      <c r="AJ251" s="62" t="str">
        <f>VLOOKUP(AC251,'Currency Sheet'!A:C,3,)</f>
        <v>DOLLAR</v>
      </c>
      <c r="AK251" s="62" t="str">
        <f>VLOOKUP(X251,'Customer List'!B:D,3,)</f>
        <v>OutStation</v>
      </c>
    </row>
    <row r="252" spans="1:37" hidden="1" x14ac:dyDescent="0.25">
      <c r="A252" s="62">
        <f t="shared" si="85"/>
        <v>238</v>
      </c>
      <c r="B252" s="62" t="s">
        <v>893</v>
      </c>
      <c r="C252" s="62">
        <v>187778</v>
      </c>
      <c r="D252" s="6">
        <v>46108</v>
      </c>
      <c r="E252" s="6">
        <v>46115</v>
      </c>
      <c r="F252" s="63">
        <v>391.2</v>
      </c>
      <c r="G252" s="64">
        <f t="shared" si="87"/>
        <v>34425.599999999999</v>
      </c>
      <c r="H252" s="64">
        <f t="shared" si="88"/>
        <v>34425.599999999999</v>
      </c>
      <c r="I252" s="70" t="s">
        <v>885</v>
      </c>
      <c r="J252" s="62"/>
      <c r="K252" s="8"/>
      <c r="L252" s="10"/>
      <c r="M252" s="62">
        <v>1</v>
      </c>
      <c r="N252" s="8">
        <v>1</v>
      </c>
      <c r="O252" s="62">
        <f t="shared" si="89"/>
        <v>0</v>
      </c>
      <c r="P252" s="70">
        <v>14</v>
      </c>
      <c r="Q252" s="71">
        <v>46118</v>
      </c>
      <c r="R252" s="6">
        <v>46118</v>
      </c>
      <c r="S252" s="64">
        <v>49519.4</v>
      </c>
      <c r="T252" s="22">
        <v>5</v>
      </c>
      <c r="U252" s="64">
        <f t="shared" si="90"/>
        <v>2475.9700000000003</v>
      </c>
      <c r="V252" s="22">
        <v>-0.37</v>
      </c>
      <c r="W252" s="22">
        <v>51995</v>
      </c>
      <c r="X252" s="62" t="s">
        <v>895</v>
      </c>
      <c r="Y252" s="62" t="s">
        <v>1105</v>
      </c>
      <c r="Z252" s="62" t="s">
        <v>1105</v>
      </c>
      <c r="AA252" s="65">
        <v>4</v>
      </c>
      <c r="AB252" s="66"/>
      <c r="AC252" s="1" t="s">
        <v>893</v>
      </c>
      <c r="AD252" s="62" t="str">
        <f>VLOOKUP(X252,'Customer List'!B:C,2,)</f>
        <v>Delhi</v>
      </c>
      <c r="AE252" s="67"/>
      <c r="AF252" s="6"/>
      <c r="AG252" s="62" t="str">
        <f t="shared" si="91"/>
        <v/>
      </c>
      <c r="AH252" s="62" t="str">
        <f t="shared" si="92"/>
        <v>Sunday</v>
      </c>
      <c r="AI252" s="62" t="str">
        <f t="shared" si="93"/>
        <v/>
      </c>
      <c r="AJ252" s="62" t="str">
        <f>VLOOKUP(AC252,'Currency Sheet'!A:C,3,)</f>
        <v>DOLLAR</v>
      </c>
      <c r="AK252" s="62" t="str">
        <f>VLOOKUP(X252,'Customer List'!B:D,3,)</f>
        <v>Local</v>
      </c>
    </row>
    <row r="253" spans="1:37" hidden="1" x14ac:dyDescent="0.25">
      <c r="A253" s="62">
        <f t="shared" si="85"/>
        <v>239</v>
      </c>
      <c r="B253" s="62" t="s">
        <v>898</v>
      </c>
      <c r="C253" s="62">
        <v>46435</v>
      </c>
      <c r="D253" s="6">
        <v>46113</v>
      </c>
      <c r="E253" s="6">
        <v>46116</v>
      </c>
      <c r="F253" s="63">
        <v>654.5</v>
      </c>
      <c r="G253" s="64">
        <f t="shared" si="87"/>
        <v>57596</v>
      </c>
      <c r="H253" s="64">
        <f t="shared" si="88"/>
        <v>57596</v>
      </c>
      <c r="I253" s="70" t="s">
        <v>899</v>
      </c>
      <c r="J253" s="62"/>
      <c r="K253" s="8">
        <v>6.7</v>
      </c>
      <c r="L253" s="10"/>
      <c r="M253" s="62">
        <v>1</v>
      </c>
      <c r="N253" s="8">
        <v>1</v>
      </c>
      <c r="O253" s="62">
        <f t="shared" si="89"/>
        <v>0</v>
      </c>
      <c r="P253" s="70">
        <v>10</v>
      </c>
      <c r="Q253" s="71">
        <v>46116</v>
      </c>
      <c r="R253" s="6">
        <v>46116</v>
      </c>
      <c r="S253" s="64">
        <v>95650.5</v>
      </c>
      <c r="T253" s="22">
        <v>5</v>
      </c>
      <c r="U253" s="64">
        <f t="shared" si="90"/>
        <v>4782.5250000000005</v>
      </c>
      <c r="V253" s="22">
        <v>-0.43</v>
      </c>
      <c r="W253" s="22">
        <v>225034</v>
      </c>
      <c r="X253" s="62" t="s">
        <v>902</v>
      </c>
      <c r="Y253" s="62">
        <v>58163865616</v>
      </c>
      <c r="Z253" s="62" t="s">
        <v>1112</v>
      </c>
      <c r="AA253" s="65">
        <v>4</v>
      </c>
      <c r="AB253" s="66"/>
      <c r="AC253" s="1" t="s">
        <v>903</v>
      </c>
      <c r="AD253" s="62" t="str">
        <f>VLOOKUP(X253,'Customer List'!B:C,2,)</f>
        <v>Hyderabad</v>
      </c>
      <c r="AE253" s="67"/>
      <c r="AF253" s="6">
        <v>46118</v>
      </c>
      <c r="AG253" s="62">
        <f t="shared" si="91"/>
        <v>2</v>
      </c>
      <c r="AH253" s="62" t="str">
        <f t="shared" si="92"/>
        <v>Monday</v>
      </c>
      <c r="AI253" s="62" t="str">
        <f t="shared" si="93"/>
        <v>Monday</v>
      </c>
      <c r="AJ253" s="62" t="str">
        <f>VLOOKUP(AC253,'Currency Sheet'!A:C,3,)</f>
        <v>DOLLAR</v>
      </c>
      <c r="AK253" s="62" t="str">
        <f>VLOOKUP(X253,'Customer List'!B:D,3,)</f>
        <v>OutStation</v>
      </c>
    </row>
    <row r="254" spans="1:37" hidden="1" x14ac:dyDescent="0.25">
      <c r="A254" s="62">
        <f t="shared" si="85"/>
        <v>240</v>
      </c>
      <c r="B254" s="62" t="s">
        <v>898</v>
      </c>
      <c r="C254" s="62">
        <v>46435</v>
      </c>
      <c r="D254" s="6">
        <v>46113</v>
      </c>
      <c r="E254" s="6">
        <v>46116</v>
      </c>
      <c r="F254" s="63">
        <v>812</v>
      </c>
      <c r="G254" s="64">
        <f t="shared" si="87"/>
        <v>71456</v>
      </c>
      <c r="H254" s="64">
        <f t="shared" si="88"/>
        <v>71456</v>
      </c>
      <c r="I254" s="70" t="s">
        <v>900</v>
      </c>
      <c r="J254" s="62"/>
      <c r="K254" s="8">
        <v>12.3</v>
      </c>
      <c r="L254" s="10"/>
      <c r="M254" s="62">
        <v>1</v>
      </c>
      <c r="N254" s="8">
        <v>1</v>
      </c>
      <c r="O254" s="62">
        <f t="shared" si="89"/>
        <v>0</v>
      </c>
      <c r="P254" s="70">
        <v>10</v>
      </c>
      <c r="Q254" s="71">
        <v>46116</v>
      </c>
      <c r="R254" s="6">
        <v>46116</v>
      </c>
      <c r="S254" s="64">
        <v>118668</v>
      </c>
      <c r="T254" s="22">
        <v>5</v>
      </c>
      <c r="U254" s="64">
        <f t="shared" si="90"/>
        <v>5933.4000000000005</v>
      </c>
      <c r="V254" s="22">
        <v>0</v>
      </c>
      <c r="W254" s="22">
        <v>225034</v>
      </c>
      <c r="X254" s="62" t="s">
        <v>902</v>
      </c>
      <c r="Y254" s="62">
        <v>58163865616</v>
      </c>
      <c r="Z254" s="62" t="s">
        <v>1112</v>
      </c>
      <c r="AA254" s="65">
        <v>4</v>
      </c>
      <c r="AB254" s="66"/>
      <c r="AC254" s="1" t="s">
        <v>903</v>
      </c>
      <c r="AD254" s="62" t="str">
        <f>VLOOKUP(X254,'Customer List'!B:C,2,)</f>
        <v>Hyderabad</v>
      </c>
      <c r="AE254" s="67"/>
      <c r="AF254" s="6">
        <v>46118</v>
      </c>
      <c r="AG254" s="62">
        <f t="shared" si="91"/>
        <v>2</v>
      </c>
      <c r="AH254" s="62" t="str">
        <f t="shared" si="92"/>
        <v>Wednesday</v>
      </c>
      <c r="AI254" s="62" t="str">
        <f t="shared" si="93"/>
        <v>Monday</v>
      </c>
      <c r="AJ254" s="62" t="str">
        <f>VLOOKUP(AC254,'Currency Sheet'!A:C,3,)</f>
        <v>DOLLAR</v>
      </c>
      <c r="AK254" s="62" t="str">
        <f>VLOOKUP(X254,'Customer List'!B:D,3,)</f>
        <v>OutStation</v>
      </c>
    </row>
    <row r="255" spans="1:37" hidden="1" x14ac:dyDescent="0.25">
      <c r="A255" s="62">
        <f t="shared" si="85"/>
        <v>241</v>
      </c>
      <c r="B255" s="62" t="s">
        <v>898</v>
      </c>
      <c r="C255" s="62">
        <v>46435</v>
      </c>
      <c r="D255" s="6">
        <v>46113</v>
      </c>
      <c r="E255" s="6">
        <v>46116</v>
      </c>
      <c r="F255" s="63">
        <v>234.5</v>
      </c>
      <c r="G255" s="64">
        <f t="shared" si="87"/>
        <v>20636</v>
      </c>
      <c r="H255" s="64">
        <f t="shared" si="88"/>
        <v>103180</v>
      </c>
      <c r="I255" s="70" t="s">
        <v>901</v>
      </c>
      <c r="J255" s="62"/>
      <c r="K255" s="8">
        <v>2.2000000000000002</v>
      </c>
      <c r="L255" s="10">
        <v>46356</v>
      </c>
      <c r="M255" s="62">
        <v>5</v>
      </c>
      <c r="N255" s="8">
        <v>5</v>
      </c>
      <c r="O255" s="62">
        <f t="shared" si="89"/>
        <v>0</v>
      </c>
      <c r="P255" s="70">
        <v>69</v>
      </c>
      <c r="Q255" s="71">
        <v>46122</v>
      </c>
      <c r="R255" s="6">
        <v>46123</v>
      </c>
      <c r="S255" s="64">
        <v>181737.5</v>
      </c>
      <c r="T255" s="22">
        <v>5</v>
      </c>
      <c r="U255" s="64">
        <f t="shared" si="90"/>
        <v>9086.875</v>
      </c>
      <c r="V255" s="22">
        <v>-0.38</v>
      </c>
      <c r="W255" s="22">
        <v>190824</v>
      </c>
      <c r="X255" s="62" t="s">
        <v>386</v>
      </c>
      <c r="Y255" s="62">
        <v>58164183814</v>
      </c>
      <c r="Z255" s="62" t="s">
        <v>1112</v>
      </c>
      <c r="AA255" s="65">
        <v>4</v>
      </c>
      <c r="AB255" s="66"/>
      <c r="AC255" s="1" t="s">
        <v>903</v>
      </c>
      <c r="AD255" s="62" t="str">
        <f>VLOOKUP(X255,'Customer List'!B:C,2,)</f>
        <v>Mumbai</v>
      </c>
      <c r="AE255" s="67" t="s">
        <v>1114</v>
      </c>
      <c r="AF255" s="6">
        <v>46125</v>
      </c>
      <c r="AG255" s="62">
        <f t="shared" si="91"/>
        <v>2</v>
      </c>
      <c r="AH255" s="62" t="str">
        <f t="shared" si="92"/>
        <v>Tuesday</v>
      </c>
      <c r="AI255" s="62" t="str">
        <f t="shared" si="93"/>
        <v>Monday</v>
      </c>
      <c r="AJ255" s="62" t="str">
        <f>VLOOKUP(AC255,'Currency Sheet'!A:C,3,)</f>
        <v>DOLLAR</v>
      </c>
      <c r="AK255" s="62" t="str">
        <f>VLOOKUP(X255,'Customer List'!B:D,3,)</f>
        <v>OutStation</v>
      </c>
    </row>
    <row r="256" spans="1:37" s="56" customFormat="1" hidden="1" x14ac:dyDescent="0.25">
      <c r="A256" s="48">
        <f t="shared" si="85"/>
        <v>242</v>
      </c>
      <c r="B256" s="48" t="s">
        <v>271</v>
      </c>
      <c r="C256" s="48" t="s">
        <v>904</v>
      </c>
      <c r="D256" s="50">
        <v>46094</v>
      </c>
      <c r="E256" s="50">
        <v>46116</v>
      </c>
      <c r="F256" s="57">
        <v>6500</v>
      </c>
      <c r="G256" s="51">
        <f t="shared" si="87"/>
        <v>6500</v>
      </c>
      <c r="H256" s="64">
        <f t="shared" si="88"/>
        <v>13000</v>
      </c>
      <c r="I256" s="58" t="s">
        <v>685</v>
      </c>
      <c r="J256" s="48"/>
      <c r="K256" s="47">
        <v>252900547</v>
      </c>
      <c r="L256" s="49"/>
      <c r="M256" s="48">
        <v>2</v>
      </c>
      <c r="N256" s="47">
        <v>2</v>
      </c>
      <c r="O256" s="48">
        <f t="shared" si="89"/>
        <v>0</v>
      </c>
      <c r="P256" s="58">
        <v>45</v>
      </c>
      <c r="Q256" s="59">
        <v>46119</v>
      </c>
      <c r="R256" s="50">
        <v>46119</v>
      </c>
      <c r="S256" s="51">
        <v>14625</v>
      </c>
      <c r="T256" s="52">
        <v>18</v>
      </c>
      <c r="U256" s="51">
        <f t="shared" si="90"/>
        <v>2632.5</v>
      </c>
      <c r="V256" s="52">
        <v>-0.26</v>
      </c>
      <c r="W256" s="52">
        <v>25886</v>
      </c>
      <c r="X256" s="48" t="s">
        <v>793</v>
      </c>
      <c r="Y256" s="48" t="s">
        <v>896</v>
      </c>
      <c r="Z256" s="48" t="s">
        <v>821</v>
      </c>
      <c r="AA256" s="53" t="s">
        <v>808</v>
      </c>
      <c r="AB256" s="54"/>
      <c r="AC256" s="60" t="s">
        <v>271</v>
      </c>
      <c r="AD256" s="48" t="str">
        <f>VLOOKUP(X256,'Customer List'!B:C,2,)</f>
        <v>Delhi</v>
      </c>
      <c r="AE256" s="55"/>
      <c r="AF256" s="50"/>
      <c r="AG256" s="48" t="str">
        <f t="shared" si="91"/>
        <v/>
      </c>
      <c r="AH256" s="48" t="str">
        <f t="shared" si="92"/>
        <v>Monday</v>
      </c>
      <c r="AI256" s="48" t="str">
        <f t="shared" si="93"/>
        <v/>
      </c>
      <c r="AJ256" s="48" t="str">
        <f>VLOOKUP(AC256,'Currency Sheet'!A:C,3,)</f>
        <v>INR</v>
      </c>
      <c r="AK256" s="48" t="str">
        <f>VLOOKUP(X256,'Customer List'!B:D,3,)</f>
        <v>Local</v>
      </c>
    </row>
    <row r="257" spans="1:37" s="56" customFormat="1" hidden="1" x14ac:dyDescent="0.25">
      <c r="A257" s="48">
        <f t="shared" si="85"/>
        <v>243</v>
      </c>
      <c r="B257" s="48" t="s">
        <v>271</v>
      </c>
      <c r="C257" s="48" t="s">
        <v>904</v>
      </c>
      <c r="D257" s="50">
        <v>46094</v>
      </c>
      <c r="E257" s="50">
        <v>46116</v>
      </c>
      <c r="F257" s="57">
        <v>6500</v>
      </c>
      <c r="G257" s="51">
        <f t="shared" si="87"/>
        <v>6500</v>
      </c>
      <c r="H257" s="64">
        <f t="shared" si="88"/>
        <v>6500</v>
      </c>
      <c r="I257" s="58" t="s">
        <v>685</v>
      </c>
      <c r="J257" s="48"/>
      <c r="K257" s="47">
        <v>254302267</v>
      </c>
      <c r="L257" s="49"/>
      <c r="M257" s="48">
        <v>1</v>
      </c>
      <c r="N257" s="47">
        <v>1</v>
      </c>
      <c r="O257" s="48">
        <f t="shared" si="89"/>
        <v>0</v>
      </c>
      <c r="P257" s="58">
        <v>45</v>
      </c>
      <c r="Q257" s="59">
        <v>46119</v>
      </c>
      <c r="R257" s="50">
        <v>46119</v>
      </c>
      <c r="S257" s="51">
        <v>7312.5</v>
      </c>
      <c r="T257" s="52">
        <v>18</v>
      </c>
      <c r="U257" s="51">
        <f t="shared" si="90"/>
        <v>1316.25</v>
      </c>
      <c r="V257" s="52">
        <v>0</v>
      </c>
      <c r="W257" s="52">
        <v>25886</v>
      </c>
      <c r="X257" s="48" t="s">
        <v>793</v>
      </c>
      <c r="Y257" s="48" t="s">
        <v>896</v>
      </c>
      <c r="Z257" s="48" t="s">
        <v>821</v>
      </c>
      <c r="AA257" s="53" t="s">
        <v>808</v>
      </c>
      <c r="AB257" s="54"/>
      <c r="AC257" s="60" t="s">
        <v>271</v>
      </c>
      <c r="AD257" s="48" t="str">
        <f>VLOOKUP(X257,'Customer List'!B:C,2,)</f>
        <v>Delhi</v>
      </c>
      <c r="AE257" s="55"/>
      <c r="AF257" s="50"/>
      <c r="AG257" s="48" t="str">
        <f t="shared" si="91"/>
        <v/>
      </c>
      <c r="AH257" s="48" t="str">
        <f t="shared" si="92"/>
        <v>Wednesday</v>
      </c>
      <c r="AI257" s="48" t="str">
        <f t="shared" si="93"/>
        <v/>
      </c>
      <c r="AJ257" s="48" t="str">
        <f>VLOOKUP(AC257,'Currency Sheet'!A:C,3,)</f>
        <v>INR</v>
      </c>
      <c r="AK257" s="48" t="str">
        <f>VLOOKUP(X257,'Customer List'!B:D,3,)</f>
        <v>Local</v>
      </c>
    </row>
    <row r="258" spans="1:37" hidden="1" x14ac:dyDescent="0.25">
      <c r="A258" s="62">
        <f t="shared" ref="A258:A321" si="94">A257+1</f>
        <v>244</v>
      </c>
      <c r="B258" s="62" t="s">
        <v>824</v>
      </c>
      <c r="C258" s="62" t="s">
        <v>905</v>
      </c>
      <c r="D258" s="6">
        <v>46108</v>
      </c>
      <c r="E258" s="6">
        <v>46118</v>
      </c>
      <c r="F258" s="63">
        <v>160.30000000000001</v>
      </c>
      <c r="G258" s="64">
        <f t="shared" si="87"/>
        <v>14106.400000000001</v>
      </c>
      <c r="H258" s="64">
        <f t="shared" si="88"/>
        <v>14106.400000000001</v>
      </c>
      <c r="I258" s="70">
        <v>100210</v>
      </c>
      <c r="J258" s="62" t="s">
        <v>759</v>
      </c>
      <c r="K258" s="8" t="s">
        <v>906</v>
      </c>
      <c r="L258" s="10">
        <v>47745</v>
      </c>
      <c r="M258" s="62">
        <v>1</v>
      </c>
      <c r="N258" s="8">
        <v>1</v>
      </c>
      <c r="O258" s="62">
        <f t="shared" si="89"/>
        <v>0</v>
      </c>
      <c r="P258" s="70">
        <v>44</v>
      </c>
      <c r="Q258" s="71">
        <v>46118</v>
      </c>
      <c r="R258" s="6">
        <v>46119</v>
      </c>
      <c r="S258" s="64">
        <v>24136.6</v>
      </c>
      <c r="T258" s="22">
        <v>5</v>
      </c>
      <c r="U258" s="64">
        <f t="shared" si="90"/>
        <v>1206.83</v>
      </c>
      <c r="V258" s="22">
        <v>0</v>
      </c>
      <c r="W258" s="22">
        <v>287299</v>
      </c>
      <c r="X258" s="62" t="s">
        <v>1090</v>
      </c>
      <c r="Y258" s="62">
        <v>58163968295</v>
      </c>
      <c r="Z258" s="62" t="s">
        <v>1112</v>
      </c>
      <c r="AA258" s="65">
        <v>4</v>
      </c>
      <c r="AB258" s="66"/>
      <c r="AC258" s="1" t="s">
        <v>824</v>
      </c>
      <c r="AD258" s="62" t="str">
        <f>VLOOKUP(X258,'Customer List'!B:C,2,)</f>
        <v>Kanpur</v>
      </c>
      <c r="AE258" s="67"/>
      <c r="AF258" s="6">
        <v>46121</v>
      </c>
      <c r="AG258" s="62">
        <f t="shared" si="91"/>
        <v>2</v>
      </c>
      <c r="AH258" s="62" t="str">
        <f t="shared" si="92"/>
        <v>Saturday</v>
      </c>
      <c r="AI258" s="62" t="str">
        <f t="shared" si="93"/>
        <v>Thursday</v>
      </c>
      <c r="AJ258" s="62" t="str">
        <f>VLOOKUP(AC258,'Currency Sheet'!A:C,3,)</f>
        <v>DOLLAR</v>
      </c>
      <c r="AK258" s="62" t="str">
        <f>VLOOKUP(X258,'Customer List'!B:D,3,)</f>
        <v>OutStation</v>
      </c>
    </row>
    <row r="259" spans="1:37" hidden="1" x14ac:dyDescent="0.25">
      <c r="A259" s="62">
        <f t="shared" si="94"/>
        <v>245</v>
      </c>
      <c r="B259" s="62" t="s">
        <v>824</v>
      </c>
      <c r="C259" s="62" t="s">
        <v>905</v>
      </c>
      <c r="D259" s="6">
        <v>46108</v>
      </c>
      <c r="E259" s="6">
        <v>46118</v>
      </c>
      <c r="F259" s="63">
        <v>173.6</v>
      </c>
      <c r="G259" s="64">
        <f t="shared" si="87"/>
        <v>15276.8</v>
      </c>
      <c r="H259" s="64">
        <f t="shared" si="88"/>
        <v>15276.8</v>
      </c>
      <c r="I259" s="70">
        <v>100220</v>
      </c>
      <c r="J259" s="62" t="s">
        <v>759</v>
      </c>
      <c r="K259" s="8" t="s">
        <v>907</v>
      </c>
      <c r="L259" s="10">
        <v>47540</v>
      </c>
      <c r="M259" s="62">
        <v>1</v>
      </c>
      <c r="N259" s="8">
        <v>1</v>
      </c>
      <c r="O259" s="62">
        <f t="shared" si="89"/>
        <v>0</v>
      </c>
      <c r="P259" s="70">
        <v>29</v>
      </c>
      <c r="Q259" s="71">
        <v>46118</v>
      </c>
      <c r="R259" s="6">
        <v>46119</v>
      </c>
      <c r="S259" s="64">
        <v>28830</v>
      </c>
      <c r="T259" s="22">
        <v>5</v>
      </c>
      <c r="U259" s="64">
        <f t="shared" si="90"/>
        <v>1441.5</v>
      </c>
      <c r="V259" s="22">
        <v>0.49</v>
      </c>
      <c r="W259" s="22">
        <v>291974</v>
      </c>
      <c r="X259" s="62" t="s">
        <v>29</v>
      </c>
      <c r="Y259" s="62">
        <v>58163972801</v>
      </c>
      <c r="Z259" s="62" t="s">
        <v>1112</v>
      </c>
      <c r="AA259" s="65">
        <v>4</v>
      </c>
      <c r="AB259" s="66"/>
      <c r="AC259" s="1" t="s">
        <v>824</v>
      </c>
      <c r="AD259" s="62" t="str">
        <f>VLOOKUP(X259,'Customer List'!B:C,2,)</f>
        <v>Gujrat</v>
      </c>
      <c r="AE259" s="67"/>
      <c r="AF259" s="6">
        <v>46120</v>
      </c>
      <c r="AG259" s="62">
        <f t="shared" si="91"/>
        <v>1</v>
      </c>
      <c r="AH259" s="62" t="str">
        <f t="shared" si="92"/>
        <v>Wednesday</v>
      </c>
      <c r="AI259" s="62" t="str">
        <f t="shared" si="93"/>
        <v>Wednesday</v>
      </c>
      <c r="AJ259" s="62" t="str">
        <f>VLOOKUP(AC259,'Currency Sheet'!A:C,3,)</f>
        <v>DOLLAR</v>
      </c>
      <c r="AK259" s="62" t="str">
        <f>VLOOKUP(X259,'Customer List'!B:D,3,)</f>
        <v>OutStation</v>
      </c>
    </row>
    <row r="260" spans="1:37" hidden="1" x14ac:dyDescent="0.25">
      <c r="A260" s="62">
        <f t="shared" si="94"/>
        <v>246</v>
      </c>
      <c r="B260" s="62" t="s">
        <v>824</v>
      </c>
      <c r="C260" s="62" t="s">
        <v>905</v>
      </c>
      <c r="D260" s="6">
        <v>46108</v>
      </c>
      <c r="E260" s="6">
        <v>46118</v>
      </c>
      <c r="F260" s="63">
        <v>169.4</v>
      </c>
      <c r="G260" s="64">
        <f t="shared" si="87"/>
        <v>14907.2</v>
      </c>
      <c r="H260" s="64">
        <f t="shared" si="88"/>
        <v>29814.400000000001</v>
      </c>
      <c r="I260" s="70">
        <v>100222</v>
      </c>
      <c r="J260" s="62" t="s">
        <v>759</v>
      </c>
      <c r="K260" s="8" t="s">
        <v>908</v>
      </c>
      <c r="L260" s="10">
        <v>47385</v>
      </c>
      <c r="M260" s="62">
        <v>2</v>
      </c>
      <c r="N260" s="8">
        <v>2</v>
      </c>
      <c r="O260" s="62">
        <f t="shared" si="89"/>
        <v>0</v>
      </c>
      <c r="P260" s="70">
        <v>29</v>
      </c>
      <c r="Q260" s="71">
        <v>46118</v>
      </c>
      <c r="R260" s="6">
        <v>46119</v>
      </c>
      <c r="S260" s="64">
        <v>56265</v>
      </c>
      <c r="T260" s="22">
        <v>5</v>
      </c>
      <c r="U260" s="64">
        <f t="shared" si="90"/>
        <v>2813.25</v>
      </c>
      <c r="V260" s="22">
        <v>0</v>
      </c>
      <c r="W260" s="22">
        <v>291974</v>
      </c>
      <c r="X260" s="62" t="s">
        <v>29</v>
      </c>
      <c r="Y260" s="62">
        <v>58163972801</v>
      </c>
      <c r="Z260" s="62" t="s">
        <v>1112</v>
      </c>
      <c r="AA260" s="65">
        <v>4</v>
      </c>
      <c r="AB260" s="66"/>
      <c r="AC260" s="1" t="s">
        <v>824</v>
      </c>
      <c r="AD260" s="62" t="str">
        <f>VLOOKUP(X260,'Customer List'!B:C,2,)</f>
        <v>Gujrat</v>
      </c>
      <c r="AE260" s="67"/>
      <c r="AF260" s="6">
        <v>46120</v>
      </c>
      <c r="AG260" s="62">
        <f t="shared" si="91"/>
        <v>1</v>
      </c>
      <c r="AH260" s="62" t="str">
        <f t="shared" si="92"/>
        <v>Friday</v>
      </c>
      <c r="AI260" s="62" t="str">
        <f t="shared" si="93"/>
        <v>Wednesday</v>
      </c>
      <c r="AJ260" s="62" t="str">
        <f>VLOOKUP(AC260,'Currency Sheet'!A:C,3,)</f>
        <v>DOLLAR</v>
      </c>
      <c r="AK260" s="62" t="str">
        <f>VLOOKUP(X260,'Customer List'!B:D,3,)</f>
        <v>OutStation</v>
      </c>
    </row>
    <row r="261" spans="1:37" hidden="1" x14ac:dyDescent="0.25">
      <c r="A261" s="62">
        <f t="shared" si="94"/>
        <v>247</v>
      </c>
      <c r="B261" s="62" t="s">
        <v>824</v>
      </c>
      <c r="C261" s="62" t="s">
        <v>905</v>
      </c>
      <c r="D261" s="6">
        <v>46108</v>
      </c>
      <c r="E261" s="6">
        <v>46118</v>
      </c>
      <c r="F261" s="63">
        <v>165</v>
      </c>
      <c r="G261" s="64">
        <f t="shared" si="87"/>
        <v>14520</v>
      </c>
      <c r="H261" s="64">
        <f t="shared" si="88"/>
        <v>14520</v>
      </c>
      <c r="I261" s="70">
        <v>100229</v>
      </c>
      <c r="J261" s="62" t="s">
        <v>759</v>
      </c>
      <c r="K261" s="8" t="s">
        <v>909</v>
      </c>
      <c r="L261" s="10">
        <v>46591</v>
      </c>
      <c r="M261" s="62">
        <v>1</v>
      </c>
      <c r="N261" s="8">
        <v>1</v>
      </c>
      <c r="O261" s="62">
        <f t="shared" si="89"/>
        <v>0</v>
      </c>
      <c r="P261" s="70" t="s">
        <v>1601</v>
      </c>
      <c r="Q261" s="71">
        <v>46127</v>
      </c>
      <c r="R261" s="6">
        <v>46127</v>
      </c>
      <c r="S261" s="64">
        <v>0</v>
      </c>
      <c r="T261" s="22">
        <v>5</v>
      </c>
      <c r="U261" s="64">
        <f t="shared" si="90"/>
        <v>0</v>
      </c>
      <c r="V261" s="22">
        <v>0</v>
      </c>
      <c r="W261" s="22">
        <v>0</v>
      </c>
      <c r="X261" s="62" t="s">
        <v>797</v>
      </c>
      <c r="Y261" s="62" t="s">
        <v>1120</v>
      </c>
      <c r="Z261" s="62" t="s">
        <v>1863</v>
      </c>
      <c r="AA261" s="65">
        <v>4</v>
      </c>
      <c r="AB261" s="66" t="s">
        <v>1603</v>
      </c>
      <c r="AC261" s="1" t="s">
        <v>824</v>
      </c>
      <c r="AD261" s="62" t="str">
        <f>VLOOKUP(X261,'Customer List'!B:C,2,)</f>
        <v>Delhi</v>
      </c>
      <c r="AE261" s="67"/>
      <c r="AF261" s="6"/>
      <c r="AG261" s="62" t="str">
        <f t="shared" si="91"/>
        <v/>
      </c>
      <c r="AH261" s="62" t="str">
        <f t="shared" si="92"/>
        <v>Saturday</v>
      </c>
      <c r="AI261" s="62" t="str">
        <f t="shared" si="93"/>
        <v/>
      </c>
      <c r="AJ261" s="62" t="str">
        <f>VLOOKUP(AC261,'Currency Sheet'!A:C,3,)</f>
        <v>DOLLAR</v>
      </c>
      <c r="AK261" s="62" t="str">
        <f>VLOOKUP(X261,'Customer List'!B:D,3,)</f>
        <v>Local</v>
      </c>
    </row>
    <row r="262" spans="1:37" hidden="1" x14ac:dyDescent="0.25">
      <c r="A262" s="62">
        <f t="shared" si="94"/>
        <v>248</v>
      </c>
      <c r="B262" s="62" t="s">
        <v>824</v>
      </c>
      <c r="C262" s="62" t="s">
        <v>905</v>
      </c>
      <c r="D262" s="6">
        <v>46108</v>
      </c>
      <c r="E262" s="6">
        <v>46118</v>
      </c>
      <c r="F262" s="63">
        <v>205.5</v>
      </c>
      <c r="G262" s="64">
        <f t="shared" si="87"/>
        <v>18084</v>
      </c>
      <c r="H262" s="64">
        <f t="shared" si="88"/>
        <v>18084</v>
      </c>
      <c r="I262" s="70">
        <v>100234</v>
      </c>
      <c r="J262" s="62" t="s">
        <v>759</v>
      </c>
      <c r="K262" s="8" t="s">
        <v>910</v>
      </c>
      <c r="L262" s="10">
        <v>46668</v>
      </c>
      <c r="M262" s="62">
        <v>1</v>
      </c>
      <c r="N262" s="8">
        <v>1</v>
      </c>
      <c r="O262" s="62">
        <f t="shared" si="89"/>
        <v>0</v>
      </c>
      <c r="P262" s="70">
        <v>34</v>
      </c>
      <c r="Q262" s="71">
        <v>46118</v>
      </c>
      <c r="R262" s="6">
        <v>46119</v>
      </c>
      <c r="S262" s="64">
        <v>31852.5</v>
      </c>
      <c r="T262" s="22">
        <v>5</v>
      </c>
      <c r="U262" s="64">
        <f t="shared" si="90"/>
        <v>1592.625</v>
      </c>
      <c r="V262" s="22"/>
      <c r="W262" s="22"/>
      <c r="X262" s="62" t="s">
        <v>1091</v>
      </c>
      <c r="Y262" s="62">
        <v>58163969290</v>
      </c>
      <c r="Z262" s="62" t="s">
        <v>1112</v>
      </c>
      <c r="AA262" s="65">
        <v>4</v>
      </c>
      <c r="AB262" s="66"/>
      <c r="AC262" s="1" t="s">
        <v>824</v>
      </c>
      <c r="AD262" s="62" t="str">
        <f>VLOOKUP(X262,'Customer List'!B:C,2,)</f>
        <v>THIRUVANANTPURAM</v>
      </c>
      <c r="AE262" s="67"/>
      <c r="AF262" s="6">
        <v>46122</v>
      </c>
      <c r="AG262" s="62">
        <f t="shared" si="91"/>
        <v>3</v>
      </c>
      <c r="AH262" s="62" t="str">
        <f t="shared" si="92"/>
        <v>Monday</v>
      </c>
      <c r="AI262" s="62" t="str">
        <f t="shared" si="93"/>
        <v>Friday</v>
      </c>
      <c r="AJ262" s="62" t="str">
        <f>VLOOKUP(AC262,'Currency Sheet'!A:C,3,)</f>
        <v>DOLLAR</v>
      </c>
      <c r="AK262" s="62" t="str">
        <f>VLOOKUP(X262,'Customer List'!B:D,3,)</f>
        <v>OutStation</v>
      </c>
    </row>
    <row r="263" spans="1:37" hidden="1" x14ac:dyDescent="0.25">
      <c r="A263" s="62">
        <f t="shared" si="94"/>
        <v>249</v>
      </c>
      <c r="B263" s="62" t="s">
        <v>824</v>
      </c>
      <c r="C263" s="62" t="s">
        <v>905</v>
      </c>
      <c r="D263" s="6">
        <v>46108</v>
      </c>
      <c r="E263" s="6">
        <v>46118</v>
      </c>
      <c r="F263" s="63">
        <v>21</v>
      </c>
      <c r="G263" s="64">
        <f t="shared" si="87"/>
        <v>1848</v>
      </c>
      <c r="H263" s="64">
        <f t="shared" si="88"/>
        <v>1848</v>
      </c>
      <c r="I263" s="70">
        <v>100405</v>
      </c>
      <c r="J263" s="62" t="s">
        <v>911</v>
      </c>
      <c r="K263" s="8" t="s">
        <v>912</v>
      </c>
      <c r="L263" s="10">
        <v>48369</v>
      </c>
      <c r="M263" s="62">
        <v>1</v>
      </c>
      <c r="N263" s="8">
        <v>1</v>
      </c>
      <c r="O263" s="62">
        <f t="shared" si="89"/>
        <v>0</v>
      </c>
      <c r="P263" s="70">
        <v>34</v>
      </c>
      <c r="Q263" s="71">
        <v>46118</v>
      </c>
      <c r="R263" s="6">
        <v>46119</v>
      </c>
      <c r="S263" s="64">
        <v>3487.5</v>
      </c>
      <c r="T263" s="22">
        <v>5</v>
      </c>
      <c r="U263" s="64">
        <f t="shared" si="90"/>
        <v>174.375</v>
      </c>
      <c r="V263" s="22"/>
      <c r="W263" s="22"/>
      <c r="X263" s="62" t="s">
        <v>1091</v>
      </c>
      <c r="Y263" s="62">
        <v>58163969290</v>
      </c>
      <c r="Z263" s="62" t="s">
        <v>1112</v>
      </c>
      <c r="AA263" s="65">
        <v>4</v>
      </c>
      <c r="AB263" s="66"/>
      <c r="AC263" s="1" t="s">
        <v>824</v>
      </c>
      <c r="AD263" s="62" t="str">
        <f>VLOOKUP(X263,'Customer List'!B:C,2,)</f>
        <v>THIRUVANANTPURAM</v>
      </c>
      <c r="AE263" s="67"/>
      <c r="AF263" s="6">
        <v>46122</v>
      </c>
      <c r="AG263" s="62">
        <f t="shared" si="91"/>
        <v>3</v>
      </c>
      <c r="AH263" s="62" t="str">
        <f t="shared" si="92"/>
        <v>Sunday</v>
      </c>
      <c r="AI263" s="62" t="str">
        <f t="shared" si="93"/>
        <v>Friday</v>
      </c>
      <c r="AJ263" s="62" t="str">
        <f>VLOOKUP(AC263,'Currency Sheet'!A:C,3,)</f>
        <v>DOLLAR</v>
      </c>
      <c r="AK263" s="62" t="str">
        <f>VLOOKUP(X263,'Customer List'!B:D,3,)</f>
        <v>OutStation</v>
      </c>
    </row>
    <row r="264" spans="1:37" hidden="1" x14ac:dyDescent="0.25">
      <c r="A264" s="62">
        <f t="shared" si="94"/>
        <v>250</v>
      </c>
      <c r="B264" s="62" t="s">
        <v>824</v>
      </c>
      <c r="C264" s="62" t="s">
        <v>905</v>
      </c>
      <c r="D264" s="6">
        <v>46108</v>
      </c>
      <c r="E264" s="6">
        <v>46118</v>
      </c>
      <c r="F264" s="63">
        <v>138.6</v>
      </c>
      <c r="G264" s="64">
        <f t="shared" si="87"/>
        <v>12196.8</v>
      </c>
      <c r="H264" s="64">
        <f t="shared" si="88"/>
        <v>24393.599999999999</v>
      </c>
      <c r="I264" s="70">
        <v>100526</v>
      </c>
      <c r="J264" s="62" t="s">
        <v>911</v>
      </c>
      <c r="K264" s="8" t="s">
        <v>913</v>
      </c>
      <c r="L264" s="10">
        <v>47293</v>
      </c>
      <c r="M264" s="62">
        <v>2</v>
      </c>
      <c r="N264" s="8">
        <v>2</v>
      </c>
      <c r="O264" s="62">
        <f t="shared" si="89"/>
        <v>0</v>
      </c>
      <c r="P264" s="70">
        <v>29</v>
      </c>
      <c r="Q264" s="71">
        <v>46118</v>
      </c>
      <c r="R264" s="6">
        <v>46119</v>
      </c>
      <c r="S264" s="64">
        <v>46035</v>
      </c>
      <c r="T264" s="22">
        <v>5</v>
      </c>
      <c r="U264" s="64">
        <f t="shared" si="90"/>
        <v>2301.75</v>
      </c>
      <c r="V264" s="22">
        <v>0</v>
      </c>
      <c r="W264" s="22">
        <v>291974</v>
      </c>
      <c r="X264" s="62" t="s">
        <v>29</v>
      </c>
      <c r="Y264" s="62">
        <v>58163972801</v>
      </c>
      <c r="Z264" s="62" t="s">
        <v>1112</v>
      </c>
      <c r="AA264" s="65">
        <v>4</v>
      </c>
      <c r="AB264" s="66"/>
      <c r="AC264" s="1" t="s">
        <v>824</v>
      </c>
      <c r="AD264" s="62" t="str">
        <f>VLOOKUP(X264,'Customer List'!B:C,2,)</f>
        <v>Gujrat</v>
      </c>
      <c r="AE264" s="67"/>
      <c r="AF264" s="6">
        <v>46120</v>
      </c>
      <c r="AG264" s="62">
        <f t="shared" si="91"/>
        <v>1</v>
      </c>
      <c r="AH264" s="62" t="str">
        <f t="shared" si="92"/>
        <v>Tuesday</v>
      </c>
      <c r="AI264" s="62" t="str">
        <f t="shared" ref="AI264:AI285" si="95">IF(AF264="", "", TEXT(AF264, "dddd"))</f>
        <v>Wednesday</v>
      </c>
      <c r="AJ264" s="62" t="str">
        <f>VLOOKUP(AC264,'Currency Sheet'!A:C,3,)</f>
        <v>DOLLAR</v>
      </c>
      <c r="AK264" s="62" t="str">
        <f>VLOOKUP(X264,'Customer List'!B:D,3,)</f>
        <v>OutStation</v>
      </c>
    </row>
    <row r="265" spans="1:37" hidden="1" x14ac:dyDescent="0.25">
      <c r="A265" s="62">
        <f t="shared" si="94"/>
        <v>251</v>
      </c>
      <c r="B265" s="62" t="s">
        <v>824</v>
      </c>
      <c r="C265" s="62" t="s">
        <v>905</v>
      </c>
      <c r="D265" s="6">
        <v>46108</v>
      </c>
      <c r="E265" s="6">
        <v>46118</v>
      </c>
      <c r="F265" s="63">
        <v>198.1</v>
      </c>
      <c r="G265" s="64">
        <f t="shared" si="87"/>
        <v>17432.8</v>
      </c>
      <c r="H265" s="64">
        <f t="shared" si="88"/>
        <v>34865.599999999999</v>
      </c>
      <c r="I265" s="70">
        <v>100540</v>
      </c>
      <c r="J265" s="62" t="s">
        <v>911</v>
      </c>
      <c r="K265" s="8" t="s">
        <v>914</v>
      </c>
      <c r="L265" s="10">
        <v>47302</v>
      </c>
      <c r="M265" s="62">
        <v>2</v>
      </c>
      <c r="N265" s="8">
        <v>2</v>
      </c>
      <c r="O265" s="62">
        <f t="shared" si="89"/>
        <v>0</v>
      </c>
      <c r="P265" s="70">
        <v>29</v>
      </c>
      <c r="Q265" s="71">
        <v>46118</v>
      </c>
      <c r="R265" s="6">
        <v>46119</v>
      </c>
      <c r="S265" s="64">
        <v>65797.5</v>
      </c>
      <c r="T265" s="22">
        <v>5</v>
      </c>
      <c r="U265" s="64">
        <f t="shared" si="90"/>
        <v>3289.875</v>
      </c>
      <c r="V265" s="22">
        <v>0</v>
      </c>
      <c r="W265" s="22">
        <v>291974</v>
      </c>
      <c r="X265" s="62" t="s">
        <v>29</v>
      </c>
      <c r="Y265" s="62">
        <v>58163972801</v>
      </c>
      <c r="Z265" s="62" t="s">
        <v>1112</v>
      </c>
      <c r="AA265" s="65">
        <v>4</v>
      </c>
      <c r="AB265" s="66"/>
      <c r="AC265" s="1" t="s">
        <v>824</v>
      </c>
      <c r="AD265" s="62" t="str">
        <f>VLOOKUP(X265,'Customer List'!B:C,2,)</f>
        <v>Gujrat</v>
      </c>
      <c r="AE265" s="67"/>
      <c r="AF265" s="6">
        <v>46120</v>
      </c>
      <c r="AG265" s="62">
        <f t="shared" si="91"/>
        <v>1</v>
      </c>
      <c r="AH265" s="62" t="str">
        <f t="shared" si="92"/>
        <v>Wednesday</v>
      </c>
      <c r="AI265" s="62" t="str">
        <f t="shared" si="95"/>
        <v>Wednesday</v>
      </c>
      <c r="AJ265" s="62" t="str">
        <f>VLOOKUP(AC265,'Currency Sheet'!A:C,3,)</f>
        <v>DOLLAR</v>
      </c>
      <c r="AK265" s="62" t="str">
        <f>VLOOKUP(X265,'Customer List'!B:D,3,)</f>
        <v>OutStation</v>
      </c>
    </row>
    <row r="266" spans="1:37" hidden="1" x14ac:dyDescent="0.25">
      <c r="A266" s="62">
        <f t="shared" si="94"/>
        <v>252</v>
      </c>
      <c r="B266" s="62" t="s">
        <v>824</v>
      </c>
      <c r="C266" s="62" t="s">
        <v>905</v>
      </c>
      <c r="D266" s="6">
        <v>46108</v>
      </c>
      <c r="E266" s="6">
        <v>46118</v>
      </c>
      <c r="F266" s="63">
        <v>151.19999999999999</v>
      </c>
      <c r="G266" s="64">
        <f t="shared" ref="G266:G329" si="96">IF(AJ266="DOLLAR",F266*88,F266)</f>
        <v>13305.599999999999</v>
      </c>
      <c r="H266" s="64">
        <f t="shared" ref="H266:H329" si="97">G266*M266</f>
        <v>13305.599999999999</v>
      </c>
      <c r="I266" s="70">
        <v>100724</v>
      </c>
      <c r="J266" s="62" t="s">
        <v>915</v>
      </c>
      <c r="K266" s="8" t="s">
        <v>916</v>
      </c>
      <c r="L266" s="10">
        <v>47679</v>
      </c>
      <c r="M266" s="62">
        <v>1</v>
      </c>
      <c r="N266" s="8">
        <v>1</v>
      </c>
      <c r="O266" s="62">
        <f t="shared" ref="O266:O329" si="98">M266-N266</f>
        <v>0</v>
      </c>
      <c r="P266" s="70">
        <v>44</v>
      </c>
      <c r="Q266" s="71">
        <v>46118</v>
      </c>
      <c r="R266" s="6">
        <v>46119</v>
      </c>
      <c r="S266" s="64">
        <v>22766.400000000001</v>
      </c>
      <c r="T266" s="22">
        <v>5</v>
      </c>
      <c r="U266" s="64">
        <f t="shared" ref="U266:U329" si="99">S266*T266%</f>
        <v>1138.3200000000002</v>
      </c>
      <c r="V266" s="22">
        <v>0</v>
      </c>
      <c r="W266" s="22">
        <v>287299</v>
      </c>
      <c r="X266" s="62" t="s">
        <v>1090</v>
      </c>
      <c r="Y266" s="62">
        <v>58163968295</v>
      </c>
      <c r="Z266" s="62" t="s">
        <v>1112</v>
      </c>
      <c r="AA266" s="65">
        <v>4</v>
      </c>
      <c r="AB266" s="66"/>
      <c r="AC266" s="1" t="s">
        <v>824</v>
      </c>
      <c r="AD266" s="62" t="str">
        <f>VLOOKUP(X266,'Customer List'!B:C,2,)</f>
        <v>Kanpur</v>
      </c>
      <c r="AE266" s="67"/>
      <c r="AF266" s="6">
        <v>46121</v>
      </c>
      <c r="AG266" s="62">
        <f t="shared" ref="AG266:AG329" si="100">IF(AF266="", "", AF266-R266)</f>
        <v>2</v>
      </c>
      <c r="AH266" s="62" t="str">
        <f t="shared" ref="AH266:AH329" si="101">IF(S266="", "", TEXT(S266, "dddd"))</f>
        <v>Monday</v>
      </c>
      <c r="AI266" s="62" t="str">
        <f t="shared" si="95"/>
        <v>Thursday</v>
      </c>
      <c r="AJ266" s="62" t="str">
        <f>VLOOKUP(AC266,'Currency Sheet'!A:C,3,)</f>
        <v>DOLLAR</v>
      </c>
      <c r="AK266" s="62" t="str">
        <f>VLOOKUP(X266,'Customer List'!B:D,3,)</f>
        <v>OutStation</v>
      </c>
    </row>
    <row r="267" spans="1:37" hidden="1" x14ac:dyDescent="0.25">
      <c r="A267" s="62">
        <f t="shared" si="94"/>
        <v>253</v>
      </c>
      <c r="B267" s="62" t="s">
        <v>824</v>
      </c>
      <c r="C267" s="62" t="s">
        <v>905</v>
      </c>
      <c r="D267" s="6">
        <v>46108</v>
      </c>
      <c r="E267" s="6">
        <v>46118</v>
      </c>
      <c r="F267" s="63">
        <v>92.4</v>
      </c>
      <c r="G267" s="64">
        <f t="shared" si="96"/>
        <v>8131.2000000000007</v>
      </c>
      <c r="H267" s="64">
        <f t="shared" si="97"/>
        <v>8131.2000000000007</v>
      </c>
      <c r="I267" s="70">
        <v>101206</v>
      </c>
      <c r="J267" s="62" t="s">
        <v>917</v>
      </c>
      <c r="K267" s="8" t="s">
        <v>918</v>
      </c>
      <c r="L267" s="10">
        <v>48355</v>
      </c>
      <c r="M267" s="62">
        <v>1</v>
      </c>
      <c r="N267" s="8">
        <v>1</v>
      </c>
      <c r="O267" s="62">
        <f t="shared" si="98"/>
        <v>0</v>
      </c>
      <c r="P267" s="70">
        <v>54</v>
      </c>
      <c r="Q267" s="71">
        <v>46121</v>
      </c>
      <c r="R267" s="6">
        <v>46121</v>
      </c>
      <c r="S267" s="64">
        <v>12474</v>
      </c>
      <c r="T267" s="22">
        <v>5</v>
      </c>
      <c r="U267" s="64">
        <f t="shared" si="99"/>
        <v>623.70000000000005</v>
      </c>
      <c r="V267" s="22">
        <v>0.3</v>
      </c>
      <c r="W267" s="22">
        <v>13098</v>
      </c>
      <c r="X267" s="62" t="s">
        <v>1092</v>
      </c>
      <c r="Y267" s="62" t="s">
        <v>896</v>
      </c>
      <c r="Z267" s="62" t="s">
        <v>821</v>
      </c>
      <c r="AA267" s="65">
        <v>4</v>
      </c>
      <c r="AB267" s="66"/>
      <c r="AC267" s="1" t="s">
        <v>824</v>
      </c>
      <c r="AD267" s="62" t="str">
        <f>VLOOKUP(X267,'Customer List'!B:C,2,)</f>
        <v>Delhi</v>
      </c>
      <c r="AE267" s="67"/>
      <c r="AF267" s="6"/>
      <c r="AG267" s="62" t="str">
        <f t="shared" si="100"/>
        <v/>
      </c>
      <c r="AH267" s="62" t="str">
        <f t="shared" si="101"/>
        <v>Saturday</v>
      </c>
      <c r="AI267" s="62" t="str">
        <f t="shared" si="95"/>
        <v/>
      </c>
      <c r="AJ267" s="62" t="str">
        <f>VLOOKUP(AC267,'Currency Sheet'!A:C,3,)</f>
        <v>DOLLAR</v>
      </c>
      <c r="AK267" s="62" t="str">
        <f>VLOOKUP(X267,'Customer List'!B:D,3,)</f>
        <v>Local</v>
      </c>
    </row>
    <row r="268" spans="1:37" hidden="1" x14ac:dyDescent="0.25">
      <c r="A268" s="62">
        <f t="shared" si="94"/>
        <v>254</v>
      </c>
      <c r="B268" s="62" t="s">
        <v>824</v>
      </c>
      <c r="C268" s="62" t="s">
        <v>905</v>
      </c>
      <c r="D268" s="6">
        <v>46108</v>
      </c>
      <c r="E268" s="6">
        <v>46118</v>
      </c>
      <c r="F268" s="63">
        <v>181.5</v>
      </c>
      <c r="G268" s="64">
        <f t="shared" si="96"/>
        <v>15972</v>
      </c>
      <c r="H268" s="64">
        <f t="shared" si="97"/>
        <v>15972</v>
      </c>
      <c r="I268" s="70">
        <v>102043</v>
      </c>
      <c r="J268" s="62" t="s">
        <v>919</v>
      </c>
      <c r="K268" s="8" t="s">
        <v>920</v>
      </c>
      <c r="L268" s="10">
        <v>47105</v>
      </c>
      <c r="M268" s="62">
        <v>1</v>
      </c>
      <c r="N268" s="8">
        <v>1</v>
      </c>
      <c r="O268" s="62">
        <f t="shared" si="98"/>
        <v>0</v>
      </c>
      <c r="P268" s="70">
        <v>26</v>
      </c>
      <c r="Q268" s="71">
        <v>46118</v>
      </c>
      <c r="R268" s="6">
        <v>46119</v>
      </c>
      <c r="S268" s="64">
        <v>25410</v>
      </c>
      <c r="T268" s="22">
        <v>5</v>
      </c>
      <c r="U268" s="64">
        <f t="shared" si="99"/>
        <v>1270.5</v>
      </c>
      <c r="V268" s="22"/>
      <c r="W268" s="22"/>
      <c r="X268" s="62" t="s">
        <v>136</v>
      </c>
      <c r="Y268" s="62">
        <v>58163970594</v>
      </c>
      <c r="Z268" s="62" t="s">
        <v>1112</v>
      </c>
      <c r="AA268" s="65">
        <v>4</v>
      </c>
      <c r="AB268" s="66"/>
      <c r="AC268" s="1" t="s">
        <v>824</v>
      </c>
      <c r="AD268" s="62" t="str">
        <f>VLOOKUP(X268,'Customer List'!B:C,2,)</f>
        <v>Kolkata</v>
      </c>
      <c r="AE268" s="67"/>
      <c r="AF268" s="6">
        <v>46120</v>
      </c>
      <c r="AG268" s="62">
        <f t="shared" si="100"/>
        <v>1</v>
      </c>
      <c r="AH268" s="62" t="str">
        <f t="shared" si="101"/>
        <v>Saturday</v>
      </c>
      <c r="AI268" s="62" t="str">
        <f t="shared" si="95"/>
        <v>Wednesday</v>
      </c>
      <c r="AJ268" s="62" t="str">
        <f>VLOOKUP(AC268,'Currency Sheet'!A:C,3,)</f>
        <v>DOLLAR</v>
      </c>
      <c r="AK268" s="62" t="str">
        <f>VLOOKUP(X268,'Customer List'!B:D,3,)</f>
        <v>OutStation</v>
      </c>
    </row>
    <row r="269" spans="1:37" hidden="1" x14ac:dyDescent="0.25">
      <c r="A269" s="62">
        <f t="shared" si="94"/>
        <v>255</v>
      </c>
      <c r="B269" s="62" t="s">
        <v>824</v>
      </c>
      <c r="C269" s="62" t="s">
        <v>905</v>
      </c>
      <c r="D269" s="6">
        <v>46108</v>
      </c>
      <c r="E269" s="6">
        <v>46118</v>
      </c>
      <c r="F269" s="63">
        <v>73.5</v>
      </c>
      <c r="G269" s="64">
        <f t="shared" si="96"/>
        <v>6468</v>
      </c>
      <c r="H269" s="64">
        <f t="shared" si="97"/>
        <v>6468</v>
      </c>
      <c r="I269" s="70">
        <v>103108</v>
      </c>
      <c r="J269" s="62" t="s">
        <v>921</v>
      </c>
      <c r="K269" s="8" t="s">
        <v>922</v>
      </c>
      <c r="L269" s="10">
        <v>48546</v>
      </c>
      <c r="M269" s="62">
        <v>1</v>
      </c>
      <c r="N269" s="8">
        <v>1</v>
      </c>
      <c r="O269" s="62">
        <f t="shared" si="98"/>
        <v>0</v>
      </c>
      <c r="P269" s="70">
        <v>29</v>
      </c>
      <c r="Q269" s="71">
        <v>46118</v>
      </c>
      <c r="R269" s="6">
        <v>46119</v>
      </c>
      <c r="S269" s="64">
        <v>12206.25</v>
      </c>
      <c r="T269" s="22">
        <v>5</v>
      </c>
      <c r="U269" s="64">
        <f t="shared" si="99"/>
        <v>610.3125</v>
      </c>
      <c r="V269" s="22">
        <v>0</v>
      </c>
      <c r="W269" s="22">
        <v>291974</v>
      </c>
      <c r="X269" s="62" t="s">
        <v>29</v>
      </c>
      <c r="Y269" s="62">
        <v>58163972801</v>
      </c>
      <c r="Z269" s="62" t="s">
        <v>1112</v>
      </c>
      <c r="AA269" s="65">
        <v>4</v>
      </c>
      <c r="AB269" s="66"/>
      <c r="AC269" s="1" t="s">
        <v>824</v>
      </c>
      <c r="AD269" s="62" t="str">
        <f>VLOOKUP(X269,'Customer List'!B:C,2,)</f>
        <v>Gujrat</v>
      </c>
      <c r="AE269" s="67"/>
      <c r="AF269" s="6">
        <v>46120</v>
      </c>
      <c r="AG269" s="62">
        <f t="shared" si="100"/>
        <v>1</v>
      </c>
      <c r="AH269" s="62" t="str">
        <f t="shared" si="101"/>
        <v>Thursday</v>
      </c>
      <c r="AI269" s="62" t="str">
        <f t="shared" si="95"/>
        <v>Wednesday</v>
      </c>
      <c r="AJ269" s="62" t="str">
        <f>VLOOKUP(AC269,'Currency Sheet'!A:C,3,)</f>
        <v>DOLLAR</v>
      </c>
      <c r="AK269" s="62" t="str">
        <f>VLOOKUP(X269,'Customer List'!B:D,3,)</f>
        <v>OutStation</v>
      </c>
    </row>
    <row r="270" spans="1:37" hidden="1" x14ac:dyDescent="0.25">
      <c r="A270" s="62">
        <f t="shared" si="94"/>
        <v>256</v>
      </c>
      <c r="B270" s="62" t="s">
        <v>824</v>
      </c>
      <c r="C270" s="62" t="s">
        <v>905</v>
      </c>
      <c r="D270" s="6">
        <v>46108</v>
      </c>
      <c r="E270" s="6">
        <v>46118</v>
      </c>
      <c r="F270" s="63">
        <v>133</v>
      </c>
      <c r="G270" s="64">
        <f t="shared" si="96"/>
        <v>11704</v>
      </c>
      <c r="H270" s="64">
        <f t="shared" si="97"/>
        <v>11704</v>
      </c>
      <c r="I270" s="70">
        <v>103114</v>
      </c>
      <c r="J270" s="62" t="s">
        <v>921</v>
      </c>
      <c r="K270" s="8" t="s">
        <v>923</v>
      </c>
      <c r="L270" s="10">
        <v>47310</v>
      </c>
      <c r="M270" s="62">
        <v>1</v>
      </c>
      <c r="N270" s="8">
        <v>1</v>
      </c>
      <c r="O270" s="62">
        <f t="shared" si="98"/>
        <v>0</v>
      </c>
      <c r="P270" s="70">
        <v>29</v>
      </c>
      <c r="Q270" s="71">
        <v>46118</v>
      </c>
      <c r="R270" s="6">
        <v>46119</v>
      </c>
      <c r="S270" s="64">
        <v>22087.5</v>
      </c>
      <c r="T270" s="22">
        <v>5</v>
      </c>
      <c r="U270" s="64">
        <f t="shared" si="99"/>
        <v>1104.375</v>
      </c>
      <c r="V270" s="22">
        <v>0</v>
      </c>
      <c r="W270" s="22">
        <v>291974</v>
      </c>
      <c r="X270" s="62" t="s">
        <v>29</v>
      </c>
      <c r="Y270" s="62">
        <v>58163972801</v>
      </c>
      <c r="Z270" s="62" t="s">
        <v>1112</v>
      </c>
      <c r="AA270" s="65">
        <v>4</v>
      </c>
      <c r="AB270" s="66"/>
      <c r="AC270" s="1" t="s">
        <v>824</v>
      </c>
      <c r="AD270" s="62" t="str">
        <f>VLOOKUP(X270,'Customer List'!B:C,2,)</f>
        <v>Gujrat</v>
      </c>
      <c r="AE270" s="67"/>
      <c r="AF270" s="6">
        <v>46120</v>
      </c>
      <c r="AG270" s="62">
        <f t="shared" si="100"/>
        <v>1</v>
      </c>
      <c r="AH270" s="62" t="str">
        <f t="shared" si="101"/>
        <v>Monday</v>
      </c>
      <c r="AI270" s="62" t="str">
        <f t="shared" si="95"/>
        <v>Wednesday</v>
      </c>
      <c r="AJ270" s="62" t="str">
        <f>VLOOKUP(AC270,'Currency Sheet'!A:C,3,)</f>
        <v>DOLLAR</v>
      </c>
      <c r="AK270" s="62" t="str">
        <f>VLOOKUP(X270,'Customer List'!B:D,3,)</f>
        <v>OutStation</v>
      </c>
    </row>
    <row r="271" spans="1:37" hidden="1" x14ac:dyDescent="0.25">
      <c r="A271" s="62">
        <f t="shared" si="94"/>
        <v>257</v>
      </c>
      <c r="B271" s="62" t="s">
        <v>824</v>
      </c>
      <c r="C271" s="62" t="s">
        <v>905</v>
      </c>
      <c r="D271" s="6">
        <v>46108</v>
      </c>
      <c r="E271" s="6">
        <v>46118</v>
      </c>
      <c r="F271" s="63">
        <v>205.1</v>
      </c>
      <c r="G271" s="64">
        <f t="shared" si="96"/>
        <v>18048.8</v>
      </c>
      <c r="H271" s="64">
        <f t="shared" si="97"/>
        <v>18048.8</v>
      </c>
      <c r="I271" s="70">
        <v>104508</v>
      </c>
      <c r="J271" s="62" t="s">
        <v>924</v>
      </c>
      <c r="K271" s="8" t="s">
        <v>925</v>
      </c>
      <c r="L271" s="10">
        <v>47659</v>
      </c>
      <c r="M271" s="62">
        <v>1</v>
      </c>
      <c r="N271" s="8">
        <v>1</v>
      </c>
      <c r="O271" s="62">
        <f t="shared" si="98"/>
        <v>0</v>
      </c>
      <c r="P271" s="70">
        <v>29</v>
      </c>
      <c r="Q271" s="71">
        <v>46118</v>
      </c>
      <c r="R271" s="6">
        <v>46119</v>
      </c>
      <c r="S271" s="64">
        <v>34061.25</v>
      </c>
      <c r="T271" s="22">
        <v>5</v>
      </c>
      <c r="U271" s="64">
        <f t="shared" si="99"/>
        <v>1703.0625</v>
      </c>
      <c r="V271" s="22">
        <v>0</v>
      </c>
      <c r="W271" s="22">
        <v>291974</v>
      </c>
      <c r="X271" s="62" t="s">
        <v>29</v>
      </c>
      <c r="Y271" s="62">
        <v>58163972801</v>
      </c>
      <c r="Z271" s="62" t="s">
        <v>1112</v>
      </c>
      <c r="AA271" s="65">
        <v>4</v>
      </c>
      <c r="AB271" s="66"/>
      <c r="AC271" s="1" t="s">
        <v>824</v>
      </c>
      <c r="AD271" s="62" t="str">
        <f>VLOOKUP(X271,'Customer List'!B:C,2,)</f>
        <v>Gujrat</v>
      </c>
      <c r="AE271" s="67"/>
      <c r="AF271" s="6">
        <v>46120</v>
      </c>
      <c r="AG271" s="62">
        <f t="shared" si="100"/>
        <v>1</v>
      </c>
      <c r="AH271" s="62" t="str">
        <f t="shared" si="101"/>
        <v>Friday</v>
      </c>
      <c r="AI271" s="62" t="str">
        <f t="shared" si="95"/>
        <v>Wednesday</v>
      </c>
      <c r="AJ271" s="62" t="str">
        <f>VLOOKUP(AC271,'Currency Sheet'!A:C,3,)</f>
        <v>DOLLAR</v>
      </c>
      <c r="AK271" s="62" t="str">
        <f>VLOOKUP(X271,'Customer List'!B:D,3,)</f>
        <v>OutStation</v>
      </c>
    </row>
    <row r="272" spans="1:37" hidden="1" x14ac:dyDescent="0.25">
      <c r="A272" s="62">
        <f t="shared" si="94"/>
        <v>258</v>
      </c>
      <c r="B272" s="62" t="s">
        <v>824</v>
      </c>
      <c r="C272" s="62" t="s">
        <v>905</v>
      </c>
      <c r="D272" s="6">
        <v>46108</v>
      </c>
      <c r="E272" s="6">
        <v>46118</v>
      </c>
      <c r="F272" s="63">
        <v>78.400000000000006</v>
      </c>
      <c r="G272" s="64">
        <f t="shared" si="96"/>
        <v>6899.2000000000007</v>
      </c>
      <c r="H272" s="64">
        <f t="shared" si="97"/>
        <v>6899.2000000000007</v>
      </c>
      <c r="I272" s="70">
        <v>117601</v>
      </c>
      <c r="J272" s="62" t="s">
        <v>926</v>
      </c>
      <c r="K272" s="8" t="s">
        <v>927</v>
      </c>
      <c r="L272" s="10">
        <v>48024</v>
      </c>
      <c r="M272" s="62">
        <v>1</v>
      </c>
      <c r="N272" s="8">
        <v>1</v>
      </c>
      <c r="O272" s="62">
        <f t="shared" si="98"/>
        <v>0</v>
      </c>
      <c r="P272" s="70">
        <v>13</v>
      </c>
      <c r="Q272" s="71">
        <v>46118</v>
      </c>
      <c r="R272" s="6">
        <v>46118</v>
      </c>
      <c r="S272" s="64">
        <v>10976</v>
      </c>
      <c r="T272" s="22">
        <v>5</v>
      </c>
      <c r="U272" s="64">
        <f t="shared" si="99"/>
        <v>548.80000000000007</v>
      </c>
      <c r="V272" s="22">
        <v>0.2</v>
      </c>
      <c r="W272" s="22">
        <v>11525</v>
      </c>
      <c r="X272" s="62" t="s">
        <v>20</v>
      </c>
      <c r="Y272" s="62" t="s">
        <v>1105</v>
      </c>
      <c r="Z272" s="62" t="s">
        <v>1105</v>
      </c>
      <c r="AA272" s="65">
        <v>4</v>
      </c>
      <c r="AB272" s="66"/>
      <c r="AC272" s="1" t="s">
        <v>824</v>
      </c>
      <c r="AD272" s="62" t="str">
        <f>VLOOKUP(X272,'Customer List'!B:C,2,)</f>
        <v>Delhi</v>
      </c>
      <c r="AE272" s="67"/>
      <c r="AF272" s="6"/>
      <c r="AG272" s="62" t="str">
        <f t="shared" si="100"/>
        <v/>
      </c>
      <c r="AH272" s="62" t="str">
        <f t="shared" si="101"/>
        <v>Saturday</v>
      </c>
      <c r="AI272" s="62" t="str">
        <f t="shared" si="95"/>
        <v/>
      </c>
      <c r="AJ272" s="62" t="str">
        <f>VLOOKUP(AC272,'Currency Sheet'!A:C,3,)</f>
        <v>DOLLAR</v>
      </c>
      <c r="AK272" s="62" t="str">
        <f>VLOOKUP(X272,'Customer List'!B:D,3,)</f>
        <v>Local</v>
      </c>
    </row>
    <row r="273" spans="1:37" hidden="1" x14ac:dyDescent="0.25">
      <c r="A273" s="62">
        <f t="shared" si="94"/>
        <v>259</v>
      </c>
      <c r="B273" s="62" t="s">
        <v>824</v>
      </c>
      <c r="C273" s="62" t="s">
        <v>905</v>
      </c>
      <c r="D273" s="6">
        <v>46108</v>
      </c>
      <c r="E273" s="6">
        <v>46118</v>
      </c>
      <c r="F273" s="63">
        <v>61.6</v>
      </c>
      <c r="G273" s="64">
        <f t="shared" si="96"/>
        <v>5420.8</v>
      </c>
      <c r="H273" s="64">
        <f t="shared" si="97"/>
        <v>5420.8</v>
      </c>
      <c r="I273" s="70">
        <v>125207</v>
      </c>
      <c r="J273" s="62" t="s">
        <v>928</v>
      </c>
      <c r="K273" s="8" t="s">
        <v>929</v>
      </c>
      <c r="L273" s="10">
        <v>46909</v>
      </c>
      <c r="M273" s="62">
        <v>1</v>
      </c>
      <c r="N273" s="8">
        <v>1</v>
      </c>
      <c r="O273" s="62">
        <f t="shared" si="98"/>
        <v>0</v>
      </c>
      <c r="P273" s="70">
        <v>44</v>
      </c>
      <c r="Q273" s="71">
        <v>46118</v>
      </c>
      <c r="R273" s="6">
        <v>46119</v>
      </c>
      <c r="S273" s="64">
        <v>9275.2000000000007</v>
      </c>
      <c r="T273" s="22">
        <v>5</v>
      </c>
      <c r="U273" s="64">
        <f t="shared" si="99"/>
        <v>463.76000000000005</v>
      </c>
      <c r="V273" s="22">
        <v>0</v>
      </c>
      <c r="W273" s="22">
        <v>287299</v>
      </c>
      <c r="X273" s="62" t="s">
        <v>1090</v>
      </c>
      <c r="Y273" s="62">
        <v>58163968295</v>
      </c>
      <c r="Z273" s="62" t="s">
        <v>1112</v>
      </c>
      <c r="AA273" s="65">
        <v>4</v>
      </c>
      <c r="AB273" s="66"/>
      <c r="AC273" s="1" t="s">
        <v>824</v>
      </c>
      <c r="AD273" s="62" t="str">
        <f>VLOOKUP(X273,'Customer List'!B:C,2,)</f>
        <v>Kanpur</v>
      </c>
      <c r="AE273" s="67"/>
      <c r="AF273" s="6">
        <v>46121</v>
      </c>
      <c r="AG273" s="62">
        <f t="shared" si="100"/>
        <v>2</v>
      </c>
      <c r="AH273" s="62" t="str">
        <f t="shared" si="101"/>
        <v>Saturday</v>
      </c>
      <c r="AI273" s="62" t="str">
        <f t="shared" si="95"/>
        <v>Thursday</v>
      </c>
      <c r="AJ273" s="62" t="str">
        <f>VLOOKUP(AC273,'Currency Sheet'!A:C,3,)</f>
        <v>DOLLAR</v>
      </c>
      <c r="AK273" s="62" t="str">
        <f>VLOOKUP(X273,'Customer List'!B:D,3,)</f>
        <v>OutStation</v>
      </c>
    </row>
    <row r="274" spans="1:37" hidden="1" x14ac:dyDescent="0.25">
      <c r="A274" s="62">
        <f t="shared" si="94"/>
        <v>260</v>
      </c>
      <c r="B274" s="62" t="s">
        <v>824</v>
      </c>
      <c r="C274" s="62" t="s">
        <v>905</v>
      </c>
      <c r="D274" s="6">
        <v>46108</v>
      </c>
      <c r="E274" s="6">
        <v>46118</v>
      </c>
      <c r="F274" s="63">
        <v>86.8</v>
      </c>
      <c r="G274" s="64">
        <f t="shared" si="96"/>
        <v>7638.4</v>
      </c>
      <c r="H274" s="64">
        <f t="shared" si="97"/>
        <v>7638.4</v>
      </c>
      <c r="I274" s="70">
        <v>126621</v>
      </c>
      <c r="J274" s="62" t="s">
        <v>930</v>
      </c>
      <c r="K274" s="8" t="s">
        <v>931</v>
      </c>
      <c r="L274" s="10">
        <v>47441</v>
      </c>
      <c r="M274" s="62">
        <v>1</v>
      </c>
      <c r="N274" s="8">
        <v>1</v>
      </c>
      <c r="O274" s="62">
        <f t="shared" si="98"/>
        <v>0</v>
      </c>
      <c r="P274" s="70">
        <v>34</v>
      </c>
      <c r="Q274" s="71">
        <v>46118</v>
      </c>
      <c r="R274" s="6">
        <v>46119</v>
      </c>
      <c r="S274" s="64">
        <v>14415</v>
      </c>
      <c r="T274" s="22">
        <v>5</v>
      </c>
      <c r="U274" s="64">
        <f t="shared" si="99"/>
        <v>720.75</v>
      </c>
      <c r="V274" s="22"/>
      <c r="W274" s="22"/>
      <c r="X274" s="62" t="s">
        <v>1091</v>
      </c>
      <c r="Y274" s="62">
        <v>58163969290</v>
      </c>
      <c r="Z274" s="62" t="s">
        <v>1112</v>
      </c>
      <c r="AA274" s="65">
        <v>4</v>
      </c>
      <c r="AB274" s="66"/>
      <c r="AC274" s="1" t="s">
        <v>824</v>
      </c>
      <c r="AD274" s="62" t="str">
        <f>VLOOKUP(X274,'Customer List'!B:C,2,)</f>
        <v>THIRUVANANTPURAM</v>
      </c>
      <c r="AE274" s="67"/>
      <c r="AF274" s="6">
        <v>46122</v>
      </c>
      <c r="AG274" s="62">
        <f t="shared" si="100"/>
        <v>3</v>
      </c>
      <c r="AH274" s="62" t="str">
        <f t="shared" si="101"/>
        <v>Monday</v>
      </c>
      <c r="AI274" s="62" t="str">
        <f t="shared" si="95"/>
        <v>Friday</v>
      </c>
      <c r="AJ274" s="62" t="str">
        <f>VLOOKUP(AC274,'Currency Sheet'!A:C,3,)</f>
        <v>DOLLAR</v>
      </c>
      <c r="AK274" s="62" t="str">
        <f>VLOOKUP(X274,'Customer List'!B:D,3,)</f>
        <v>OutStation</v>
      </c>
    </row>
    <row r="275" spans="1:37" hidden="1" x14ac:dyDescent="0.25">
      <c r="A275" s="62">
        <f t="shared" si="94"/>
        <v>261</v>
      </c>
      <c r="B275" s="62" t="s">
        <v>824</v>
      </c>
      <c r="C275" s="62" t="s">
        <v>905</v>
      </c>
      <c r="D275" s="6">
        <v>46108</v>
      </c>
      <c r="E275" s="6">
        <v>46118</v>
      </c>
      <c r="F275" s="63">
        <v>102.9</v>
      </c>
      <c r="G275" s="64">
        <f t="shared" si="96"/>
        <v>9055.2000000000007</v>
      </c>
      <c r="H275" s="64">
        <f t="shared" si="97"/>
        <v>9055.2000000000007</v>
      </c>
      <c r="I275" s="70">
        <v>134013</v>
      </c>
      <c r="J275" s="62" t="s">
        <v>932</v>
      </c>
      <c r="K275" s="8" t="s">
        <v>933</v>
      </c>
      <c r="L275" s="10">
        <v>46862</v>
      </c>
      <c r="M275" s="62">
        <v>1</v>
      </c>
      <c r="N275" s="8">
        <v>1</v>
      </c>
      <c r="O275" s="62">
        <f t="shared" si="98"/>
        <v>0</v>
      </c>
      <c r="P275" s="70">
        <v>44</v>
      </c>
      <c r="Q275" s="71">
        <v>46118</v>
      </c>
      <c r="R275" s="6">
        <v>46119</v>
      </c>
      <c r="S275" s="64">
        <v>15493.8</v>
      </c>
      <c r="T275" s="22">
        <v>5</v>
      </c>
      <c r="U275" s="64">
        <f t="shared" si="99"/>
        <v>774.69</v>
      </c>
      <c r="V275" s="22">
        <v>0</v>
      </c>
      <c r="W275" s="22">
        <v>287299</v>
      </c>
      <c r="X275" s="62" t="s">
        <v>1090</v>
      </c>
      <c r="Y275" s="62">
        <v>58163968295</v>
      </c>
      <c r="Z275" s="62" t="s">
        <v>1112</v>
      </c>
      <c r="AA275" s="65">
        <v>4</v>
      </c>
      <c r="AB275" s="66"/>
      <c r="AC275" s="1" t="s">
        <v>824</v>
      </c>
      <c r="AD275" s="62" t="str">
        <f>VLOOKUP(X275,'Customer List'!B:C,2,)</f>
        <v>Kanpur</v>
      </c>
      <c r="AE275" s="67"/>
      <c r="AF275" s="6">
        <v>46121</v>
      </c>
      <c r="AG275" s="62">
        <f t="shared" si="100"/>
        <v>2</v>
      </c>
      <c r="AH275" s="62" t="str">
        <f t="shared" si="101"/>
        <v>Monday</v>
      </c>
      <c r="AI275" s="62" t="str">
        <f t="shared" si="95"/>
        <v>Thursday</v>
      </c>
      <c r="AJ275" s="62" t="str">
        <f>VLOOKUP(AC275,'Currency Sheet'!A:C,3,)</f>
        <v>DOLLAR</v>
      </c>
      <c r="AK275" s="62" t="str">
        <f>VLOOKUP(X275,'Customer List'!B:D,3,)</f>
        <v>OutStation</v>
      </c>
    </row>
    <row r="276" spans="1:37" hidden="1" x14ac:dyDescent="0.25">
      <c r="A276" s="62">
        <f t="shared" si="94"/>
        <v>262</v>
      </c>
      <c r="B276" s="62" t="s">
        <v>824</v>
      </c>
      <c r="C276" s="62" t="s">
        <v>905</v>
      </c>
      <c r="D276" s="6">
        <v>46108</v>
      </c>
      <c r="E276" s="6">
        <v>46118</v>
      </c>
      <c r="F276" s="63">
        <v>90.3</v>
      </c>
      <c r="G276" s="64">
        <f t="shared" si="96"/>
        <v>7946.4</v>
      </c>
      <c r="H276" s="64">
        <f t="shared" si="97"/>
        <v>7946.4</v>
      </c>
      <c r="I276" s="70">
        <v>135215</v>
      </c>
      <c r="J276" s="62" t="s">
        <v>934</v>
      </c>
      <c r="K276" s="8" t="s">
        <v>935</v>
      </c>
      <c r="L276" s="10">
        <v>47371</v>
      </c>
      <c r="M276" s="62">
        <v>1</v>
      </c>
      <c r="N276" s="8">
        <v>1</v>
      </c>
      <c r="O276" s="62">
        <f t="shared" si="98"/>
        <v>0</v>
      </c>
      <c r="P276" s="70">
        <v>44</v>
      </c>
      <c r="Q276" s="71">
        <v>46118</v>
      </c>
      <c r="R276" s="6">
        <v>46119</v>
      </c>
      <c r="S276" s="64">
        <v>13596.6</v>
      </c>
      <c r="T276" s="22">
        <v>5</v>
      </c>
      <c r="U276" s="64">
        <f t="shared" si="99"/>
        <v>679.83</v>
      </c>
      <c r="V276" s="22">
        <v>0</v>
      </c>
      <c r="W276" s="22">
        <v>287299</v>
      </c>
      <c r="X276" s="62" t="s">
        <v>1090</v>
      </c>
      <c r="Y276" s="62">
        <v>58163968295</v>
      </c>
      <c r="Z276" s="62" t="s">
        <v>1112</v>
      </c>
      <c r="AA276" s="65">
        <v>4</v>
      </c>
      <c r="AB276" s="66"/>
      <c r="AC276" s="1" t="s">
        <v>824</v>
      </c>
      <c r="AD276" s="62" t="str">
        <f>VLOOKUP(X276,'Customer List'!B:C,2,)</f>
        <v>Kanpur</v>
      </c>
      <c r="AE276" s="67"/>
      <c r="AF276" s="6">
        <v>46121</v>
      </c>
      <c r="AG276" s="62">
        <f t="shared" si="100"/>
        <v>2</v>
      </c>
      <c r="AH276" s="62" t="str">
        <f t="shared" si="101"/>
        <v>Monday</v>
      </c>
      <c r="AI276" s="62" t="str">
        <f t="shared" si="95"/>
        <v>Thursday</v>
      </c>
      <c r="AJ276" s="62" t="str">
        <f>VLOOKUP(AC276,'Currency Sheet'!A:C,3,)</f>
        <v>DOLLAR</v>
      </c>
      <c r="AK276" s="62" t="str">
        <f>VLOOKUP(X276,'Customer List'!B:D,3,)</f>
        <v>OutStation</v>
      </c>
    </row>
    <row r="277" spans="1:37" hidden="1" x14ac:dyDescent="0.25">
      <c r="A277" s="62">
        <f t="shared" si="94"/>
        <v>263</v>
      </c>
      <c r="B277" s="62" t="s">
        <v>824</v>
      </c>
      <c r="C277" s="62" t="s">
        <v>905</v>
      </c>
      <c r="D277" s="6">
        <v>46108</v>
      </c>
      <c r="E277" s="6">
        <v>46118</v>
      </c>
      <c r="F277" s="63">
        <v>135.80000000000001</v>
      </c>
      <c r="G277" s="64">
        <f t="shared" si="96"/>
        <v>11950.400000000001</v>
      </c>
      <c r="H277" s="64">
        <f t="shared" si="97"/>
        <v>11950.400000000001</v>
      </c>
      <c r="I277" s="70">
        <v>141402</v>
      </c>
      <c r="J277" s="62" t="s">
        <v>936</v>
      </c>
      <c r="K277" s="8" t="s">
        <v>937</v>
      </c>
      <c r="L277" s="10">
        <v>47066</v>
      </c>
      <c r="M277" s="62">
        <v>1</v>
      </c>
      <c r="N277" s="8">
        <v>1</v>
      </c>
      <c r="O277" s="62">
        <f t="shared" si="98"/>
        <v>0</v>
      </c>
      <c r="P277" s="70">
        <v>39</v>
      </c>
      <c r="Q277" s="71">
        <v>46118</v>
      </c>
      <c r="R277" s="6">
        <v>46119</v>
      </c>
      <c r="S277" s="64">
        <v>21951.1</v>
      </c>
      <c r="T277" s="22">
        <v>5</v>
      </c>
      <c r="U277" s="64">
        <f t="shared" si="99"/>
        <v>1097.5550000000001</v>
      </c>
      <c r="V277" s="22">
        <v>0.34</v>
      </c>
      <c r="W277" s="22">
        <v>24939</v>
      </c>
      <c r="X277" s="62" t="s">
        <v>1093</v>
      </c>
      <c r="Y277" s="62">
        <v>58163970900</v>
      </c>
      <c r="Z277" s="62" t="s">
        <v>1112</v>
      </c>
      <c r="AA277" s="65">
        <v>4</v>
      </c>
      <c r="AB277" s="66" t="s">
        <v>1142</v>
      </c>
      <c r="AC277" s="1" t="s">
        <v>824</v>
      </c>
      <c r="AD277" s="62" t="str">
        <f>VLOOKUP(X277,'Customer List'!B:C,2,)</f>
        <v>Mumbai</v>
      </c>
      <c r="AE277" s="67"/>
      <c r="AF277" s="6">
        <v>46120</v>
      </c>
      <c r="AG277" s="62">
        <f t="shared" si="100"/>
        <v>1</v>
      </c>
      <c r="AH277" s="62" t="str">
        <f t="shared" si="101"/>
        <v>Friday</v>
      </c>
      <c r="AI277" s="62" t="str">
        <f t="shared" si="95"/>
        <v>Wednesday</v>
      </c>
      <c r="AJ277" s="62" t="str">
        <f>VLOOKUP(AC277,'Currency Sheet'!A:C,3,)</f>
        <v>DOLLAR</v>
      </c>
      <c r="AK277" s="62" t="str">
        <f>VLOOKUP(X277,'Customer List'!B:D,3,)</f>
        <v>OutStation</v>
      </c>
    </row>
    <row r="278" spans="1:37" hidden="1" x14ac:dyDescent="0.25">
      <c r="A278" s="62">
        <f t="shared" si="94"/>
        <v>264</v>
      </c>
      <c r="B278" s="62" t="s">
        <v>824</v>
      </c>
      <c r="C278" s="62" t="s">
        <v>905</v>
      </c>
      <c r="D278" s="6">
        <v>46108</v>
      </c>
      <c r="E278" s="6">
        <v>46118</v>
      </c>
      <c r="F278" s="63">
        <v>79.099999999999994</v>
      </c>
      <c r="G278" s="64">
        <f t="shared" si="96"/>
        <v>6960.7999999999993</v>
      </c>
      <c r="H278" s="64">
        <f t="shared" si="97"/>
        <v>6960.7999999999993</v>
      </c>
      <c r="I278" s="70">
        <v>141605</v>
      </c>
      <c r="J278" s="62" t="s">
        <v>938</v>
      </c>
      <c r="K278" s="8" t="s">
        <v>939</v>
      </c>
      <c r="L278" s="10">
        <v>47723</v>
      </c>
      <c r="M278" s="62">
        <v>1</v>
      </c>
      <c r="N278" s="8">
        <v>1</v>
      </c>
      <c r="O278" s="62">
        <f t="shared" si="98"/>
        <v>0</v>
      </c>
      <c r="P278" s="70">
        <v>44</v>
      </c>
      <c r="Q278" s="71">
        <v>46118</v>
      </c>
      <c r="R278" s="6">
        <v>46119</v>
      </c>
      <c r="S278" s="64">
        <v>11910.2</v>
      </c>
      <c r="T278" s="22">
        <v>5</v>
      </c>
      <c r="U278" s="64">
        <f t="shared" si="99"/>
        <v>595.5100000000001</v>
      </c>
      <c r="V278" s="22">
        <v>0</v>
      </c>
      <c r="W278" s="22">
        <v>287299</v>
      </c>
      <c r="X278" s="62" t="s">
        <v>1090</v>
      </c>
      <c r="Y278" s="62">
        <v>58163968295</v>
      </c>
      <c r="Z278" s="62" t="s">
        <v>1112</v>
      </c>
      <c r="AA278" s="65">
        <v>4</v>
      </c>
      <c r="AB278" s="66"/>
      <c r="AC278" s="1" t="s">
        <v>824</v>
      </c>
      <c r="AD278" s="62" t="str">
        <f>VLOOKUP(X278,'Customer List'!B:C,2,)</f>
        <v>Kanpur</v>
      </c>
      <c r="AE278" s="67"/>
      <c r="AF278" s="6">
        <v>46121</v>
      </c>
      <c r="AG278" s="62">
        <f t="shared" si="100"/>
        <v>2</v>
      </c>
      <c r="AH278" s="62" t="str">
        <f t="shared" si="101"/>
        <v>Tuesday</v>
      </c>
      <c r="AI278" s="62" t="str">
        <f t="shared" si="95"/>
        <v>Thursday</v>
      </c>
      <c r="AJ278" s="62" t="str">
        <f>VLOOKUP(AC278,'Currency Sheet'!A:C,3,)</f>
        <v>DOLLAR</v>
      </c>
      <c r="AK278" s="62" t="str">
        <f>VLOOKUP(X278,'Customer List'!B:D,3,)</f>
        <v>OutStation</v>
      </c>
    </row>
    <row r="279" spans="1:37" hidden="1" x14ac:dyDescent="0.25">
      <c r="A279" s="62">
        <f t="shared" si="94"/>
        <v>265</v>
      </c>
      <c r="B279" s="62" t="s">
        <v>824</v>
      </c>
      <c r="C279" s="62" t="s">
        <v>905</v>
      </c>
      <c r="D279" s="6">
        <v>46108</v>
      </c>
      <c r="E279" s="6">
        <v>46118</v>
      </c>
      <c r="F279" s="63">
        <v>86.8</v>
      </c>
      <c r="G279" s="64">
        <f t="shared" si="96"/>
        <v>7638.4</v>
      </c>
      <c r="H279" s="64">
        <f t="shared" si="97"/>
        <v>7638.4</v>
      </c>
      <c r="I279" s="70">
        <v>147307</v>
      </c>
      <c r="J279" s="62" t="s">
        <v>940</v>
      </c>
      <c r="K279" s="8" t="s">
        <v>941</v>
      </c>
      <c r="L279" s="10">
        <v>46905</v>
      </c>
      <c r="M279" s="62">
        <v>1</v>
      </c>
      <c r="N279" s="8">
        <v>1</v>
      </c>
      <c r="O279" s="62">
        <f t="shared" si="98"/>
        <v>0</v>
      </c>
      <c r="P279" s="70">
        <v>26</v>
      </c>
      <c r="Q279" s="71">
        <v>46118</v>
      </c>
      <c r="R279" s="6">
        <v>46119</v>
      </c>
      <c r="S279" s="64">
        <v>13020</v>
      </c>
      <c r="T279" s="22">
        <v>5</v>
      </c>
      <c r="U279" s="64">
        <f t="shared" si="99"/>
        <v>651</v>
      </c>
      <c r="V279" s="22"/>
      <c r="W279" s="22"/>
      <c r="X279" s="62" t="s">
        <v>136</v>
      </c>
      <c r="Y279" s="62">
        <v>58163970594</v>
      </c>
      <c r="Z279" s="62" t="s">
        <v>1112</v>
      </c>
      <c r="AA279" s="65">
        <v>4</v>
      </c>
      <c r="AB279" s="66"/>
      <c r="AC279" s="1" t="s">
        <v>824</v>
      </c>
      <c r="AD279" s="62" t="str">
        <f>VLOOKUP(X279,'Customer List'!B:C,2,)</f>
        <v>Kolkata</v>
      </c>
      <c r="AE279" s="67"/>
      <c r="AF279" s="6">
        <v>46120</v>
      </c>
      <c r="AG279" s="62">
        <f t="shared" si="100"/>
        <v>1</v>
      </c>
      <c r="AH279" s="62" t="str">
        <f t="shared" si="101"/>
        <v>Saturday</v>
      </c>
      <c r="AI279" s="62" t="str">
        <f t="shared" si="95"/>
        <v>Wednesday</v>
      </c>
      <c r="AJ279" s="62" t="str">
        <f>VLOOKUP(AC279,'Currency Sheet'!A:C,3,)</f>
        <v>DOLLAR</v>
      </c>
      <c r="AK279" s="62" t="str">
        <f>VLOOKUP(X279,'Customer List'!B:D,3,)</f>
        <v>OutStation</v>
      </c>
    </row>
    <row r="280" spans="1:37" hidden="1" x14ac:dyDescent="0.25">
      <c r="A280" s="62">
        <f t="shared" si="94"/>
        <v>266</v>
      </c>
      <c r="B280" s="62" t="s">
        <v>824</v>
      </c>
      <c r="C280" s="62" t="s">
        <v>905</v>
      </c>
      <c r="D280" s="6">
        <v>46108</v>
      </c>
      <c r="E280" s="6">
        <v>46118</v>
      </c>
      <c r="F280" s="63">
        <v>78.400000000000006</v>
      </c>
      <c r="G280" s="64">
        <f t="shared" si="96"/>
        <v>6899.2000000000007</v>
      </c>
      <c r="H280" s="64">
        <f t="shared" si="97"/>
        <v>6899.2000000000007</v>
      </c>
      <c r="I280" s="70">
        <v>157609</v>
      </c>
      <c r="J280" s="62" t="s">
        <v>942</v>
      </c>
      <c r="K280" s="8" t="s">
        <v>943</v>
      </c>
      <c r="L280" s="10">
        <v>46482</v>
      </c>
      <c r="M280" s="62">
        <v>1</v>
      </c>
      <c r="N280" s="8">
        <v>1</v>
      </c>
      <c r="O280" s="62">
        <f t="shared" si="98"/>
        <v>0</v>
      </c>
      <c r="P280" s="70">
        <v>34</v>
      </c>
      <c r="Q280" s="71">
        <v>46118</v>
      </c>
      <c r="R280" s="6">
        <v>46119</v>
      </c>
      <c r="S280" s="64">
        <v>13020</v>
      </c>
      <c r="T280" s="22">
        <v>5</v>
      </c>
      <c r="U280" s="64">
        <f t="shared" si="99"/>
        <v>651</v>
      </c>
      <c r="V280" s="22"/>
      <c r="W280" s="22"/>
      <c r="X280" s="62" t="s">
        <v>1091</v>
      </c>
      <c r="Y280" s="62">
        <v>58163969290</v>
      </c>
      <c r="Z280" s="62" t="s">
        <v>1112</v>
      </c>
      <c r="AA280" s="65">
        <v>4</v>
      </c>
      <c r="AB280" s="66"/>
      <c r="AC280" s="1" t="s">
        <v>824</v>
      </c>
      <c r="AD280" s="62" t="str">
        <f>VLOOKUP(X280,'Customer List'!B:C,2,)</f>
        <v>THIRUVANANTPURAM</v>
      </c>
      <c r="AE280" s="67"/>
      <c r="AF280" s="6">
        <v>46122</v>
      </c>
      <c r="AG280" s="62">
        <f t="shared" si="100"/>
        <v>3</v>
      </c>
      <c r="AH280" s="62" t="str">
        <f t="shared" si="101"/>
        <v>Saturday</v>
      </c>
      <c r="AI280" s="62" t="str">
        <f t="shared" si="95"/>
        <v>Friday</v>
      </c>
      <c r="AJ280" s="62" t="str">
        <f>VLOOKUP(AC280,'Currency Sheet'!A:C,3,)</f>
        <v>DOLLAR</v>
      </c>
      <c r="AK280" s="62" t="str">
        <f>VLOOKUP(X280,'Customer List'!B:D,3,)</f>
        <v>OutStation</v>
      </c>
    </row>
    <row r="281" spans="1:37" ht="30" hidden="1" x14ac:dyDescent="0.25">
      <c r="A281" s="62">
        <f t="shared" si="94"/>
        <v>267</v>
      </c>
      <c r="B281" s="62" t="s">
        <v>824</v>
      </c>
      <c r="C281" s="62" t="s">
        <v>905</v>
      </c>
      <c r="D281" s="6">
        <v>46108</v>
      </c>
      <c r="E281" s="6">
        <v>46118</v>
      </c>
      <c r="F281" s="63">
        <v>242.9</v>
      </c>
      <c r="G281" s="64">
        <f t="shared" si="96"/>
        <v>21375.200000000001</v>
      </c>
      <c r="H281" s="64">
        <f t="shared" si="97"/>
        <v>21375.200000000001</v>
      </c>
      <c r="I281" s="70">
        <v>202216</v>
      </c>
      <c r="J281" s="62" t="s">
        <v>944</v>
      </c>
      <c r="K281" s="8" t="s">
        <v>945</v>
      </c>
      <c r="L281" s="10">
        <v>47184</v>
      </c>
      <c r="M281" s="62">
        <v>1</v>
      </c>
      <c r="N281" s="8">
        <v>1</v>
      </c>
      <c r="O281" s="62">
        <f t="shared" si="98"/>
        <v>0</v>
      </c>
      <c r="P281" s="70" t="s">
        <v>1452</v>
      </c>
      <c r="Q281" s="71">
        <v>46125</v>
      </c>
      <c r="R281" s="6">
        <v>46125</v>
      </c>
      <c r="S281" s="64">
        <v>40338.75</v>
      </c>
      <c r="T281" s="22">
        <v>5</v>
      </c>
      <c r="U281" s="64">
        <f t="shared" si="99"/>
        <v>2016.9375</v>
      </c>
      <c r="V281" s="22">
        <v>-0.38</v>
      </c>
      <c r="W281" s="22">
        <v>65181</v>
      </c>
      <c r="X281" s="62" t="s">
        <v>1094</v>
      </c>
      <c r="Y281" s="62" t="s">
        <v>896</v>
      </c>
      <c r="Z281" s="62" t="s">
        <v>1116</v>
      </c>
      <c r="AA281" s="65">
        <v>4</v>
      </c>
      <c r="AB281" s="66" t="s">
        <v>1453</v>
      </c>
      <c r="AC281" s="1" t="s">
        <v>824</v>
      </c>
      <c r="AD281" s="62" t="str">
        <f>VLOOKUP(X281,'Customer List'!B:C,2,)</f>
        <v>Delhi</v>
      </c>
      <c r="AE281" s="67"/>
      <c r="AF281" s="6"/>
      <c r="AG281" s="62" t="str">
        <f t="shared" si="100"/>
        <v/>
      </c>
      <c r="AH281" s="62" t="str">
        <f t="shared" si="101"/>
        <v>Wednesday</v>
      </c>
      <c r="AI281" s="62" t="str">
        <f t="shared" si="95"/>
        <v/>
      </c>
      <c r="AJ281" s="62" t="str">
        <f>VLOOKUP(AC281,'Currency Sheet'!A:C,3,)</f>
        <v>DOLLAR</v>
      </c>
      <c r="AK281" s="62" t="str">
        <f>VLOOKUP(X281,'Customer List'!B:D,3,)</f>
        <v>Local</v>
      </c>
    </row>
    <row r="282" spans="1:37" hidden="1" x14ac:dyDescent="0.25">
      <c r="A282" s="62">
        <f t="shared" si="94"/>
        <v>268</v>
      </c>
      <c r="B282" s="62" t="s">
        <v>824</v>
      </c>
      <c r="C282" s="62" t="s">
        <v>905</v>
      </c>
      <c r="D282" s="6">
        <v>46108</v>
      </c>
      <c r="E282" s="6">
        <v>46118</v>
      </c>
      <c r="F282" s="63">
        <v>193.2</v>
      </c>
      <c r="G282" s="64">
        <f t="shared" si="96"/>
        <v>17001.599999999999</v>
      </c>
      <c r="H282" s="64">
        <f t="shared" si="97"/>
        <v>17001.599999999999</v>
      </c>
      <c r="I282" s="70">
        <v>300326</v>
      </c>
      <c r="J282" s="62" t="s">
        <v>749</v>
      </c>
      <c r="K282" s="8" t="s">
        <v>946</v>
      </c>
      <c r="L282" s="10">
        <v>46937</v>
      </c>
      <c r="M282" s="62">
        <v>1</v>
      </c>
      <c r="N282" s="8">
        <v>1</v>
      </c>
      <c r="O282" s="62">
        <f t="shared" si="98"/>
        <v>0</v>
      </c>
      <c r="P282" s="70">
        <v>27</v>
      </c>
      <c r="Q282" s="71">
        <v>46118</v>
      </c>
      <c r="R282" s="6">
        <v>46119</v>
      </c>
      <c r="S282" s="64">
        <v>29946</v>
      </c>
      <c r="T282" s="22">
        <v>5</v>
      </c>
      <c r="U282" s="64">
        <f t="shared" si="99"/>
        <v>1497.3000000000002</v>
      </c>
      <c r="V282" s="22">
        <v>-0.3</v>
      </c>
      <c r="W282" s="22">
        <v>31443</v>
      </c>
      <c r="X282" s="62" t="s">
        <v>22</v>
      </c>
      <c r="Y282" s="62">
        <v>58163970303</v>
      </c>
      <c r="Z282" s="62" t="s">
        <v>1112</v>
      </c>
      <c r="AA282" s="65">
        <v>4</v>
      </c>
      <c r="AB282" s="66"/>
      <c r="AC282" s="1" t="s">
        <v>824</v>
      </c>
      <c r="AD282" s="62" t="str">
        <f>VLOOKUP(X282,'Customer List'!B:C,2,)</f>
        <v>Gujrat</v>
      </c>
      <c r="AE282" s="67"/>
      <c r="AF282" s="6">
        <v>46121</v>
      </c>
      <c r="AG282" s="62">
        <f t="shared" si="100"/>
        <v>2</v>
      </c>
      <c r="AH282" s="62" t="str">
        <f t="shared" si="101"/>
        <v>Saturday</v>
      </c>
      <c r="AI282" s="62" t="str">
        <f t="shared" si="95"/>
        <v>Thursday</v>
      </c>
      <c r="AJ282" s="62" t="str">
        <f>VLOOKUP(AC282,'Currency Sheet'!A:C,3,)</f>
        <v>DOLLAR</v>
      </c>
      <c r="AK282" s="62" t="str">
        <f>VLOOKUP(X282,'Customer List'!B:D,3,)</f>
        <v>OutStation</v>
      </c>
    </row>
    <row r="283" spans="1:37" hidden="1" x14ac:dyDescent="0.25">
      <c r="A283" s="62">
        <f t="shared" si="94"/>
        <v>269</v>
      </c>
      <c r="B283" s="62" t="s">
        <v>824</v>
      </c>
      <c r="C283" s="62" t="s">
        <v>905</v>
      </c>
      <c r="D283" s="6">
        <v>46108</v>
      </c>
      <c r="E283" s="6">
        <v>46118</v>
      </c>
      <c r="F283" s="63">
        <v>35</v>
      </c>
      <c r="G283" s="64">
        <f t="shared" si="96"/>
        <v>3080</v>
      </c>
      <c r="H283" s="64">
        <f t="shared" si="97"/>
        <v>3080</v>
      </c>
      <c r="I283" s="70">
        <v>300406</v>
      </c>
      <c r="J283" s="62" t="s">
        <v>749</v>
      </c>
      <c r="K283" s="8" t="s">
        <v>947</v>
      </c>
      <c r="L283" s="10">
        <v>48348</v>
      </c>
      <c r="M283" s="62">
        <v>1</v>
      </c>
      <c r="N283" s="8">
        <v>1</v>
      </c>
      <c r="O283" s="62">
        <f t="shared" si="98"/>
        <v>0</v>
      </c>
      <c r="P283" s="70">
        <v>15</v>
      </c>
      <c r="Q283" s="71">
        <v>46118</v>
      </c>
      <c r="R283" s="6">
        <v>46118</v>
      </c>
      <c r="S283" s="64">
        <v>4900</v>
      </c>
      <c r="T283" s="22">
        <v>5</v>
      </c>
      <c r="U283" s="64">
        <f t="shared" si="99"/>
        <v>245</v>
      </c>
      <c r="V283" s="22">
        <v>0</v>
      </c>
      <c r="W283" s="22">
        <v>309943</v>
      </c>
      <c r="X283" s="62" t="s">
        <v>23</v>
      </c>
      <c r="Y283" s="62" t="s">
        <v>1105</v>
      </c>
      <c r="Z283" s="62" t="s">
        <v>1105</v>
      </c>
      <c r="AA283" s="65">
        <v>4</v>
      </c>
      <c r="AB283" s="66"/>
      <c r="AC283" s="1" t="s">
        <v>824</v>
      </c>
      <c r="AD283" s="62" t="str">
        <f>VLOOKUP(X283,'Customer List'!B:C,2,)</f>
        <v>Delhi</v>
      </c>
      <c r="AE283" s="67"/>
      <c r="AF283" s="6"/>
      <c r="AG283" s="62" t="str">
        <f t="shared" si="100"/>
        <v/>
      </c>
      <c r="AH283" s="62" t="str">
        <f t="shared" si="101"/>
        <v>Saturday</v>
      </c>
      <c r="AI283" s="62" t="str">
        <f t="shared" si="95"/>
        <v/>
      </c>
      <c r="AJ283" s="62" t="str">
        <f>VLOOKUP(AC283,'Currency Sheet'!A:C,3,)</f>
        <v>DOLLAR</v>
      </c>
      <c r="AK283" s="62" t="str">
        <f>VLOOKUP(X283,'Customer List'!B:D,3,)</f>
        <v>Local</v>
      </c>
    </row>
    <row r="284" spans="1:37" hidden="1" x14ac:dyDescent="0.25">
      <c r="A284" s="62">
        <f t="shared" si="94"/>
        <v>270</v>
      </c>
      <c r="B284" s="62" t="s">
        <v>824</v>
      </c>
      <c r="C284" s="62" t="s">
        <v>905</v>
      </c>
      <c r="D284" s="6">
        <v>46108</v>
      </c>
      <c r="E284" s="6">
        <v>46118</v>
      </c>
      <c r="F284" s="63">
        <v>35</v>
      </c>
      <c r="G284" s="64">
        <f t="shared" si="96"/>
        <v>3080</v>
      </c>
      <c r="H284" s="64">
        <f t="shared" si="97"/>
        <v>9240</v>
      </c>
      <c r="I284" s="70">
        <v>300406</v>
      </c>
      <c r="J284" s="62" t="s">
        <v>749</v>
      </c>
      <c r="K284" s="8" t="s">
        <v>947</v>
      </c>
      <c r="L284" s="10">
        <v>48348</v>
      </c>
      <c r="M284" s="62">
        <v>3</v>
      </c>
      <c r="N284" s="8">
        <v>3</v>
      </c>
      <c r="O284" s="62">
        <f t="shared" si="98"/>
        <v>0</v>
      </c>
      <c r="P284" s="70">
        <v>22</v>
      </c>
      <c r="Q284" s="71">
        <v>46118</v>
      </c>
      <c r="R284" s="6">
        <v>46119</v>
      </c>
      <c r="S284" s="64">
        <v>13950</v>
      </c>
      <c r="T284" s="22">
        <v>5</v>
      </c>
      <c r="U284" s="64">
        <f t="shared" si="99"/>
        <v>697.5</v>
      </c>
      <c r="V284" s="22">
        <v>-0.4</v>
      </c>
      <c r="W284" s="22">
        <v>151943</v>
      </c>
      <c r="X284" s="62" t="s">
        <v>127</v>
      </c>
      <c r="Y284" s="62">
        <v>58163972366</v>
      </c>
      <c r="Z284" s="62" t="s">
        <v>1112</v>
      </c>
      <c r="AA284" s="65">
        <v>4</v>
      </c>
      <c r="AB284" s="66"/>
      <c r="AC284" s="1" t="s">
        <v>824</v>
      </c>
      <c r="AD284" s="62" t="str">
        <f>VLOOKUP(X284,'Customer List'!B:C,2,)</f>
        <v>Banglore</v>
      </c>
      <c r="AE284" s="67"/>
      <c r="AF284" s="6">
        <v>46120</v>
      </c>
      <c r="AG284" s="62">
        <f t="shared" si="100"/>
        <v>1</v>
      </c>
      <c r="AH284" s="62" t="str">
        <f t="shared" si="101"/>
        <v>Friday</v>
      </c>
      <c r="AI284" s="62" t="str">
        <f t="shared" si="95"/>
        <v>Wednesday</v>
      </c>
      <c r="AJ284" s="62" t="str">
        <f>VLOOKUP(AC284,'Currency Sheet'!A:C,3,)</f>
        <v>DOLLAR</v>
      </c>
      <c r="AK284" s="62" t="str">
        <f>VLOOKUP(X284,'Customer List'!B:D,3,)</f>
        <v>OutStation</v>
      </c>
    </row>
    <row r="285" spans="1:37" hidden="1" x14ac:dyDescent="0.25">
      <c r="A285" s="62">
        <f t="shared" si="94"/>
        <v>271</v>
      </c>
      <c r="B285" s="62" t="s">
        <v>824</v>
      </c>
      <c r="C285" s="62" t="s">
        <v>905</v>
      </c>
      <c r="D285" s="6">
        <v>46108</v>
      </c>
      <c r="E285" s="6">
        <v>46118</v>
      </c>
      <c r="F285" s="63">
        <v>150.5</v>
      </c>
      <c r="G285" s="64">
        <f t="shared" si="96"/>
        <v>13244</v>
      </c>
      <c r="H285" s="64">
        <f t="shared" si="97"/>
        <v>13244</v>
      </c>
      <c r="I285" s="70">
        <v>301614</v>
      </c>
      <c r="J285" s="62" t="s">
        <v>948</v>
      </c>
      <c r="K285" s="8" t="s">
        <v>949</v>
      </c>
      <c r="L285" s="10">
        <v>46723</v>
      </c>
      <c r="M285" s="62">
        <v>1</v>
      </c>
      <c r="N285" s="8">
        <v>1</v>
      </c>
      <c r="O285" s="62">
        <f t="shared" si="98"/>
        <v>0</v>
      </c>
      <c r="P285" s="70">
        <v>15</v>
      </c>
      <c r="Q285" s="71">
        <v>46118</v>
      </c>
      <c r="R285" s="6">
        <v>46118</v>
      </c>
      <c r="S285" s="64">
        <v>21078</v>
      </c>
      <c r="T285" s="22">
        <v>5</v>
      </c>
      <c r="U285" s="64">
        <f t="shared" si="99"/>
        <v>1053.9000000000001</v>
      </c>
      <c r="V285" s="22">
        <v>0</v>
      </c>
      <c r="W285" s="22">
        <v>309943</v>
      </c>
      <c r="X285" s="62" t="s">
        <v>23</v>
      </c>
      <c r="Y285" s="62" t="s">
        <v>1105</v>
      </c>
      <c r="Z285" s="62" t="s">
        <v>1105</v>
      </c>
      <c r="AA285" s="65">
        <v>4</v>
      </c>
      <c r="AB285" s="66"/>
      <c r="AC285" s="1" t="s">
        <v>824</v>
      </c>
      <c r="AD285" s="62" t="str">
        <f>VLOOKUP(X285,'Customer List'!B:C,2,)</f>
        <v>Delhi</v>
      </c>
      <c r="AE285" s="67"/>
      <c r="AF285" s="6"/>
      <c r="AG285" s="62" t="str">
        <f t="shared" si="100"/>
        <v/>
      </c>
      <c r="AH285" s="62" t="str">
        <f t="shared" si="101"/>
        <v>Sunday</v>
      </c>
      <c r="AI285" s="62" t="str">
        <f t="shared" si="95"/>
        <v/>
      </c>
      <c r="AJ285" s="62" t="str">
        <f>VLOOKUP(AC285,'Currency Sheet'!A:C,3,)</f>
        <v>DOLLAR</v>
      </c>
      <c r="AK285" s="62" t="str">
        <f>VLOOKUP(X285,'Customer List'!B:D,3,)</f>
        <v>Local</v>
      </c>
    </row>
    <row r="286" spans="1:37" hidden="1" x14ac:dyDescent="0.25">
      <c r="A286" s="62">
        <f t="shared" si="94"/>
        <v>272</v>
      </c>
      <c r="B286" s="62" t="s">
        <v>824</v>
      </c>
      <c r="C286" s="62" t="s">
        <v>905</v>
      </c>
      <c r="D286" s="6">
        <v>46108</v>
      </c>
      <c r="E286" s="6">
        <v>46118</v>
      </c>
      <c r="F286" s="63">
        <v>169.4</v>
      </c>
      <c r="G286" s="64">
        <f t="shared" si="96"/>
        <v>14907.2</v>
      </c>
      <c r="H286" s="64">
        <f t="shared" si="97"/>
        <v>29814.400000000001</v>
      </c>
      <c r="I286" s="70">
        <v>302008</v>
      </c>
      <c r="J286" s="62" t="s">
        <v>750</v>
      </c>
      <c r="K286" s="8" t="s">
        <v>950</v>
      </c>
      <c r="L286" s="10">
        <v>47121</v>
      </c>
      <c r="M286" s="62">
        <v>2</v>
      </c>
      <c r="N286" s="8">
        <v>2</v>
      </c>
      <c r="O286" s="62">
        <f t="shared" si="98"/>
        <v>0</v>
      </c>
      <c r="P286" s="70">
        <v>41</v>
      </c>
      <c r="Q286" s="71">
        <v>46118</v>
      </c>
      <c r="R286" s="6">
        <v>46119</v>
      </c>
      <c r="S286" s="64">
        <v>52514</v>
      </c>
      <c r="T286" s="22">
        <v>5</v>
      </c>
      <c r="U286" s="64">
        <f t="shared" si="99"/>
        <v>2625.7000000000003</v>
      </c>
      <c r="V286" s="22">
        <v>0</v>
      </c>
      <c r="W286" s="22">
        <v>402725</v>
      </c>
      <c r="X286" s="62" t="s">
        <v>1100</v>
      </c>
      <c r="Y286" s="62">
        <v>58163971795</v>
      </c>
      <c r="Z286" s="62" t="s">
        <v>1112</v>
      </c>
      <c r="AA286" s="65">
        <v>4</v>
      </c>
      <c r="AB286" s="66"/>
      <c r="AC286" s="1" t="s">
        <v>824</v>
      </c>
      <c r="AD286" s="62" t="str">
        <f>VLOOKUP(X286,'Customer List'!B:C,2,)</f>
        <v>Banglore</v>
      </c>
      <c r="AE286" s="67"/>
      <c r="AF286" s="6"/>
      <c r="AG286" s="62" t="str">
        <f t="shared" si="100"/>
        <v/>
      </c>
      <c r="AH286" s="62" t="str">
        <f t="shared" si="101"/>
        <v>Saturday</v>
      </c>
      <c r="AI286" s="6">
        <v>46120</v>
      </c>
      <c r="AJ286" s="62" t="str">
        <f>VLOOKUP(AC286,'Currency Sheet'!A:C,3,)</f>
        <v>DOLLAR</v>
      </c>
      <c r="AK286" s="62" t="str">
        <f>VLOOKUP(X286,'Customer List'!B:D,3,)</f>
        <v>OutStation</v>
      </c>
    </row>
    <row r="287" spans="1:37" hidden="1" x14ac:dyDescent="0.25">
      <c r="A287" s="62">
        <f t="shared" si="94"/>
        <v>273</v>
      </c>
      <c r="B287" s="62" t="s">
        <v>824</v>
      </c>
      <c r="C287" s="62" t="s">
        <v>905</v>
      </c>
      <c r="D287" s="6">
        <v>46108</v>
      </c>
      <c r="E287" s="6">
        <v>46118</v>
      </c>
      <c r="F287" s="63">
        <v>304.5</v>
      </c>
      <c r="G287" s="64">
        <f t="shared" si="96"/>
        <v>26796</v>
      </c>
      <c r="H287" s="64">
        <f t="shared" si="97"/>
        <v>26796</v>
      </c>
      <c r="I287" s="70">
        <v>302040</v>
      </c>
      <c r="J287" s="62" t="s">
        <v>750</v>
      </c>
      <c r="K287" s="8" t="s">
        <v>951</v>
      </c>
      <c r="L287" s="10">
        <v>46557</v>
      </c>
      <c r="M287" s="62">
        <v>1</v>
      </c>
      <c r="N287" s="8">
        <v>1</v>
      </c>
      <c r="O287" s="62">
        <f t="shared" si="98"/>
        <v>0</v>
      </c>
      <c r="P287" s="70">
        <v>15</v>
      </c>
      <c r="Q287" s="71">
        <v>46118</v>
      </c>
      <c r="R287" s="6">
        <v>46118</v>
      </c>
      <c r="S287" s="64">
        <v>39788</v>
      </c>
      <c r="T287" s="22">
        <v>5</v>
      </c>
      <c r="U287" s="64">
        <f t="shared" si="99"/>
        <v>1989.4</v>
      </c>
      <c r="V287" s="22">
        <v>0</v>
      </c>
      <c r="W287" s="22">
        <v>309943</v>
      </c>
      <c r="X287" s="62" t="s">
        <v>23</v>
      </c>
      <c r="Y287" s="62" t="s">
        <v>1105</v>
      </c>
      <c r="Z287" s="62" t="s">
        <v>1105</v>
      </c>
      <c r="AA287" s="65">
        <v>4</v>
      </c>
      <c r="AB287" s="66"/>
      <c r="AC287" s="1" t="s">
        <v>824</v>
      </c>
      <c r="AD287" s="62" t="str">
        <f>VLOOKUP(X287,'Customer List'!B:C,2,)</f>
        <v>Delhi</v>
      </c>
      <c r="AE287" s="67"/>
      <c r="AF287" s="6"/>
      <c r="AG287" s="62" t="str">
        <f t="shared" si="100"/>
        <v/>
      </c>
      <c r="AH287" s="62" t="str">
        <f t="shared" si="101"/>
        <v>Saturday</v>
      </c>
      <c r="AI287" s="62" t="str">
        <f t="shared" ref="AI287:AI318" si="102">IF(AF287="", "", TEXT(AF287, "dddd"))</f>
        <v/>
      </c>
      <c r="AJ287" s="62" t="str">
        <f>VLOOKUP(AC287,'Currency Sheet'!A:C,3,)</f>
        <v>DOLLAR</v>
      </c>
      <c r="AK287" s="62" t="str">
        <f>VLOOKUP(X287,'Customer List'!B:D,3,)</f>
        <v>Local</v>
      </c>
    </row>
    <row r="288" spans="1:37" hidden="1" x14ac:dyDescent="0.25">
      <c r="A288" s="62">
        <f t="shared" si="94"/>
        <v>274</v>
      </c>
      <c r="B288" s="62" t="s">
        <v>824</v>
      </c>
      <c r="C288" s="62" t="s">
        <v>905</v>
      </c>
      <c r="D288" s="6">
        <v>46108</v>
      </c>
      <c r="E288" s="6">
        <v>46118</v>
      </c>
      <c r="F288" s="63">
        <v>73.5</v>
      </c>
      <c r="G288" s="64">
        <f t="shared" si="96"/>
        <v>6468</v>
      </c>
      <c r="H288" s="64">
        <f t="shared" si="97"/>
        <v>12936</v>
      </c>
      <c r="I288" s="70">
        <v>302212</v>
      </c>
      <c r="J288" s="62" t="s">
        <v>764</v>
      </c>
      <c r="K288" s="8" t="s">
        <v>952</v>
      </c>
      <c r="L288" s="10">
        <v>47821</v>
      </c>
      <c r="M288" s="62">
        <v>2</v>
      </c>
      <c r="N288" s="8">
        <v>2</v>
      </c>
      <c r="O288" s="62">
        <f t="shared" si="98"/>
        <v>0</v>
      </c>
      <c r="P288" s="70">
        <v>90</v>
      </c>
      <c r="Q288" s="71">
        <v>46127</v>
      </c>
      <c r="R288" s="6">
        <v>46127</v>
      </c>
      <c r="S288" s="64">
        <v>22785</v>
      </c>
      <c r="T288" s="22">
        <v>5</v>
      </c>
      <c r="U288" s="64">
        <f t="shared" si="99"/>
        <v>1139.25</v>
      </c>
      <c r="V288" s="22">
        <v>0.1</v>
      </c>
      <c r="W288" s="22">
        <v>57874</v>
      </c>
      <c r="X288" s="62" t="s">
        <v>1095</v>
      </c>
      <c r="Y288" s="62" t="s">
        <v>896</v>
      </c>
      <c r="Z288" s="62" t="s">
        <v>1116</v>
      </c>
      <c r="AA288" s="65">
        <v>4</v>
      </c>
      <c r="AB288" s="66"/>
      <c r="AC288" s="1" t="s">
        <v>824</v>
      </c>
      <c r="AD288" s="62" t="str">
        <f>VLOOKUP(X288,'Customer List'!B:C,2,)</f>
        <v>DELHI</v>
      </c>
      <c r="AE288" s="67"/>
      <c r="AF288" s="6"/>
      <c r="AG288" s="62" t="str">
        <f t="shared" si="100"/>
        <v/>
      </c>
      <c r="AH288" s="62" t="str">
        <f t="shared" si="101"/>
        <v>Saturday</v>
      </c>
      <c r="AI288" s="62" t="str">
        <f t="shared" si="102"/>
        <v/>
      </c>
      <c r="AJ288" s="62" t="str">
        <f>VLOOKUP(AC288,'Currency Sheet'!A:C,3,)</f>
        <v>DOLLAR</v>
      </c>
      <c r="AK288" s="62" t="str">
        <f>VLOOKUP(X288,'Customer List'!B:D,3,)</f>
        <v>Local</v>
      </c>
    </row>
    <row r="289" spans="1:37" hidden="1" x14ac:dyDescent="0.25">
      <c r="A289" s="62">
        <f t="shared" si="94"/>
        <v>275</v>
      </c>
      <c r="B289" s="62" t="s">
        <v>824</v>
      </c>
      <c r="C289" s="62" t="s">
        <v>905</v>
      </c>
      <c r="D289" s="6">
        <v>46108</v>
      </c>
      <c r="E289" s="6">
        <v>46118</v>
      </c>
      <c r="F289" s="63">
        <v>73.5</v>
      </c>
      <c r="G289" s="64">
        <f t="shared" si="96"/>
        <v>6468</v>
      </c>
      <c r="H289" s="64">
        <f t="shared" si="97"/>
        <v>6468</v>
      </c>
      <c r="I289" s="70">
        <v>302212</v>
      </c>
      <c r="J289" s="62" t="s">
        <v>764</v>
      </c>
      <c r="K289" s="8" t="s">
        <v>952</v>
      </c>
      <c r="L289" s="10">
        <v>47821</v>
      </c>
      <c r="M289" s="62">
        <v>1</v>
      </c>
      <c r="N289" s="8">
        <v>1</v>
      </c>
      <c r="O289" s="62">
        <f t="shared" si="98"/>
        <v>0</v>
      </c>
      <c r="P289" s="70">
        <v>37</v>
      </c>
      <c r="Q289" s="71">
        <v>46118</v>
      </c>
      <c r="R289" s="6">
        <v>46119</v>
      </c>
      <c r="S289" s="64">
        <v>13020</v>
      </c>
      <c r="T289" s="22">
        <v>5</v>
      </c>
      <c r="U289" s="64">
        <f t="shared" si="99"/>
        <v>651</v>
      </c>
      <c r="V289" s="22">
        <v>1800</v>
      </c>
      <c r="W289" s="22">
        <v>34310</v>
      </c>
      <c r="X289" s="62" t="s">
        <v>1089</v>
      </c>
      <c r="Y289" s="62">
        <v>58163969522</v>
      </c>
      <c r="Z289" s="62" t="s">
        <v>1112</v>
      </c>
      <c r="AA289" s="65">
        <v>4</v>
      </c>
      <c r="AB289" s="66"/>
      <c r="AC289" s="1" t="s">
        <v>824</v>
      </c>
      <c r="AD289" s="62" t="str">
        <f>VLOOKUP(X289,'Customer List'!B:C,2,)</f>
        <v>Banglore</v>
      </c>
      <c r="AE289" s="67"/>
      <c r="AF289" s="6">
        <v>46120</v>
      </c>
      <c r="AG289" s="62">
        <f t="shared" si="100"/>
        <v>1</v>
      </c>
      <c r="AH289" s="62" t="str">
        <f t="shared" si="101"/>
        <v>Saturday</v>
      </c>
      <c r="AI289" s="62" t="str">
        <f t="shared" si="102"/>
        <v>Wednesday</v>
      </c>
      <c r="AJ289" s="62" t="str">
        <f>VLOOKUP(AC289,'Currency Sheet'!A:C,3,)</f>
        <v>DOLLAR</v>
      </c>
      <c r="AK289" s="62" t="str">
        <f>VLOOKUP(X289,'Customer List'!B:D,3,)</f>
        <v>OutStation</v>
      </c>
    </row>
    <row r="290" spans="1:37" hidden="1" x14ac:dyDescent="0.25">
      <c r="A290" s="62">
        <f t="shared" si="94"/>
        <v>276</v>
      </c>
      <c r="B290" s="62" t="s">
        <v>824</v>
      </c>
      <c r="C290" s="62" t="s">
        <v>905</v>
      </c>
      <c r="D290" s="6">
        <v>46108</v>
      </c>
      <c r="E290" s="6">
        <v>46118</v>
      </c>
      <c r="F290" s="63">
        <v>104.3</v>
      </c>
      <c r="G290" s="64">
        <f t="shared" si="96"/>
        <v>9178.4</v>
      </c>
      <c r="H290" s="64">
        <f t="shared" si="97"/>
        <v>18356.8</v>
      </c>
      <c r="I290" s="70">
        <v>302306</v>
      </c>
      <c r="J290" s="62" t="s">
        <v>765</v>
      </c>
      <c r="K290" s="8" t="s">
        <v>953</v>
      </c>
      <c r="L290" s="10">
        <v>47896</v>
      </c>
      <c r="M290" s="62">
        <v>2</v>
      </c>
      <c r="N290" s="8">
        <v>2</v>
      </c>
      <c r="O290" s="62">
        <f t="shared" si="98"/>
        <v>0</v>
      </c>
      <c r="P290" s="70">
        <v>90</v>
      </c>
      <c r="Q290" s="71">
        <v>46127</v>
      </c>
      <c r="R290" s="6">
        <v>46127</v>
      </c>
      <c r="S290" s="64">
        <v>32333</v>
      </c>
      <c r="T290" s="22">
        <v>5</v>
      </c>
      <c r="U290" s="64">
        <f t="shared" si="99"/>
        <v>1616.65</v>
      </c>
      <c r="V290" s="22">
        <v>0</v>
      </c>
      <c r="W290" s="22">
        <v>57874</v>
      </c>
      <c r="X290" s="62" t="s">
        <v>1095</v>
      </c>
      <c r="Y290" s="62" t="s">
        <v>896</v>
      </c>
      <c r="Z290" s="62" t="s">
        <v>1116</v>
      </c>
      <c r="AA290" s="65">
        <v>4</v>
      </c>
      <c r="AB290" s="66"/>
      <c r="AC290" s="1" t="s">
        <v>824</v>
      </c>
      <c r="AD290" s="62" t="str">
        <f>VLOOKUP(X290,'Customer List'!B:C,2,)</f>
        <v>DELHI</v>
      </c>
      <c r="AE290" s="67"/>
      <c r="AF290" s="6"/>
      <c r="AG290" s="62" t="str">
        <f t="shared" si="100"/>
        <v/>
      </c>
      <c r="AH290" s="62" t="str">
        <f t="shared" si="101"/>
        <v>Saturday</v>
      </c>
      <c r="AI290" s="62" t="str">
        <f t="shared" si="102"/>
        <v/>
      </c>
      <c r="AJ290" s="62" t="str">
        <f>VLOOKUP(AC290,'Currency Sheet'!A:C,3,)</f>
        <v>DOLLAR</v>
      </c>
      <c r="AK290" s="62" t="str">
        <f>VLOOKUP(X290,'Customer List'!B:D,3,)</f>
        <v>Local</v>
      </c>
    </row>
    <row r="291" spans="1:37" hidden="1" x14ac:dyDescent="0.25">
      <c r="A291" s="62">
        <f t="shared" si="94"/>
        <v>277</v>
      </c>
      <c r="B291" s="62" t="s">
        <v>824</v>
      </c>
      <c r="C291" s="62" t="s">
        <v>905</v>
      </c>
      <c r="D291" s="6">
        <v>46108</v>
      </c>
      <c r="E291" s="6">
        <v>46118</v>
      </c>
      <c r="F291" s="63">
        <v>100.1</v>
      </c>
      <c r="G291" s="64">
        <f t="shared" si="96"/>
        <v>8808.7999999999993</v>
      </c>
      <c r="H291" s="64">
        <f t="shared" si="97"/>
        <v>8808.7999999999993</v>
      </c>
      <c r="I291" s="70">
        <v>302311</v>
      </c>
      <c r="J291" s="62" t="s">
        <v>765</v>
      </c>
      <c r="K291" s="8" t="s">
        <v>954</v>
      </c>
      <c r="L291" s="10">
        <v>47097</v>
      </c>
      <c r="M291" s="62">
        <v>1</v>
      </c>
      <c r="N291" s="8">
        <v>1</v>
      </c>
      <c r="O291" s="62">
        <f t="shared" si="98"/>
        <v>0</v>
      </c>
      <c r="P291" s="70" t="s">
        <v>1449</v>
      </c>
      <c r="Q291" s="71">
        <v>46125</v>
      </c>
      <c r="R291" s="6">
        <v>46125</v>
      </c>
      <c r="S291" s="64">
        <v>19948.5</v>
      </c>
      <c r="T291" s="22">
        <v>5</v>
      </c>
      <c r="U291" s="64">
        <f t="shared" si="99"/>
        <v>997.42500000000007</v>
      </c>
      <c r="V291" s="22">
        <v>0.3</v>
      </c>
      <c r="W291" s="22">
        <v>81001</v>
      </c>
      <c r="X291" s="62" t="s">
        <v>94</v>
      </c>
      <c r="Y291" s="62" t="s">
        <v>896</v>
      </c>
      <c r="Z291" s="62" t="s">
        <v>821</v>
      </c>
      <c r="AA291" s="65">
        <v>4</v>
      </c>
      <c r="AB291" s="66" t="s">
        <v>1118</v>
      </c>
      <c r="AC291" s="1" t="s">
        <v>824</v>
      </c>
      <c r="AD291" s="62" t="str">
        <f>VLOOKUP(X291,'Customer List'!B:C,2,)</f>
        <v>Delhi</v>
      </c>
      <c r="AE291" s="67"/>
      <c r="AF291" s="6"/>
      <c r="AG291" s="62" t="str">
        <f t="shared" si="100"/>
        <v/>
      </c>
      <c r="AH291" s="62" t="str">
        <f t="shared" si="101"/>
        <v>Thursday</v>
      </c>
      <c r="AI291" s="62" t="str">
        <f t="shared" si="102"/>
        <v/>
      </c>
      <c r="AJ291" s="62" t="str">
        <f>VLOOKUP(AC291,'Currency Sheet'!A:C,3,)</f>
        <v>DOLLAR</v>
      </c>
      <c r="AK291" s="62" t="str">
        <f>VLOOKUP(X291,'Customer List'!B:D,3,)</f>
        <v>Local</v>
      </c>
    </row>
    <row r="292" spans="1:37" hidden="1" x14ac:dyDescent="0.25">
      <c r="A292" s="62">
        <f t="shared" si="94"/>
        <v>278</v>
      </c>
      <c r="B292" s="62" t="s">
        <v>824</v>
      </c>
      <c r="C292" s="62" t="s">
        <v>905</v>
      </c>
      <c r="D292" s="6">
        <v>46108</v>
      </c>
      <c r="E292" s="6">
        <v>46118</v>
      </c>
      <c r="F292" s="63">
        <v>285</v>
      </c>
      <c r="G292" s="64">
        <f t="shared" si="96"/>
        <v>25080</v>
      </c>
      <c r="H292" s="64">
        <f t="shared" si="97"/>
        <v>25080</v>
      </c>
      <c r="I292" s="70">
        <v>302340</v>
      </c>
      <c r="J292" s="62" t="s">
        <v>765</v>
      </c>
      <c r="K292" s="8" t="s">
        <v>955</v>
      </c>
      <c r="L292" s="10">
        <v>46840</v>
      </c>
      <c r="M292" s="62">
        <v>1</v>
      </c>
      <c r="N292" s="8">
        <v>1</v>
      </c>
      <c r="O292" s="62">
        <f t="shared" si="98"/>
        <v>0</v>
      </c>
      <c r="P292" s="70">
        <v>32</v>
      </c>
      <c r="Q292" s="71">
        <v>46118</v>
      </c>
      <c r="R292" s="6">
        <v>46119</v>
      </c>
      <c r="S292" s="64">
        <v>41230</v>
      </c>
      <c r="T292" s="22">
        <v>5</v>
      </c>
      <c r="U292" s="64">
        <f t="shared" si="99"/>
        <v>2061.5</v>
      </c>
      <c r="V292" s="22">
        <v>112497</v>
      </c>
      <c r="W292" s="22"/>
      <c r="X292" s="62" t="s">
        <v>1096</v>
      </c>
      <c r="Y292" s="62">
        <v>58163968925</v>
      </c>
      <c r="Z292" s="62" t="s">
        <v>1112</v>
      </c>
      <c r="AA292" s="65">
        <v>4</v>
      </c>
      <c r="AB292" s="66"/>
      <c r="AC292" s="1" t="s">
        <v>824</v>
      </c>
      <c r="AD292" s="62" t="str">
        <f>VLOOKUP(X292,'Customer List'!B:C,2,)</f>
        <v>Mumbai</v>
      </c>
      <c r="AE292" s="67"/>
      <c r="AF292" s="6">
        <v>46120</v>
      </c>
      <c r="AG292" s="62">
        <f t="shared" si="100"/>
        <v>1</v>
      </c>
      <c r="AH292" s="62" t="str">
        <f t="shared" si="101"/>
        <v>Saturday</v>
      </c>
      <c r="AI292" s="62" t="str">
        <f t="shared" si="102"/>
        <v>Wednesday</v>
      </c>
      <c r="AJ292" s="62" t="str">
        <f>VLOOKUP(AC292,'Currency Sheet'!A:C,3,)</f>
        <v>DOLLAR</v>
      </c>
      <c r="AK292" s="62" t="str">
        <f>VLOOKUP(X292,'Customer List'!B:D,3,)</f>
        <v>OutStation</v>
      </c>
    </row>
    <row r="293" spans="1:37" hidden="1" x14ac:dyDescent="0.25">
      <c r="A293" s="62">
        <f t="shared" si="94"/>
        <v>279</v>
      </c>
      <c r="B293" s="62" t="s">
        <v>824</v>
      </c>
      <c r="C293" s="62" t="s">
        <v>905</v>
      </c>
      <c r="D293" s="6">
        <v>46108</v>
      </c>
      <c r="E293" s="6">
        <v>46118</v>
      </c>
      <c r="F293" s="63">
        <v>177.75</v>
      </c>
      <c r="G293" s="64">
        <f t="shared" si="96"/>
        <v>15642</v>
      </c>
      <c r="H293" s="64">
        <f t="shared" si="97"/>
        <v>15642</v>
      </c>
      <c r="I293" s="70">
        <v>302633</v>
      </c>
      <c r="J293" s="62" t="s">
        <v>751</v>
      </c>
      <c r="K293" s="8" t="s">
        <v>956</v>
      </c>
      <c r="L293" s="10">
        <v>46459</v>
      </c>
      <c r="M293" s="62">
        <v>1</v>
      </c>
      <c r="N293" s="8">
        <v>1</v>
      </c>
      <c r="O293" s="62">
        <f t="shared" si="98"/>
        <v>0</v>
      </c>
      <c r="P293" s="70">
        <v>11</v>
      </c>
      <c r="Q293" s="71">
        <v>46118</v>
      </c>
      <c r="R293" s="6">
        <v>46118</v>
      </c>
      <c r="S293" s="64">
        <v>22752</v>
      </c>
      <c r="T293" s="22">
        <v>5</v>
      </c>
      <c r="U293" s="64">
        <f t="shared" si="99"/>
        <v>1137.6000000000001</v>
      </c>
      <c r="V293" s="22">
        <v>0.4</v>
      </c>
      <c r="W293" s="22">
        <v>264802</v>
      </c>
      <c r="X293" s="62" t="s">
        <v>1097</v>
      </c>
      <c r="Y293" s="62" t="s">
        <v>896</v>
      </c>
      <c r="Z293" s="62" t="s">
        <v>821</v>
      </c>
      <c r="AA293" s="65">
        <v>4</v>
      </c>
      <c r="AB293" s="66"/>
      <c r="AC293" s="1" t="s">
        <v>824</v>
      </c>
      <c r="AD293" s="62" t="str">
        <f>VLOOKUP(X293,'Customer List'!B:C,2,)</f>
        <v>DELHI</v>
      </c>
      <c r="AE293" s="67"/>
      <c r="AF293" s="6"/>
      <c r="AG293" s="62" t="str">
        <f t="shared" si="100"/>
        <v/>
      </c>
      <c r="AH293" s="62" t="str">
        <f t="shared" si="101"/>
        <v>Monday</v>
      </c>
      <c r="AI293" s="62" t="str">
        <f t="shared" si="102"/>
        <v/>
      </c>
      <c r="AJ293" s="62" t="str">
        <f>VLOOKUP(AC293,'Currency Sheet'!A:C,3,)</f>
        <v>DOLLAR</v>
      </c>
      <c r="AK293" s="62" t="str">
        <f>VLOOKUP(X293,'Customer List'!B:D,3,)</f>
        <v>Local</v>
      </c>
    </row>
    <row r="294" spans="1:37" hidden="1" x14ac:dyDescent="0.25">
      <c r="A294" s="62">
        <f t="shared" si="94"/>
        <v>280</v>
      </c>
      <c r="B294" s="62" t="s">
        <v>824</v>
      </c>
      <c r="C294" s="62" t="s">
        <v>905</v>
      </c>
      <c r="D294" s="6">
        <v>46108</v>
      </c>
      <c r="E294" s="6">
        <v>46118</v>
      </c>
      <c r="F294" s="63">
        <v>35</v>
      </c>
      <c r="G294" s="64">
        <f t="shared" si="96"/>
        <v>3080</v>
      </c>
      <c r="H294" s="64">
        <f t="shared" si="97"/>
        <v>3080</v>
      </c>
      <c r="I294" s="70">
        <v>302902</v>
      </c>
      <c r="J294" s="62" t="s">
        <v>957</v>
      </c>
      <c r="K294" s="8" t="s">
        <v>958</v>
      </c>
      <c r="L294" s="10">
        <v>47533</v>
      </c>
      <c r="M294" s="62">
        <v>1</v>
      </c>
      <c r="N294" s="8">
        <v>1</v>
      </c>
      <c r="O294" s="62">
        <f t="shared" si="98"/>
        <v>0</v>
      </c>
      <c r="P294" s="70" t="s">
        <v>2492</v>
      </c>
      <c r="Q294" s="71">
        <v>46150</v>
      </c>
      <c r="R294" s="6">
        <v>46150</v>
      </c>
      <c r="S294" s="64">
        <v>0</v>
      </c>
      <c r="T294" s="22">
        <v>5</v>
      </c>
      <c r="U294" s="64">
        <f t="shared" si="99"/>
        <v>0</v>
      </c>
      <c r="V294" s="22">
        <v>0</v>
      </c>
      <c r="W294" s="22">
        <v>0</v>
      </c>
      <c r="X294" s="62" t="s">
        <v>1094</v>
      </c>
      <c r="Y294" s="62" t="s">
        <v>896</v>
      </c>
      <c r="Z294" s="62" t="s">
        <v>821</v>
      </c>
      <c r="AA294" s="65">
        <v>4</v>
      </c>
      <c r="AB294" s="66" t="s">
        <v>46</v>
      </c>
      <c r="AC294" s="1" t="s">
        <v>824</v>
      </c>
      <c r="AD294" s="62" t="str">
        <f>VLOOKUP(X294,'Customer List'!B:C,2,)</f>
        <v>Delhi</v>
      </c>
      <c r="AE294" s="67" t="s">
        <v>821</v>
      </c>
      <c r="AF294" s="6"/>
      <c r="AG294" s="62" t="str">
        <f t="shared" si="100"/>
        <v/>
      </c>
      <c r="AH294" s="62" t="str">
        <f t="shared" si="101"/>
        <v>Saturday</v>
      </c>
      <c r="AI294" s="62" t="str">
        <f t="shared" si="102"/>
        <v/>
      </c>
      <c r="AJ294" s="62" t="str">
        <f>VLOOKUP(AC294,'Currency Sheet'!A:C,3,)</f>
        <v>DOLLAR</v>
      </c>
      <c r="AK294" s="62" t="str">
        <f>VLOOKUP(X294,'Customer List'!B:D,3,)</f>
        <v>Local</v>
      </c>
    </row>
    <row r="295" spans="1:37" hidden="1" x14ac:dyDescent="0.25">
      <c r="A295" s="62">
        <f t="shared" si="94"/>
        <v>281</v>
      </c>
      <c r="B295" s="62" t="s">
        <v>824</v>
      </c>
      <c r="C295" s="62" t="s">
        <v>905</v>
      </c>
      <c r="D295" s="6">
        <v>46108</v>
      </c>
      <c r="E295" s="6">
        <v>46118</v>
      </c>
      <c r="F295" s="63">
        <v>301.5</v>
      </c>
      <c r="G295" s="64">
        <f t="shared" si="96"/>
        <v>26532</v>
      </c>
      <c r="H295" s="64">
        <f t="shared" si="97"/>
        <v>26532</v>
      </c>
      <c r="I295" s="70">
        <v>303416</v>
      </c>
      <c r="J295" s="62" t="s">
        <v>959</v>
      </c>
      <c r="K295" s="8" t="s">
        <v>960</v>
      </c>
      <c r="L295" s="10">
        <v>46626</v>
      </c>
      <c r="M295" s="62">
        <v>1</v>
      </c>
      <c r="N295" s="8">
        <v>1</v>
      </c>
      <c r="O295" s="62">
        <f t="shared" si="98"/>
        <v>0</v>
      </c>
      <c r="P295" s="70">
        <v>15</v>
      </c>
      <c r="Q295" s="71">
        <v>46118</v>
      </c>
      <c r="R295" s="6">
        <v>46118</v>
      </c>
      <c r="S295" s="64">
        <v>39396</v>
      </c>
      <c r="T295" s="22">
        <v>5</v>
      </c>
      <c r="U295" s="64">
        <f t="shared" si="99"/>
        <v>1969.8000000000002</v>
      </c>
      <c r="V295" s="22">
        <v>0</v>
      </c>
      <c r="W295" s="22">
        <v>309943</v>
      </c>
      <c r="X295" s="62" t="s">
        <v>23</v>
      </c>
      <c r="Y295" s="62" t="s">
        <v>1105</v>
      </c>
      <c r="Z295" s="62" t="s">
        <v>1105</v>
      </c>
      <c r="AA295" s="65">
        <v>4</v>
      </c>
      <c r="AB295" s="66"/>
      <c r="AC295" s="1" t="s">
        <v>824</v>
      </c>
      <c r="AD295" s="62" t="str">
        <f>VLOOKUP(X295,'Customer List'!B:C,2,)</f>
        <v>Delhi</v>
      </c>
      <c r="AE295" s="67"/>
      <c r="AF295" s="6"/>
      <c r="AG295" s="62" t="str">
        <f t="shared" si="100"/>
        <v/>
      </c>
      <c r="AH295" s="62" t="str">
        <f t="shared" si="101"/>
        <v>Saturday</v>
      </c>
      <c r="AI295" s="62" t="str">
        <f t="shared" si="102"/>
        <v/>
      </c>
      <c r="AJ295" s="62" t="str">
        <f>VLOOKUP(AC295,'Currency Sheet'!A:C,3,)</f>
        <v>DOLLAR</v>
      </c>
      <c r="AK295" s="62" t="str">
        <f>VLOOKUP(X295,'Customer List'!B:D,3,)</f>
        <v>Local</v>
      </c>
    </row>
    <row r="296" spans="1:37" hidden="1" x14ac:dyDescent="0.25">
      <c r="A296" s="62">
        <f t="shared" si="94"/>
        <v>282</v>
      </c>
      <c r="B296" s="62" t="s">
        <v>824</v>
      </c>
      <c r="C296" s="62" t="s">
        <v>905</v>
      </c>
      <c r="D296" s="6">
        <v>46108</v>
      </c>
      <c r="E296" s="6">
        <v>46118</v>
      </c>
      <c r="F296" s="63">
        <v>285.75</v>
      </c>
      <c r="G296" s="64">
        <f t="shared" si="96"/>
        <v>25146</v>
      </c>
      <c r="H296" s="64">
        <f t="shared" si="97"/>
        <v>25146</v>
      </c>
      <c r="I296" s="70">
        <v>303526</v>
      </c>
      <c r="J296" s="62" t="s">
        <v>767</v>
      </c>
      <c r="K296" s="8" t="s">
        <v>961</v>
      </c>
      <c r="L296" s="10">
        <v>46576</v>
      </c>
      <c r="M296" s="62">
        <v>1</v>
      </c>
      <c r="N296" s="8">
        <v>1</v>
      </c>
      <c r="O296" s="62">
        <f t="shared" si="98"/>
        <v>0</v>
      </c>
      <c r="P296" s="70">
        <v>16</v>
      </c>
      <c r="Q296" s="71">
        <v>46118</v>
      </c>
      <c r="R296" s="6">
        <v>46118</v>
      </c>
      <c r="S296" s="64">
        <v>40157</v>
      </c>
      <c r="T296" s="22">
        <v>5</v>
      </c>
      <c r="U296" s="64">
        <f t="shared" si="99"/>
        <v>2007.8500000000001</v>
      </c>
      <c r="V296" s="22">
        <v>-0.15</v>
      </c>
      <c r="W296" s="22">
        <v>290286</v>
      </c>
      <c r="X296" s="62" t="s">
        <v>177</v>
      </c>
      <c r="Y296" s="62" t="s">
        <v>1108</v>
      </c>
      <c r="Z296" s="62" t="s">
        <v>1112</v>
      </c>
      <c r="AA296" s="65">
        <v>4</v>
      </c>
      <c r="AB296" s="66"/>
      <c r="AC296" s="1" t="s">
        <v>824</v>
      </c>
      <c r="AD296" s="62" t="str">
        <f>VLOOKUP(X296,'Customer List'!B:C,2,)</f>
        <v>Punjab</v>
      </c>
      <c r="AE296" s="67"/>
      <c r="AF296" s="6">
        <v>46119</v>
      </c>
      <c r="AG296" s="62">
        <f t="shared" si="100"/>
        <v>1</v>
      </c>
      <c r="AH296" s="62" t="str">
        <f t="shared" si="101"/>
        <v>Thursday</v>
      </c>
      <c r="AI296" s="62" t="str">
        <f t="shared" si="102"/>
        <v>Tuesday</v>
      </c>
      <c r="AJ296" s="62" t="str">
        <f>VLOOKUP(AC296,'Currency Sheet'!A:C,3,)</f>
        <v>DOLLAR</v>
      </c>
      <c r="AK296" s="62" t="str">
        <f>VLOOKUP(X296,'Customer List'!B:D,3,)</f>
        <v>OutStation</v>
      </c>
    </row>
    <row r="297" spans="1:37" hidden="1" x14ac:dyDescent="0.25">
      <c r="A297" s="62">
        <f t="shared" si="94"/>
        <v>283</v>
      </c>
      <c r="B297" s="62" t="s">
        <v>824</v>
      </c>
      <c r="C297" s="62" t="s">
        <v>905</v>
      </c>
      <c r="D297" s="6">
        <v>46108</v>
      </c>
      <c r="E297" s="6">
        <v>46118</v>
      </c>
      <c r="F297" s="63">
        <v>50.4</v>
      </c>
      <c r="G297" s="64">
        <f t="shared" si="96"/>
        <v>4435.2</v>
      </c>
      <c r="H297" s="64">
        <f t="shared" si="97"/>
        <v>8870.4</v>
      </c>
      <c r="I297" s="70">
        <v>304006</v>
      </c>
      <c r="J297" s="62" t="s">
        <v>755</v>
      </c>
      <c r="K297" s="8" t="s">
        <v>962</v>
      </c>
      <c r="L297" s="10">
        <v>48354</v>
      </c>
      <c r="M297" s="62">
        <v>2</v>
      </c>
      <c r="N297" s="8">
        <v>2</v>
      </c>
      <c r="O297" s="62">
        <f t="shared" si="98"/>
        <v>0</v>
      </c>
      <c r="P297" s="70">
        <v>17</v>
      </c>
      <c r="Q297" s="71">
        <v>46118</v>
      </c>
      <c r="R297" s="6">
        <v>46118</v>
      </c>
      <c r="S297" s="64">
        <v>15624</v>
      </c>
      <c r="T297" s="22">
        <v>5</v>
      </c>
      <c r="U297" s="64">
        <f t="shared" si="99"/>
        <v>781.2</v>
      </c>
      <c r="V297" s="22">
        <v>-0.2</v>
      </c>
      <c r="W297" s="22">
        <v>16405</v>
      </c>
      <c r="X297" s="62" t="s">
        <v>15</v>
      </c>
      <c r="Y297" s="62" t="s">
        <v>1107</v>
      </c>
      <c r="Z297" s="62" t="s">
        <v>1112</v>
      </c>
      <c r="AA297" s="65">
        <v>4</v>
      </c>
      <c r="AB297" s="66"/>
      <c r="AC297" s="1" t="s">
        <v>824</v>
      </c>
      <c r="AD297" s="62" t="str">
        <f>VLOOKUP(X297,'Customer List'!B:C,2,)</f>
        <v>Chandigarh</v>
      </c>
      <c r="AE297" s="67"/>
      <c r="AF297" s="6">
        <v>46119</v>
      </c>
      <c r="AG297" s="62">
        <f t="shared" si="100"/>
        <v>1</v>
      </c>
      <c r="AH297" s="62" t="str">
        <f t="shared" si="101"/>
        <v>Saturday</v>
      </c>
      <c r="AI297" s="62" t="str">
        <f t="shared" si="102"/>
        <v>Tuesday</v>
      </c>
      <c r="AJ297" s="62" t="str">
        <f>VLOOKUP(AC297,'Currency Sheet'!A:C,3,)</f>
        <v>DOLLAR</v>
      </c>
      <c r="AK297" s="62" t="str">
        <f>VLOOKUP(X297,'Customer List'!B:D,3,)</f>
        <v>OutStation</v>
      </c>
    </row>
    <row r="298" spans="1:37" hidden="1" x14ac:dyDescent="0.25">
      <c r="A298" s="62">
        <f t="shared" si="94"/>
        <v>284</v>
      </c>
      <c r="B298" s="62" t="s">
        <v>824</v>
      </c>
      <c r="C298" s="62" t="s">
        <v>905</v>
      </c>
      <c r="D298" s="6">
        <v>46108</v>
      </c>
      <c r="E298" s="6">
        <v>46118</v>
      </c>
      <c r="F298" s="63">
        <v>185.5</v>
      </c>
      <c r="G298" s="64">
        <f t="shared" si="96"/>
        <v>16324</v>
      </c>
      <c r="H298" s="64">
        <f t="shared" si="97"/>
        <v>16324</v>
      </c>
      <c r="I298" s="70">
        <v>304024</v>
      </c>
      <c r="J298" s="62" t="s">
        <v>755</v>
      </c>
      <c r="K298" s="8" t="s">
        <v>963</v>
      </c>
      <c r="L298" s="10">
        <v>47692</v>
      </c>
      <c r="M298" s="62">
        <v>1</v>
      </c>
      <c r="N298" s="8">
        <v>1</v>
      </c>
      <c r="O298" s="62">
        <f t="shared" si="98"/>
        <v>0</v>
      </c>
      <c r="P298" s="70">
        <v>19</v>
      </c>
      <c r="Q298" s="71">
        <v>46118</v>
      </c>
      <c r="R298" s="6">
        <v>46119</v>
      </c>
      <c r="S298" s="64">
        <v>24645</v>
      </c>
      <c r="T298" s="22">
        <v>5</v>
      </c>
      <c r="U298" s="64">
        <f t="shared" si="99"/>
        <v>1232.25</v>
      </c>
      <c r="V298" s="22">
        <v>-0.05</v>
      </c>
      <c r="W298" s="22">
        <v>134464</v>
      </c>
      <c r="X298" s="62" t="s">
        <v>127</v>
      </c>
      <c r="Y298" s="62">
        <v>58163972366</v>
      </c>
      <c r="Z298" s="62" t="s">
        <v>1112</v>
      </c>
      <c r="AA298" s="65">
        <v>4</v>
      </c>
      <c r="AB298" s="66"/>
      <c r="AC298" s="1" t="s">
        <v>824</v>
      </c>
      <c r="AD298" s="62" t="str">
        <f>VLOOKUP(X298,'Customer List'!B:C,2,)</f>
        <v>Banglore</v>
      </c>
      <c r="AE298" s="67"/>
      <c r="AF298" s="6">
        <v>46120</v>
      </c>
      <c r="AG298" s="62">
        <f t="shared" si="100"/>
        <v>1</v>
      </c>
      <c r="AH298" s="62" t="str">
        <f t="shared" si="101"/>
        <v>Thursday</v>
      </c>
      <c r="AI298" s="62" t="str">
        <f t="shared" si="102"/>
        <v>Wednesday</v>
      </c>
      <c r="AJ298" s="62" t="str">
        <f>VLOOKUP(AC298,'Currency Sheet'!A:C,3,)</f>
        <v>DOLLAR</v>
      </c>
      <c r="AK298" s="62" t="str">
        <f>VLOOKUP(X298,'Customer List'!B:D,3,)</f>
        <v>OutStation</v>
      </c>
    </row>
    <row r="299" spans="1:37" hidden="1" x14ac:dyDescent="0.25">
      <c r="A299" s="62">
        <f t="shared" si="94"/>
        <v>285</v>
      </c>
      <c r="B299" s="62" t="s">
        <v>824</v>
      </c>
      <c r="C299" s="62" t="s">
        <v>905</v>
      </c>
      <c r="D299" s="6">
        <v>46108</v>
      </c>
      <c r="E299" s="6">
        <v>46118</v>
      </c>
      <c r="F299" s="63">
        <v>300.75</v>
      </c>
      <c r="G299" s="64">
        <f t="shared" si="96"/>
        <v>26466</v>
      </c>
      <c r="H299" s="64">
        <f t="shared" si="97"/>
        <v>26466</v>
      </c>
      <c r="I299" s="70">
        <v>304042</v>
      </c>
      <c r="J299" s="62" t="s">
        <v>755</v>
      </c>
      <c r="K299" s="8" t="s">
        <v>964</v>
      </c>
      <c r="L299" s="10">
        <v>46569</v>
      </c>
      <c r="M299" s="62">
        <v>1</v>
      </c>
      <c r="N299" s="8">
        <v>1</v>
      </c>
      <c r="O299" s="62">
        <f t="shared" si="98"/>
        <v>0</v>
      </c>
      <c r="P299" s="70">
        <v>15</v>
      </c>
      <c r="Q299" s="71">
        <v>46118</v>
      </c>
      <c r="R299" s="6">
        <v>46118</v>
      </c>
      <c r="S299" s="64">
        <v>39298</v>
      </c>
      <c r="T299" s="22">
        <v>5</v>
      </c>
      <c r="U299" s="64">
        <f t="shared" si="99"/>
        <v>1964.9</v>
      </c>
      <c r="V299" s="22">
        <v>0</v>
      </c>
      <c r="W299" s="22">
        <v>309943</v>
      </c>
      <c r="X299" s="62" t="s">
        <v>23</v>
      </c>
      <c r="Y299" s="62" t="s">
        <v>1105</v>
      </c>
      <c r="Z299" s="62" t="s">
        <v>1105</v>
      </c>
      <c r="AA299" s="65">
        <v>4</v>
      </c>
      <c r="AB299" s="66"/>
      <c r="AC299" s="1" t="s">
        <v>824</v>
      </c>
      <c r="AD299" s="62" t="str">
        <f>VLOOKUP(X299,'Customer List'!B:C,2,)</f>
        <v>Delhi</v>
      </c>
      <c r="AE299" s="67"/>
      <c r="AF299" s="6"/>
      <c r="AG299" s="62" t="str">
        <f t="shared" si="100"/>
        <v/>
      </c>
      <c r="AH299" s="62" t="str">
        <f t="shared" si="101"/>
        <v>Saturday</v>
      </c>
      <c r="AI299" s="62" t="str">
        <f t="shared" si="102"/>
        <v/>
      </c>
      <c r="AJ299" s="62" t="str">
        <f>VLOOKUP(AC299,'Currency Sheet'!A:C,3,)</f>
        <v>DOLLAR</v>
      </c>
      <c r="AK299" s="62" t="str">
        <f>VLOOKUP(X299,'Customer List'!B:D,3,)</f>
        <v>Local</v>
      </c>
    </row>
    <row r="300" spans="1:37" hidden="1" x14ac:dyDescent="0.25">
      <c r="A300" s="62">
        <f t="shared" si="94"/>
        <v>286</v>
      </c>
      <c r="B300" s="62" t="s">
        <v>824</v>
      </c>
      <c r="C300" s="62" t="s">
        <v>905</v>
      </c>
      <c r="D300" s="6">
        <v>46108</v>
      </c>
      <c r="E300" s="6">
        <v>46118</v>
      </c>
      <c r="F300" s="63">
        <v>73.5</v>
      </c>
      <c r="G300" s="64">
        <f t="shared" si="96"/>
        <v>6468</v>
      </c>
      <c r="H300" s="64">
        <f t="shared" si="97"/>
        <v>6468</v>
      </c>
      <c r="I300" s="70">
        <v>304108</v>
      </c>
      <c r="J300" s="62" t="s">
        <v>965</v>
      </c>
      <c r="K300" s="8" t="s">
        <v>966</v>
      </c>
      <c r="L300" s="10">
        <v>46860</v>
      </c>
      <c r="M300" s="62">
        <v>1</v>
      </c>
      <c r="N300" s="8">
        <v>1</v>
      </c>
      <c r="O300" s="62">
        <f t="shared" si="98"/>
        <v>0</v>
      </c>
      <c r="P300" s="70" t="s">
        <v>1604</v>
      </c>
      <c r="Q300" s="71">
        <v>46127</v>
      </c>
      <c r="R300" s="6">
        <v>46127</v>
      </c>
      <c r="S300" s="64">
        <v>0</v>
      </c>
      <c r="T300" s="22">
        <v>5</v>
      </c>
      <c r="U300" s="64">
        <f t="shared" si="99"/>
        <v>0</v>
      </c>
      <c r="V300" s="22">
        <v>0</v>
      </c>
      <c r="W300" s="22">
        <v>0</v>
      </c>
      <c r="X300" s="62" t="s">
        <v>797</v>
      </c>
      <c r="Y300" s="62" t="s">
        <v>1120</v>
      </c>
      <c r="Z300" s="62" t="s">
        <v>1863</v>
      </c>
      <c r="AA300" s="65">
        <v>4</v>
      </c>
      <c r="AB300" s="66" t="s">
        <v>1605</v>
      </c>
      <c r="AC300" s="1" t="s">
        <v>824</v>
      </c>
      <c r="AD300" s="62" t="str">
        <f>VLOOKUP(X300,'Customer List'!B:C,2,)</f>
        <v>Delhi</v>
      </c>
      <c r="AE300" s="67" t="s">
        <v>832</v>
      </c>
      <c r="AF300" s="6"/>
      <c r="AG300" s="62" t="str">
        <f t="shared" si="100"/>
        <v/>
      </c>
      <c r="AH300" s="62" t="str">
        <f t="shared" si="101"/>
        <v>Saturday</v>
      </c>
      <c r="AI300" s="62" t="str">
        <f t="shared" si="102"/>
        <v/>
      </c>
      <c r="AJ300" s="62" t="str">
        <f>VLOOKUP(AC300,'Currency Sheet'!A:C,3,)</f>
        <v>DOLLAR</v>
      </c>
      <c r="AK300" s="62" t="str">
        <f>VLOOKUP(X300,'Customer List'!B:D,3,)</f>
        <v>Local</v>
      </c>
    </row>
    <row r="301" spans="1:37" hidden="1" x14ac:dyDescent="0.25">
      <c r="A301" s="62">
        <f t="shared" si="94"/>
        <v>287</v>
      </c>
      <c r="B301" s="62" t="s">
        <v>824</v>
      </c>
      <c r="C301" s="62" t="s">
        <v>905</v>
      </c>
      <c r="D301" s="6">
        <v>46108</v>
      </c>
      <c r="E301" s="6">
        <v>46118</v>
      </c>
      <c r="F301" s="63">
        <v>132</v>
      </c>
      <c r="G301" s="64">
        <f t="shared" si="96"/>
        <v>11616</v>
      </c>
      <c r="H301" s="64">
        <f t="shared" si="97"/>
        <v>11616</v>
      </c>
      <c r="I301" s="70">
        <v>304141</v>
      </c>
      <c r="J301" s="62" t="s">
        <v>965</v>
      </c>
      <c r="K301" s="8" t="s">
        <v>967</v>
      </c>
      <c r="L301" s="10">
        <v>46472</v>
      </c>
      <c r="M301" s="62">
        <v>1</v>
      </c>
      <c r="N301" s="8">
        <v>1</v>
      </c>
      <c r="O301" s="62">
        <f t="shared" si="98"/>
        <v>0</v>
      </c>
      <c r="P301" s="70">
        <v>11</v>
      </c>
      <c r="Q301" s="71">
        <v>46118</v>
      </c>
      <c r="R301" s="6">
        <v>46118</v>
      </c>
      <c r="S301" s="64">
        <v>16896</v>
      </c>
      <c r="T301" s="22">
        <v>5</v>
      </c>
      <c r="U301" s="64">
        <f t="shared" si="99"/>
        <v>844.80000000000007</v>
      </c>
      <c r="V301" s="22">
        <v>0</v>
      </c>
      <c r="W301" s="22">
        <v>264802</v>
      </c>
      <c r="X301" s="62" t="s">
        <v>1097</v>
      </c>
      <c r="Y301" s="62" t="s">
        <v>896</v>
      </c>
      <c r="Z301" s="62" t="s">
        <v>821</v>
      </c>
      <c r="AA301" s="65">
        <v>4</v>
      </c>
      <c r="AB301" s="66"/>
      <c r="AC301" s="1" t="s">
        <v>824</v>
      </c>
      <c r="AD301" s="62" t="str">
        <f>VLOOKUP(X301,'Customer List'!B:C,2,)</f>
        <v>DELHI</v>
      </c>
      <c r="AE301" s="67"/>
      <c r="AF301" s="6"/>
      <c r="AG301" s="62" t="str">
        <f t="shared" si="100"/>
        <v/>
      </c>
      <c r="AH301" s="62" t="str">
        <f t="shared" si="101"/>
        <v>Thursday</v>
      </c>
      <c r="AI301" s="62" t="str">
        <f t="shared" si="102"/>
        <v/>
      </c>
      <c r="AJ301" s="62" t="str">
        <f>VLOOKUP(AC301,'Currency Sheet'!A:C,3,)</f>
        <v>DOLLAR</v>
      </c>
      <c r="AK301" s="62" t="str">
        <f>VLOOKUP(X301,'Customer List'!B:D,3,)</f>
        <v>Local</v>
      </c>
    </row>
    <row r="302" spans="1:37" hidden="1" x14ac:dyDescent="0.25">
      <c r="A302" s="62">
        <f t="shared" si="94"/>
        <v>288</v>
      </c>
      <c r="B302" s="62" t="s">
        <v>824</v>
      </c>
      <c r="C302" s="62" t="s">
        <v>905</v>
      </c>
      <c r="D302" s="6">
        <v>46108</v>
      </c>
      <c r="E302" s="6">
        <v>46118</v>
      </c>
      <c r="F302" s="63">
        <v>95.9</v>
      </c>
      <c r="G302" s="64">
        <f t="shared" si="96"/>
        <v>8439.2000000000007</v>
      </c>
      <c r="H302" s="64">
        <f t="shared" si="97"/>
        <v>8439.2000000000007</v>
      </c>
      <c r="I302" s="70">
        <v>304150</v>
      </c>
      <c r="J302" s="62" t="s">
        <v>965</v>
      </c>
      <c r="K302" s="8" t="s">
        <v>968</v>
      </c>
      <c r="L302" s="10">
        <v>47645</v>
      </c>
      <c r="M302" s="62">
        <v>1</v>
      </c>
      <c r="N302" s="8">
        <v>1</v>
      </c>
      <c r="O302" s="62">
        <f t="shared" si="98"/>
        <v>0</v>
      </c>
      <c r="P302" s="70">
        <v>11</v>
      </c>
      <c r="Q302" s="71">
        <v>46118</v>
      </c>
      <c r="R302" s="6">
        <v>46118</v>
      </c>
      <c r="S302" s="64">
        <v>13152</v>
      </c>
      <c r="T302" s="22">
        <v>5</v>
      </c>
      <c r="U302" s="64">
        <f t="shared" si="99"/>
        <v>657.6</v>
      </c>
      <c r="V302" s="22">
        <v>0</v>
      </c>
      <c r="W302" s="22">
        <v>264802</v>
      </c>
      <c r="X302" s="62" t="s">
        <v>1097</v>
      </c>
      <c r="Y302" s="62" t="s">
        <v>896</v>
      </c>
      <c r="Z302" s="62" t="s">
        <v>821</v>
      </c>
      <c r="AA302" s="65">
        <v>4</v>
      </c>
      <c r="AB302" s="66"/>
      <c r="AC302" s="1" t="s">
        <v>824</v>
      </c>
      <c r="AD302" s="62" t="str">
        <f>VLOOKUP(X302,'Customer List'!B:C,2,)</f>
        <v>DELHI</v>
      </c>
      <c r="AE302" s="67"/>
      <c r="AF302" s="6"/>
      <c r="AG302" s="62" t="str">
        <f t="shared" si="100"/>
        <v/>
      </c>
      <c r="AH302" s="62" t="str">
        <f t="shared" si="101"/>
        <v>Friday</v>
      </c>
      <c r="AI302" s="62" t="str">
        <f t="shared" si="102"/>
        <v/>
      </c>
      <c r="AJ302" s="62" t="str">
        <f>VLOOKUP(AC302,'Currency Sheet'!A:C,3,)</f>
        <v>DOLLAR</v>
      </c>
      <c r="AK302" s="62" t="str">
        <f>VLOOKUP(X302,'Customer List'!B:D,3,)</f>
        <v>Local</v>
      </c>
    </row>
    <row r="303" spans="1:37" hidden="1" x14ac:dyDescent="0.25">
      <c r="A303" s="62">
        <f t="shared" si="94"/>
        <v>289</v>
      </c>
      <c r="B303" s="62" t="s">
        <v>824</v>
      </c>
      <c r="C303" s="62" t="s">
        <v>905</v>
      </c>
      <c r="D303" s="6">
        <v>46108</v>
      </c>
      <c r="E303" s="6">
        <v>46118</v>
      </c>
      <c r="F303" s="63">
        <v>234.5</v>
      </c>
      <c r="G303" s="64">
        <f t="shared" si="96"/>
        <v>20636</v>
      </c>
      <c r="H303" s="64">
        <f t="shared" si="97"/>
        <v>20636</v>
      </c>
      <c r="I303" s="70">
        <v>305112</v>
      </c>
      <c r="J303" s="62" t="s">
        <v>969</v>
      </c>
      <c r="K303" s="8" t="s">
        <v>970</v>
      </c>
      <c r="L303" s="10">
        <v>47643</v>
      </c>
      <c r="M303" s="62">
        <v>1</v>
      </c>
      <c r="N303" s="8">
        <v>1</v>
      </c>
      <c r="O303" s="62">
        <f t="shared" si="98"/>
        <v>0</v>
      </c>
      <c r="P303" s="70">
        <v>16</v>
      </c>
      <c r="Q303" s="71">
        <v>46118</v>
      </c>
      <c r="R303" s="6">
        <v>46118</v>
      </c>
      <c r="S303" s="64">
        <v>35309</v>
      </c>
      <c r="T303" s="22">
        <v>5</v>
      </c>
      <c r="U303" s="64">
        <f t="shared" si="99"/>
        <v>1765.45</v>
      </c>
      <c r="V303" s="22">
        <v>0</v>
      </c>
      <c r="W303" s="22">
        <v>290286</v>
      </c>
      <c r="X303" s="62" t="s">
        <v>177</v>
      </c>
      <c r="Y303" s="62" t="s">
        <v>1108</v>
      </c>
      <c r="Z303" s="62" t="s">
        <v>1112</v>
      </c>
      <c r="AA303" s="65">
        <v>4</v>
      </c>
      <c r="AB303" s="66"/>
      <c r="AC303" s="1" t="s">
        <v>824</v>
      </c>
      <c r="AD303" s="62" t="str">
        <f>VLOOKUP(X303,'Customer List'!B:C,2,)</f>
        <v>Punjab</v>
      </c>
      <c r="AE303" s="67"/>
      <c r="AF303" s="6">
        <v>46119</v>
      </c>
      <c r="AG303" s="62">
        <f t="shared" si="100"/>
        <v>1</v>
      </c>
      <c r="AH303" s="62" t="str">
        <f t="shared" si="101"/>
        <v>Sunday</v>
      </c>
      <c r="AI303" s="62" t="str">
        <f t="shared" si="102"/>
        <v>Tuesday</v>
      </c>
      <c r="AJ303" s="62" t="str">
        <f>VLOOKUP(AC303,'Currency Sheet'!A:C,3,)</f>
        <v>DOLLAR</v>
      </c>
      <c r="AK303" s="62" t="str">
        <f>VLOOKUP(X303,'Customer List'!B:D,3,)</f>
        <v>OutStation</v>
      </c>
    </row>
    <row r="304" spans="1:37" hidden="1" x14ac:dyDescent="0.25">
      <c r="A304" s="62">
        <f t="shared" si="94"/>
        <v>290</v>
      </c>
      <c r="B304" s="62" t="s">
        <v>824</v>
      </c>
      <c r="C304" s="62" t="s">
        <v>905</v>
      </c>
      <c r="D304" s="6">
        <v>46108</v>
      </c>
      <c r="E304" s="6">
        <v>46118</v>
      </c>
      <c r="F304" s="63">
        <v>326.25</v>
      </c>
      <c r="G304" s="64">
        <f t="shared" si="96"/>
        <v>28710</v>
      </c>
      <c r="H304" s="64">
        <f t="shared" si="97"/>
        <v>57420</v>
      </c>
      <c r="I304" s="70">
        <v>306742</v>
      </c>
      <c r="J304" s="62" t="s">
        <v>768</v>
      </c>
      <c r="K304" s="8" t="s">
        <v>971</v>
      </c>
      <c r="L304" s="10">
        <v>46942</v>
      </c>
      <c r="M304" s="62">
        <v>2</v>
      </c>
      <c r="N304" s="8">
        <v>2</v>
      </c>
      <c r="O304" s="62">
        <f t="shared" si="98"/>
        <v>0</v>
      </c>
      <c r="P304" s="70">
        <v>22</v>
      </c>
      <c r="Q304" s="71">
        <v>46118</v>
      </c>
      <c r="R304" s="6">
        <v>46119</v>
      </c>
      <c r="S304" s="64">
        <v>80910</v>
      </c>
      <c r="T304" s="22">
        <v>5</v>
      </c>
      <c r="U304" s="64">
        <f t="shared" si="99"/>
        <v>4045.5</v>
      </c>
      <c r="V304" s="22">
        <v>0</v>
      </c>
      <c r="W304" s="22">
        <v>151943</v>
      </c>
      <c r="X304" s="62" t="s">
        <v>127</v>
      </c>
      <c r="Y304" s="62">
        <v>58163972366</v>
      </c>
      <c r="Z304" s="62" t="s">
        <v>1112</v>
      </c>
      <c r="AA304" s="65">
        <v>4</v>
      </c>
      <c r="AB304" s="66"/>
      <c r="AC304" s="1" t="s">
        <v>824</v>
      </c>
      <c r="AD304" s="62" t="str">
        <f>VLOOKUP(X304,'Customer List'!B:C,2,)</f>
        <v>Banglore</v>
      </c>
      <c r="AE304" s="67"/>
      <c r="AF304" s="6">
        <v>46120</v>
      </c>
      <c r="AG304" s="62">
        <f t="shared" si="100"/>
        <v>1</v>
      </c>
      <c r="AH304" s="62" t="str">
        <f t="shared" si="101"/>
        <v>Wednesday</v>
      </c>
      <c r="AI304" s="62" t="str">
        <f t="shared" si="102"/>
        <v>Wednesday</v>
      </c>
      <c r="AJ304" s="62" t="str">
        <f>VLOOKUP(AC304,'Currency Sheet'!A:C,3,)</f>
        <v>DOLLAR</v>
      </c>
      <c r="AK304" s="62" t="str">
        <f>VLOOKUP(X304,'Customer List'!B:D,3,)</f>
        <v>OutStation</v>
      </c>
    </row>
    <row r="305" spans="1:37" hidden="1" x14ac:dyDescent="0.25">
      <c r="A305" s="62">
        <f t="shared" si="94"/>
        <v>291</v>
      </c>
      <c r="B305" s="62" t="s">
        <v>824</v>
      </c>
      <c r="C305" s="62" t="s">
        <v>905</v>
      </c>
      <c r="D305" s="6">
        <v>46108</v>
      </c>
      <c r="E305" s="6">
        <v>46118</v>
      </c>
      <c r="F305" s="63">
        <v>115.5</v>
      </c>
      <c r="G305" s="64">
        <f t="shared" si="96"/>
        <v>10164</v>
      </c>
      <c r="H305" s="64">
        <f t="shared" si="97"/>
        <v>10164</v>
      </c>
      <c r="I305" s="70">
        <v>307606</v>
      </c>
      <c r="J305" s="62" t="s">
        <v>752</v>
      </c>
      <c r="K305" s="8" t="s">
        <v>972</v>
      </c>
      <c r="L305" s="10">
        <v>46530</v>
      </c>
      <c r="M305" s="62">
        <v>1</v>
      </c>
      <c r="N305" s="8">
        <v>1</v>
      </c>
      <c r="O305" s="62">
        <f t="shared" si="98"/>
        <v>0</v>
      </c>
      <c r="P305" s="70">
        <v>15</v>
      </c>
      <c r="Q305" s="71">
        <v>46118</v>
      </c>
      <c r="R305" s="6">
        <v>46118</v>
      </c>
      <c r="S305" s="64">
        <v>16170</v>
      </c>
      <c r="T305" s="22">
        <v>5</v>
      </c>
      <c r="U305" s="64">
        <f t="shared" si="99"/>
        <v>808.5</v>
      </c>
      <c r="V305" s="22">
        <v>0</v>
      </c>
      <c r="W305" s="22">
        <v>309943</v>
      </c>
      <c r="X305" s="62" t="s">
        <v>23</v>
      </c>
      <c r="Y305" s="62" t="s">
        <v>1105</v>
      </c>
      <c r="Z305" s="62" t="s">
        <v>1105</v>
      </c>
      <c r="AA305" s="65">
        <v>4</v>
      </c>
      <c r="AB305" s="66"/>
      <c r="AC305" s="1" t="s">
        <v>824</v>
      </c>
      <c r="AD305" s="62" t="str">
        <f>VLOOKUP(X305,'Customer List'!B:C,2,)</f>
        <v>Delhi</v>
      </c>
      <c r="AE305" s="67"/>
      <c r="AF305" s="6"/>
      <c r="AG305" s="62" t="str">
        <f t="shared" si="100"/>
        <v/>
      </c>
      <c r="AH305" s="62" t="str">
        <f t="shared" si="101"/>
        <v>Saturday</v>
      </c>
      <c r="AI305" s="62" t="str">
        <f t="shared" si="102"/>
        <v/>
      </c>
      <c r="AJ305" s="62" t="str">
        <f>VLOOKUP(AC305,'Currency Sheet'!A:C,3,)</f>
        <v>DOLLAR</v>
      </c>
      <c r="AK305" s="62" t="str">
        <f>VLOOKUP(X305,'Customer List'!B:D,3,)</f>
        <v>Local</v>
      </c>
    </row>
    <row r="306" spans="1:37" hidden="1" x14ac:dyDescent="0.25">
      <c r="A306" s="62">
        <f t="shared" si="94"/>
        <v>292</v>
      </c>
      <c r="B306" s="62" t="s">
        <v>824</v>
      </c>
      <c r="C306" s="62" t="s">
        <v>905</v>
      </c>
      <c r="D306" s="6">
        <v>46108</v>
      </c>
      <c r="E306" s="6">
        <v>46118</v>
      </c>
      <c r="F306" s="63">
        <v>285</v>
      </c>
      <c r="G306" s="64">
        <f t="shared" si="96"/>
        <v>25080</v>
      </c>
      <c r="H306" s="64">
        <f t="shared" si="97"/>
        <v>50160</v>
      </c>
      <c r="I306" s="70">
        <v>307646</v>
      </c>
      <c r="J306" s="62" t="s">
        <v>752</v>
      </c>
      <c r="K306" s="8" t="s">
        <v>973</v>
      </c>
      <c r="L306" s="10">
        <v>46900</v>
      </c>
      <c r="M306" s="62">
        <v>2</v>
      </c>
      <c r="N306" s="8">
        <v>2</v>
      </c>
      <c r="O306" s="62">
        <f t="shared" si="98"/>
        <v>0</v>
      </c>
      <c r="P306" s="70">
        <v>38</v>
      </c>
      <c r="Q306" s="71">
        <v>46118</v>
      </c>
      <c r="R306" s="6">
        <v>46119</v>
      </c>
      <c r="S306" s="64">
        <v>70680</v>
      </c>
      <c r="T306" s="22">
        <v>5</v>
      </c>
      <c r="U306" s="64">
        <f t="shared" si="99"/>
        <v>3534</v>
      </c>
      <c r="V306" s="22">
        <v>0</v>
      </c>
      <c r="W306" s="22">
        <v>74214</v>
      </c>
      <c r="X306" s="62" t="s">
        <v>143</v>
      </c>
      <c r="Y306" s="62">
        <v>58163969146</v>
      </c>
      <c r="Z306" s="62" t="s">
        <v>1112</v>
      </c>
      <c r="AA306" s="65">
        <v>4</v>
      </c>
      <c r="AB306" s="66"/>
      <c r="AC306" s="1" t="s">
        <v>824</v>
      </c>
      <c r="AD306" s="62" t="str">
        <f>VLOOKUP(X306,'Customer List'!B:C,2,)</f>
        <v>Mumbai</v>
      </c>
      <c r="AE306" s="67"/>
      <c r="AF306" s="6">
        <v>46120</v>
      </c>
      <c r="AG306" s="62">
        <f t="shared" si="100"/>
        <v>1</v>
      </c>
      <c r="AH306" s="62" t="str">
        <f t="shared" si="101"/>
        <v>Sunday</v>
      </c>
      <c r="AI306" s="62" t="str">
        <f t="shared" si="102"/>
        <v>Wednesday</v>
      </c>
      <c r="AJ306" s="62" t="str">
        <f>VLOOKUP(AC306,'Currency Sheet'!A:C,3,)</f>
        <v>DOLLAR</v>
      </c>
      <c r="AK306" s="62" t="str">
        <f>VLOOKUP(X306,'Customer List'!B:D,3,)</f>
        <v>OutStation</v>
      </c>
    </row>
    <row r="307" spans="1:37" hidden="1" x14ac:dyDescent="0.25">
      <c r="A307" s="62">
        <f t="shared" si="94"/>
        <v>293</v>
      </c>
      <c r="B307" s="62" t="s">
        <v>824</v>
      </c>
      <c r="C307" s="62" t="s">
        <v>905</v>
      </c>
      <c r="D307" s="6">
        <v>46108</v>
      </c>
      <c r="E307" s="6">
        <v>46118</v>
      </c>
      <c r="F307" s="63">
        <v>50.4</v>
      </c>
      <c r="G307" s="64">
        <f t="shared" si="96"/>
        <v>4435.2</v>
      </c>
      <c r="H307" s="64">
        <f t="shared" si="97"/>
        <v>4435.2</v>
      </c>
      <c r="I307" s="70">
        <v>310909</v>
      </c>
      <c r="J307" s="62" t="s">
        <v>747</v>
      </c>
      <c r="K307" s="8" t="s">
        <v>974</v>
      </c>
      <c r="L307" s="10">
        <v>47289</v>
      </c>
      <c r="M307" s="62">
        <v>1</v>
      </c>
      <c r="N307" s="8">
        <v>1</v>
      </c>
      <c r="O307" s="62">
        <f t="shared" si="98"/>
        <v>0</v>
      </c>
      <c r="P307" s="70">
        <v>11</v>
      </c>
      <c r="Q307" s="71">
        <v>46118</v>
      </c>
      <c r="R307" s="6">
        <v>46118</v>
      </c>
      <c r="S307" s="64">
        <v>6912</v>
      </c>
      <c r="T307" s="22">
        <v>5</v>
      </c>
      <c r="U307" s="64">
        <f t="shared" si="99"/>
        <v>345.6</v>
      </c>
      <c r="V307" s="22">
        <v>0</v>
      </c>
      <c r="W307" s="22">
        <v>264802</v>
      </c>
      <c r="X307" s="62" t="s">
        <v>1097</v>
      </c>
      <c r="Y307" s="62" t="s">
        <v>896</v>
      </c>
      <c r="Z307" s="62" t="s">
        <v>821</v>
      </c>
      <c r="AA307" s="65">
        <v>4</v>
      </c>
      <c r="AB307" s="66"/>
      <c r="AC307" s="1" t="s">
        <v>824</v>
      </c>
      <c r="AD307" s="62" t="str">
        <f>VLOOKUP(X307,'Customer List'!B:C,2,)</f>
        <v>DELHI</v>
      </c>
      <c r="AE307" s="67"/>
      <c r="AF307" s="6"/>
      <c r="AG307" s="62" t="str">
        <f t="shared" si="100"/>
        <v/>
      </c>
      <c r="AH307" s="62" t="str">
        <f t="shared" si="101"/>
        <v>Tuesday</v>
      </c>
      <c r="AI307" s="62" t="str">
        <f t="shared" si="102"/>
        <v/>
      </c>
      <c r="AJ307" s="62" t="str">
        <f>VLOOKUP(AC307,'Currency Sheet'!A:C,3,)</f>
        <v>DOLLAR</v>
      </c>
      <c r="AK307" s="62" t="str">
        <f>VLOOKUP(X307,'Customer List'!B:D,3,)</f>
        <v>Local</v>
      </c>
    </row>
    <row r="308" spans="1:37" hidden="1" x14ac:dyDescent="0.25">
      <c r="A308" s="62">
        <f t="shared" si="94"/>
        <v>294</v>
      </c>
      <c r="B308" s="62" t="s">
        <v>824</v>
      </c>
      <c r="C308" s="62" t="s">
        <v>905</v>
      </c>
      <c r="D308" s="6">
        <v>46108</v>
      </c>
      <c r="E308" s="6">
        <v>46118</v>
      </c>
      <c r="F308" s="63">
        <v>252</v>
      </c>
      <c r="G308" s="64">
        <f t="shared" si="96"/>
        <v>22176</v>
      </c>
      <c r="H308" s="64">
        <f t="shared" si="97"/>
        <v>22176</v>
      </c>
      <c r="I308" s="70">
        <v>310942</v>
      </c>
      <c r="J308" s="62" t="s">
        <v>747</v>
      </c>
      <c r="K308" s="8" t="s">
        <v>975</v>
      </c>
      <c r="L308" s="10">
        <v>47245</v>
      </c>
      <c r="M308" s="62">
        <v>1</v>
      </c>
      <c r="N308" s="8">
        <v>1</v>
      </c>
      <c r="O308" s="62">
        <f t="shared" si="98"/>
        <v>0</v>
      </c>
      <c r="P308" s="70">
        <v>30</v>
      </c>
      <c r="Q308" s="71">
        <v>46118</v>
      </c>
      <c r="R308" s="6">
        <v>46119</v>
      </c>
      <c r="S308" s="64">
        <v>41850</v>
      </c>
      <c r="T308" s="22">
        <v>5</v>
      </c>
      <c r="U308" s="64">
        <f t="shared" si="99"/>
        <v>2092.5</v>
      </c>
      <c r="V308" s="22">
        <v>0</v>
      </c>
      <c r="W308" s="22">
        <v>106194</v>
      </c>
      <c r="X308" s="62" t="s">
        <v>29</v>
      </c>
      <c r="Y308" s="62">
        <v>58163972801</v>
      </c>
      <c r="Z308" s="62" t="s">
        <v>1112</v>
      </c>
      <c r="AA308" s="65">
        <v>4</v>
      </c>
      <c r="AB308" s="66"/>
      <c r="AC308" s="1" t="s">
        <v>824</v>
      </c>
      <c r="AD308" s="62" t="str">
        <f>VLOOKUP(X308,'Customer List'!B:C,2,)</f>
        <v>Gujrat</v>
      </c>
      <c r="AE308" s="67"/>
      <c r="AF308" s="6">
        <v>46120</v>
      </c>
      <c r="AG308" s="62">
        <f t="shared" si="100"/>
        <v>1</v>
      </c>
      <c r="AH308" s="62" t="str">
        <f t="shared" si="101"/>
        <v>Wednesday</v>
      </c>
      <c r="AI308" s="62" t="str">
        <f t="shared" si="102"/>
        <v>Wednesday</v>
      </c>
      <c r="AJ308" s="62" t="str">
        <f>VLOOKUP(AC308,'Currency Sheet'!A:C,3,)</f>
        <v>DOLLAR</v>
      </c>
      <c r="AK308" s="62" t="str">
        <f>VLOOKUP(X308,'Customer List'!B:D,3,)</f>
        <v>OutStation</v>
      </c>
    </row>
    <row r="309" spans="1:37" hidden="1" x14ac:dyDescent="0.25">
      <c r="A309" s="62">
        <f t="shared" si="94"/>
        <v>295</v>
      </c>
      <c r="B309" s="62" t="s">
        <v>824</v>
      </c>
      <c r="C309" s="62" t="s">
        <v>905</v>
      </c>
      <c r="D309" s="6">
        <v>46108</v>
      </c>
      <c r="E309" s="6">
        <v>46118</v>
      </c>
      <c r="F309" s="63">
        <v>131.6</v>
      </c>
      <c r="G309" s="64">
        <f t="shared" si="96"/>
        <v>11580.8</v>
      </c>
      <c r="H309" s="64">
        <f t="shared" si="97"/>
        <v>11580.8</v>
      </c>
      <c r="I309" s="70">
        <v>311404</v>
      </c>
      <c r="J309" s="62" t="s">
        <v>976</v>
      </c>
      <c r="K309" s="8" t="s">
        <v>977</v>
      </c>
      <c r="L309" s="10">
        <v>48517</v>
      </c>
      <c r="M309" s="62">
        <v>1</v>
      </c>
      <c r="N309" s="8">
        <v>1</v>
      </c>
      <c r="O309" s="62">
        <f t="shared" si="98"/>
        <v>0</v>
      </c>
      <c r="P309" s="70">
        <v>44</v>
      </c>
      <c r="Q309" s="71">
        <v>46118</v>
      </c>
      <c r="R309" s="6">
        <v>46119</v>
      </c>
      <c r="S309" s="64">
        <v>19815.2</v>
      </c>
      <c r="T309" s="22">
        <v>5</v>
      </c>
      <c r="U309" s="64">
        <f t="shared" si="99"/>
        <v>990.7600000000001</v>
      </c>
      <c r="V309" s="22">
        <v>0</v>
      </c>
      <c r="W309" s="22">
        <v>287299</v>
      </c>
      <c r="X309" s="62" t="s">
        <v>1090</v>
      </c>
      <c r="Y309" s="62">
        <v>58163968295</v>
      </c>
      <c r="Z309" s="62" t="s">
        <v>1112</v>
      </c>
      <c r="AA309" s="65">
        <v>4</v>
      </c>
      <c r="AB309" s="66"/>
      <c r="AC309" s="1" t="s">
        <v>824</v>
      </c>
      <c r="AD309" s="62" t="str">
        <f>VLOOKUP(X309,'Customer List'!B:C,2,)</f>
        <v>Kanpur</v>
      </c>
      <c r="AE309" s="67"/>
      <c r="AF309" s="6">
        <v>46121</v>
      </c>
      <c r="AG309" s="62">
        <f t="shared" si="100"/>
        <v>2</v>
      </c>
      <c r="AH309" s="62" t="str">
        <f t="shared" si="101"/>
        <v>Thursday</v>
      </c>
      <c r="AI309" s="62" t="str">
        <f t="shared" si="102"/>
        <v>Thursday</v>
      </c>
      <c r="AJ309" s="62" t="str">
        <f>VLOOKUP(AC309,'Currency Sheet'!A:C,3,)</f>
        <v>DOLLAR</v>
      </c>
      <c r="AK309" s="62" t="str">
        <f>VLOOKUP(X309,'Customer List'!B:D,3,)</f>
        <v>OutStation</v>
      </c>
    </row>
    <row r="310" spans="1:37" hidden="1" x14ac:dyDescent="0.25">
      <c r="A310" s="62">
        <f t="shared" si="94"/>
        <v>296</v>
      </c>
      <c r="B310" s="62" t="s">
        <v>824</v>
      </c>
      <c r="C310" s="62" t="s">
        <v>905</v>
      </c>
      <c r="D310" s="6">
        <v>46108</v>
      </c>
      <c r="E310" s="6">
        <v>46118</v>
      </c>
      <c r="F310" s="63">
        <v>95.9</v>
      </c>
      <c r="G310" s="64">
        <f t="shared" si="96"/>
        <v>8439.2000000000007</v>
      </c>
      <c r="H310" s="64">
        <f t="shared" si="97"/>
        <v>8439.2000000000007</v>
      </c>
      <c r="I310" s="70">
        <v>311409</v>
      </c>
      <c r="J310" s="62" t="s">
        <v>976</v>
      </c>
      <c r="K310" s="8" t="s">
        <v>978</v>
      </c>
      <c r="L310" s="10">
        <v>46882</v>
      </c>
      <c r="M310" s="62">
        <v>1</v>
      </c>
      <c r="N310" s="8">
        <v>1</v>
      </c>
      <c r="O310" s="62">
        <f t="shared" si="98"/>
        <v>0</v>
      </c>
      <c r="P310" s="70">
        <v>44</v>
      </c>
      <c r="Q310" s="71">
        <v>46118</v>
      </c>
      <c r="R310" s="6">
        <v>46119</v>
      </c>
      <c r="S310" s="64">
        <v>14439.8</v>
      </c>
      <c r="T310" s="22">
        <v>5</v>
      </c>
      <c r="U310" s="64">
        <f t="shared" si="99"/>
        <v>721.99</v>
      </c>
      <c r="V310" s="22">
        <v>0</v>
      </c>
      <c r="W310" s="22">
        <v>287299</v>
      </c>
      <c r="X310" s="62" t="s">
        <v>1090</v>
      </c>
      <c r="Y310" s="62">
        <v>58163968295</v>
      </c>
      <c r="Z310" s="62" t="s">
        <v>1112</v>
      </c>
      <c r="AA310" s="65">
        <v>4</v>
      </c>
      <c r="AB310" s="66"/>
      <c r="AC310" s="1" t="s">
        <v>824</v>
      </c>
      <c r="AD310" s="62" t="str">
        <f>VLOOKUP(X310,'Customer List'!B:C,2,)</f>
        <v>Kanpur</v>
      </c>
      <c r="AE310" s="67"/>
      <c r="AF310" s="6">
        <v>46121</v>
      </c>
      <c r="AG310" s="62">
        <f t="shared" si="100"/>
        <v>2</v>
      </c>
      <c r="AH310" s="62" t="str">
        <f t="shared" si="101"/>
        <v>Thursday</v>
      </c>
      <c r="AI310" s="62" t="str">
        <f t="shared" si="102"/>
        <v>Thursday</v>
      </c>
      <c r="AJ310" s="62" t="str">
        <f>VLOOKUP(AC310,'Currency Sheet'!A:C,3,)</f>
        <v>DOLLAR</v>
      </c>
      <c r="AK310" s="62" t="str">
        <f>VLOOKUP(X310,'Customer List'!B:D,3,)</f>
        <v>OutStation</v>
      </c>
    </row>
    <row r="311" spans="1:37" hidden="1" x14ac:dyDescent="0.25">
      <c r="A311" s="62">
        <f t="shared" si="94"/>
        <v>297</v>
      </c>
      <c r="B311" s="62" t="s">
        <v>824</v>
      </c>
      <c r="C311" s="62" t="s">
        <v>905</v>
      </c>
      <c r="D311" s="6">
        <v>46108</v>
      </c>
      <c r="E311" s="6">
        <v>46118</v>
      </c>
      <c r="F311" s="63">
        <v>330</v>
      </c>
      <c r="G311" s="64">
        <f t="shared" si="96"/>
        <v>29040</v>
      </c>
      <c r="H311" s="64">
        <f t="shared" si="97"/>
        <v>29040</v>
      </c>
      <c r="I311" s="70">
        <v>313534</v>
      </c>
      <c r="J311" s="62" t="s">
        <v>979</v>
      </c>
      <c r="K311" s="8" t="s">
        <v>980</v>
      </c>
      <c r="L311" s="10">
        <v>46930</v>
      </c>
      <c r="M311" s="62">
        <v>1</v>
      </c>
      <c r="N311" s="8">
        <v>1</v>
      </c>
      <c r="O311" s="62">
        <f t="shared" si="98"/>
        <v>0</v>
      </c>
      <c r="P311" s="70">
        <v>16</v>
      </c>
      <c r="Q311" s="71">
        <v>46118</v>
      </c>
      <c r="R311" s="6">
        <v>46118</v>
      </c>
      <c r="S311" s="64">
        <v>46376</v>
      </c>
      <c r="T311" s="22">
        <v>5</v>
      </c>
      <c r="U311" s="64">
        <f t="shared" si="99"/>
        <v>2318.8000000000002</v>
      </c>
      <c r="V311" s="22">
        <v>0</v>
      </c>
      <c r="W311" s="22">
        <v>290286</v>
      </c>
      <c r="X311" s="62" t="s">
        <v>177</v>
      </c>
      <c r="Y311" s="62" t="s">
        <v>1108</v>
      </c>
      <c r="Z311" s="62" t="s">
        <v>1112</v>
      </c>
      <c r="AA311" s="65">
        <v>4</v>
      </c>
      <c r="AB311" s="66"/>
      <c r="AC311" s="1" t="s">
        <v>824</v>
      </c>
      <c r="AD311" s="62" t="str">
        <f>VLOOKUP(X311,'Customer List'!B:C,2,)</f>
        <v>Punjab</v>
      </c>
      <c r="AE311" s="67"/>
      <c r="AF311" s="6">
        <v>46119</v>
      </c>
      <c r="AG311" s="62">
        <f t="shared" si="100"/>
        <v>1</v>
      </c>
      <c r="AH311" s="62" t="str">
        <f t="shared" si="101"/>
        <v>Sunday</v>
      </c>
      <c r="AI311" s="62" t="str">
        <f t="shared" si="102"/>
        <v>Tuesday</v>
      </c>
      <c r="AJ311" s="62" t="str">
        <f>VLOOKUP(AC311,'Currency Sheet'!A:C,3,)</f>
        <v>DOLLAR</v>
      </c>
      <c r="AK311" s="62" t="str">
        <f>VLOOKUP(X311,'Customer List'!B:D,3,)</f>
        <v>OutStation</v>
      </c>
    </row>
    <row r="312" spans="1:37" hidden="1" x14ac:dyDescent="0.25">
      <c r="A312" s="62">
        <f t="shared" si="94"/>
        <v>298</v>
      </c>
      <c r="B312" s="62" t="s">
        <v>824</v>
      </c>
      <c r="C312" s="62" t="s">
        <v>905</v>
      </c>
      <c r="D312" s="6">
        <v>46108</v>
      </c>
      <c r="E312" s="6">
        <v>46118</v>
      </c>
      <c r="F312" s="63">
        <v>38.5</v>
      </c>
      <c r="G312" s="64">
        <f t="shared" si="96"/>
        <v>3388</v>
      </c>
      <c r="H312" s="64">
        <f t="shared" si="97"/>
        <v>3388</v>
      </c>
      <c r="I312" s="70">
        <v>317306</v>
      </c>
      <c r="J312" s="62" t="s">
        <v>749</v>
      </c>
      <c r="K312" s="8" t="s">
        <v>981</v>
      </c>
      <c r="L312" s="10">
        <v>48150</v>
      </c>
      <c r="M312" s="62">
        <v>1</v>
      </c>
      <c r="N312" s="8">
        <v>1</v>
      </c>
      <c r="O312" s="62">
        <f t="shared" si="98"/>
        <v>0</v>
      </c>
      <c r="P312" s="70">
        <v>37</v>
      </c>
      <c r="Q312" s="71">
        <v>46118</v>
      </c>
      <c r="R312" s="6">
        <v>46119</v>
      </c>
      <c r="S312" s="64">
        <v>6820</v>
      </c>
      <c r="T312" s="22">
        <v>5</v>
      </c>
      <c r="U312" s="64">
        <f t="shared" si="99"/>
        <v>341</v>
      </c>
      <c r="V312" s="22">
        <v>0.2</v>
      </c>
      <c r="W312" s="22">
        <v>34310</v>
      </c>
      <c r="X312" s="62" t="s">
        <v>1098</v>
      </c>
      <c r="Y312" s="62">
        <v>58163969522</v>
      </c>
      <c r="Z312" s="62" t="s">
        <v>1112</v>
      </c>
      <c r="AA312" s="65">
        <v>4</v>
      </c>
      <c r="AB312" s="66"/>
      <c r="AC312" s="1" t="s">
        <v>824</v>
      </c>
      <c r="AD312" s="62" t="str">
        <f>VLOOKUP(X312,'Customer List'!B:C,2,)</f>
        <v>Banglore</v>
      </c>
      <c r="AE312" s="67"/>
      <c r="AF312" s="6">
        <v>46120</v>
      </c>
      <c r="AG312" s="62">
        <f t="shared" si="100"/>
        <v>1</v>
      </c>
      <c r="AH312" s="62" t="str">
        <f t="shared" si="101"/>
        <v>Monday</v>
      </c>
      <c r="AI312" s="62" t="str">
        <f t="shared" si="102"/>
        <v>Wednesday</v>
      </c>
      <c r="AJ312" s="62" t="str">
        <f>VLOOKUP(AC312,'Currency Sheet'!A:C,3,)</f>
        <v>DOLLAR</v>
      </c>
      <c r="AK312" s="62" t="str">
        <f>VLOOKUP(X312,'Customer List'!B:D,3,)</f>
        <v>OutStation</v>
      </c>
    </row>
    <row r="313" spans="1:37" hidden="1" x14ac:dyDescent="0.25">
      <c r="A313" s="62">
        <f t="shared" si="94"/>
        <v>299</v>
      </c>
      <c r="B313" s="62" t="s">
        <v>824</v>
      </c>
      <c r="C313" s="62" t="s">
        <v>905</v>
      </c>
      <c r="D313" s="6">
        <v>46108</v>
      </c>
      <c r="E313" s="6">
        <v>46118</v>
      </c>
      <c r="F313" s="63">
        <v>81.2</v>
      </c>
      <c r="G313" s="64">
        <f t="shared" si="96"/>
        <v>7145.6</v>
      </c>
      <c r="H313" s="64">
        <f t="shared" si="97"/>
        <v>7145.6</v>
      </c>
      <c r="I313" s="70">
        <v>317339</v>
      </c>
      <c r="J313" s="62" t="s">
        <v>749</v>
      </c>
      <c r="K313" s="8" t="s">
        <v>982</v>
      </c>
      <c r="L313" s="10">
        <v>47549</v>
      </c>
      <c r="M313" s="62">
        <v>1</v>
      </c>
      <c r="N313" s="8">
        <v>1</v>
      </c>
      <c r="O313" s="62">
        <f t="shared" si="98"/>
        <v>0</v>
      </c>
      <c r="P313" s="70">
        <v>11</v>
      </c>
      <c r="Q313" s="71">
        <v>46118</v>
      </c>
      <c r="R313" s="6">
        <v>46118</v>
      </c>
      <c r="S313" s="64">
        <v>11136</v>
      </c>
      <c r="T313" s="22">
        <v>5</v>
      </c>
      <c r="U313" s="64">
        <f t="shared" si="99"/>
        <v>556.80000000000007</v>
      </c>
      <c r="V313" s="22">
        <v>0</v>
      </c>
      <c r="W313" s="22">
        <v>264802</v>
      </c>
      <c r="X313" s="62" t="s">
        <v>1097</v>
      </c>
      <c r="Y313" s="62" t="s">
        <v>896</v>
      </c>
      <c r="Z313" s="62" t="s">
        <v>821</v>
      </c>
      <c r="AA313" s="65">
        <v>4</v>
      </c>
      <c r="AB313" s="66"/>
      <c r="AC313" s="1" t="s">
        <v>824</v>
      </c>
      <c r="AD313" s="62" t="str">
        <f>VLOOKUP(X313,'Customer List'!B:C,2,)</f>
        <v>DELHI</v>
      </c>
      <c r="AE313" s="67"/>
      <c r="AF313" s="6"/>
      <c r="AG313" s="62" t="str">
        <f t="shared" si="100"/>
        <v/>
      </c>
      <c r="AH313" s="62" t="str">
        <f t="shared" si="101"/>
        <v>Friday</v>
      </c>
      <c r="AI313" s="62" t="str">
        <f t="shared" si="102"/>
        <v/>
      </c>
      <c r="AJ313" s="62" t="str">
        <f>VLOOKUP(AC313,'Currency Sheet'!A:C,3,)</f>
        <v>DOLLAR</v>
      </c>
      <c r="AK313" s="62" t="str">
        <f>VLOOKUP(X313,'Customer List'!B:D,3,)</f>
        <v>Local</v>
      </c>
    </row>
    <row r="314" spans="1:37" hidden="1" x14ac:dyDescent="0.25">
      <c r="A314" s="62">
        <f t="shared" si="94"/>
        <v>300</v>
      </c>
      <c r="B314" s="62" t="s">
        <v>824</v>
      </c>
      <c r="C314" s="62" t="s">
        <v>905</v>
      </c>
      <c r="D314" s="6">
        <v>46108</v>
      </c>
      <c r="E314" s="6">
        <v>46118</v>
      </c>
      <c r="F314" s="63">
        <v>35</v>
      </c>
      <c r="G314" s="64">
        <f t="shared" si="96"/>
        <v>3080</v>
      </c>
      <c r="H314" s="64">
        <f t="shared" si="97"/>
        <v>3080</v>
      </c>
      <c r="I314" s="70">
        <v>317408</v>
      </c>
      <c r="J314" s="62" t="s">
        <v>744</v>
      </c>
      <c r="K314" s="8" t="s">
        <v>983</v>
      </c>
      <c r="L314" s="10">
        <v>48441</v>
      </c>
      <c r="M314" s="62">
        <v>1</v>
      </c>
      <c r="N314" s="8">
        <v>1</v>
      </c>
      <c r="O314" s="62">
        <f t="shared" si="98"/>
        <v>0</v>
      </c>
      <c r="P314" s="70" t="s">
        <v>1449</v>
      </c>
      <c r="Q314" s="71">
        <v>46125</v>
      </c>
      <c r="R314" s="6">
        <v>46125</v>
      </c>
      <c r="S314" s="64">
        <v>6975</v>
      </c>
      <c r="T314" s="22">
        <v>5</v>
      </c>
      <c r="U314" s="64">
        <f t="shared" si="99"/>
        <v>348.75</v>
      </c>
      <c r="V314" s="22">
        <v>0</v>
      </c>
      <c r="W314" s="22">
        <v>81001</v>
      </c>
      <c r="X314" s="62" t="s">
        <v>94</v>
      </c>
      <c r="Y314" s="62" t="s">
        <v>896</v>
      </c>
      <c r="Z314" s="62" t="s">
        <v>821</v>
      </c>
      <c r="AA314" s="65">
        <v>4</v>
      </c>
      <c r="AB314" s="66" t="s">
        <v>1118</v>
      </c>
      <c r="AC314" s="1" t="s">
        <v>824</v>
      </c>
      <c r="AD314" s="62" t="str">
        <f>VLOOKUP(X314,'Customer List'!B:C,2,)</f>
        <v>Delhi</v>
      </c>
      <c r="AE314" s="67"/>
      <c r="AF314" s="6"/>
      <c r="AG314" s="62" t="str">
        <f t="shared" si="100"/>
        <v/>
      </c>
      <c r="AH314" s="62" t="str">
        <f t="shared" si="101"/>
        <v>Tuesday</v>
      </c>
      <c r="AI314" s="62" t="str">
        <f t="shared" si="102"/>
        <v/>
      </c>
      <c r="AJ314" s="62" t="str">
        <f>VLOOKUP(AC314,'Currency Sheet'!A:C,3,)</f>
        <v>DOLLAR</v>
      </c>
      <c r="AK314" s="62" t="str">
        <f>VLOOKUP(X314,'Customer List'!B:D,3,)</f>
        <v>Local</v>
      </c>
    </row>
    <row r="315" spans="1:37" hidden="1" x14ac:dyDescent="0.25">
      <c r="A315" s="62">
        <f t="shared" si="94"/>
        <v>301</v>
      </c>
      <c r="B315" s="62" t="s">
        <v>824</v>
      </c>
      <c r="C315" s="62" t="s">
        <v>905</v>
      </c>
      <c r="D315" s="6">
        <v>46108</v>
      </c>
      <c r="E315" s="6">
        <v>46118</v>
      </c>
      <c r="F315" s="63">
        <v>46.2</v>
      </c>
      <c r="G315" s="64">
        <f t="shared" si="96"/>
        <v>4065.6000000000004</v>
      </c>
      <c r="H315" s="64">
        <f t="shared" si="97"/>
        <v>4065.6000000000004</v>
      </c>
      <c r="I315" s="70">
        <v>317410</v>
      </c>
      <c r="J315" s="62" t="s">
        <v>744</v>
      </c>
      <c r="K315" s="8" t="s">
        <v>984</v>
      </c>
      <c r="L315" s="10">
        <v>47038</v>
      </c>
      <c r="M315" s="62">
        <v>1</v>
      </c>
      <c r="N315" s="8">
        <v>1</v>
      </c>
      <c r="O315" s="62">
        <f t="shared" si="98"/>
        <v>0</v>
      </c>
      <c r="P315" s="70">
        <v>15</v>
      </c>
      <c r="Q315" s="71">
        <v>46118</v>
      </c>
      <c r="R315" s="6">
        <v>46118</v>
      </c>
      <c r="S315" s="64">
        <v>6468</v>
      </c>
      <c r="T315" s="22">
        <v>5</v>
      </c>
      <c r="U315" s="64">
        <f t="shared" si="99"/>
        <v>323.40000000000003</v>
      </c>
      <c r="V315" s="22">
        <v>0</v>
      </c>
      <c r="W315" s="22">
        <v>309943</v>
      </c>
      <c r="X315" s="62" t="s">
        <v>23</v>
      </c>
      <c r="Y315" s="62" t="s">
        <v>1105</v>
      </c>
      <c r="Z315" s="62" t="s">
        <v>1105</v>
      </c>
      <c r="AA315" s="65">
        <v>4</v>
      </c>
      <c r="AB315" s="66"/>
      <c r="AC315" s="1" t="s">
        <v>824</v>
      </c>
      <c r="AD315" s="62" t="str">
        <f>VLOOKUP(X315,'Customer List'!B:C,2,)</f>
        <v>Delhi</v>
      </c>
      <c r="AE315" s="67"/>
      <c r="AF315" s="6"/>
      <c r="AG315" s="62" t="str">
        <f t="shared" si="100"/>
        <v/>
      </c>
      <c r="AH315" s="62" t="str">
        <f t="shared" si="101"/>
        <v>Saturday</v>
      </c>
      <c r="AI315" s="62" t="str">
        <f t="shared" si="102"/>
        <v/>
      </c>
      <c r="AJ315" s="62" t="str">
        <f>VLOOKUP(AC315,'Currency Sheet'!A:C,3,)</f>
        <v>DOLLAR</v>
      </c>
      <c r="AK315" s="62" t="str">
        <f>VLOOKUP(X315,'Customer List'!B:D,3,)</f>
        <v>Local</v>
      </c>
    </row>
    <row r="316" spans="1:37" hidden="1" x14ac:dyDescent="0.25">
      <c r="A316" s="62">
        <f t="shared" si="94"/>
        <v>302</v>
      </c>
      <c r="B316" s="62" t="s">
        <v>824</v>
      </c>
      <c r="C316" s="62" t="s">
        <v>905</v>
      </c>
      <c r="D316" s="6">
        <v>46108</v>
      </c>
      <c r="E316" s="6">
        <v>46118</v>
      </c>
      <c r="F316" s="63">
        <v>107.1</v>
      </c>
      <c r="G316" s="64">
        <f t="shared" si="96"/>
        <v>9424.7999999999993</v>
      </c>
      <c r="H316" s="64">
        <f t="shared" si="97"/>
        <v>9424.7999999999993</v>
      </c>
      <c r="I316" s="70">
        <v>317413</v>
      </c>
      <c r="J316" s="62" t="s">
        <v>744</v>
      </c>
      <c r="K316" s="8" t="s">
        <v>985</v>
      </c>
      <c r="L316" s="10">
        <v>46609</v>
      </c>
      <c r="M316" s="62">
        <v>1</v>
      </c>
      <c r="N316" s="8">
        <v>1</v>
      </c>
      <c r="O316" s="62">
        <f t="shared" si="98"/>
        <v>0</v>
      </c>
      <c r="P316" s="70">
        <v>11</v>
      </c>
      <c r="Q316" s="71">
        <v>46118</v>
      </c>
      <c r="R316" s="6">
        <v>46118</v>
      </c>
      <c r="S316" s="64">
        <v>14688</v>
      </c>
      <c r="T316" s="22">
        <v>5</v>
      </c>
      <c r="U316" s="64">
        <f t="shared" si="99"/>
        <v>734.40000000000009</v>
      </c>
      <c r="V316" s="22">
        <v>0</v>
      </c>
      <c r="W316" s="22">
        <v>264802</v>
      </c>
      <c r="X316" s="62" t="s">
        <v>1097</v>
      </c>
      <c r="Y316" s="62" t="s">
        <v>896</v>
      </c>
      <c r="Z316" s="62" t="s">
        <v>821</v>
      </c>
      <c r="AA316" s="65">
        <v>4</v>
      </c>
      <c r="AB316" s="66"/>
      <c r="AC316" s="1" t="s">
        <v>824</v>
      </c>
      <c r="AD316" s="62" t="str">
        <f>VLOOKUP(X316,'Customer List'!B:C,2,)</f>
        <v>DELHI</v>
      </c>
      <c r="AE316" s="67"/>
      <c r="AF316" s="6"/>
      <c r="AG316" s="62" t="str">
        <f t="shared" si="100"/>
        <v/>
      </c>
      <c r="AH316" s="62" t="str">
        <f t="shared" si="101"/>
        <v>Monday</v>
      </c>
      <c r="AI316" s="62" t="str">
        <f t="shared" si="102"/>
        <v/>
      </c>
      <c r="AJ316" s="62" t="str">
        <f>VLOOKUP(AC316,'Currency Sheet'!A:C,3,)</f>
        <v>DOLLAR</v>
      </c>
      <c r="AK316" s="62" t="str">
        <f>VLOOKUP(X316,'Customer List'!B:D,3,)</f>
        <v>Local</v>
      </c>
    </row>
    <row r="317" spans="1:37" hidden="1" x14ac:dyDescent="0.25">
      <c r="A317" s="62">
        <f t="shared" si="94"/>
        <v>303</v>
      </c>
      <c r="B317" s="62" t="s">
        <v>824</v>
      </c>
      <c r="C317" s="62" t="s">
        <v>905</v>
      </c>
      <c r="D317" s="6">
        <v>46108</v>
      </c>
      <c r="E317" s="6">
        <v>46118</v>
      </c>
      <c r="F317" s="63">
        <v>50.4</v>
      </c>
      <c r="G317" s="64">
        <f t="shared" si="96"/>
        <v>4435.2</v>
      </c>
      <c r="H317" s="64">
        <f t="shared" si="97"/>
        <v>4435.2</v>
      </c>
      <c r="I317" s="70">
        <v>317416</v>
      </c>
      <c r="J317" s="62" t="s">
        <v>744</v>
      </c>
      <c r="K317" s="8" t="s">
        <v>986</v>
      </c>
      <c r="L317" s="10">
        <v>46877</v>
      </c>
      <c r="M317" s="62">
        <v>1</v>
      </c>
      <c r="N317" s="8">
        <v>1</v>
      </c>
      <c r="O317" s="62">
        <f t="shared" si="98"/>
        <v>0</v>
      </c>
      <c r="P317" s="70">
        <v>16</v>
      </c>
      <c r="Q317" s="71">
        <v>46118</v>
      </c>
      <c r="R317" s="6">
        <v>46118</v>
      </c>
      <c r="S317" s="64">
        <v>7589</v>
      </c>
      <c r="T317" s="22">
        <v>5</v>
      </c>
      <c r="U317" s="64">
        <f t="shared" si="99"/>
        <v>379.45000000000005</v>
      </c>
      <c r="V317" s="22">
        <v>0</v>
      </c>
      <c r="W317" s="22">
        <v>290286</v>
      </c>
      <c r="X317" s="62" t="s">
        <v>177</v>
      </c>
      <c r="Y317" s="62" t="s">
        <v>1108</v>
      </c>
      <c r="Z317" s="62" t="s">
        <v>1112</v>
      </c>
      <c r="AA317" s="65">
        <v>4</v>
      </c>
      <c r="AB317" s="66"/>
      <c r="AC317" s="1" t="s">
        <v>824</v>
      </c>
      <c r="AD317" s="62" t="str">
        <f>VLOOKUP(X317,'Customer List'!B:C,2,)</f>
        <v>Punjab</v>
      </c>
      <c r="AE317" s="67"/>
      <c r="AF317" s="6">
        <v>46119</v>
      </c>
      <c r="AG317" s="62">
        <f t="shared" si="100"/>
        <v>1</v>
      </c>
      <c r="AH317" s="62" t="str">
        <f t="shared" si="101"/>
        <v>Sunday</v>
      </c>
      <c r="AI317" s="62" t="str">
        <f t="shared" si="102"/>
        <v>Tuesday</v>
      </c>
      <c r="AJ317" s="62" t="str">
        <f>VLOOKUP(AC317,'Currency Sheet'!A:C,3,)</f>
        <v>DOLLAR</v>
      </c>
      <c r="AK317" s="62" t="str">
        <f>VLOOKUP(X317,'Customer List'!B:D,3,)</f>
        <v>OutStation</v>
      </c>
    </row>
    <row r="318" spans="1:37" hidden="1" x14ac:dyDescent="0.25">
      <c r="A318" s="62">
        <f t="shared" si="94"/>
        <v>304</v>
      </c>
      <c r="B318" s="62" t="s">
        <v>824</v>
      </c>
      <c r="C318" s="62" t="s">
        <v>905</v>
      </c>
      <c r="D318" s="6">
        <v>46108</v>
      </c>
      <c r="E318" s="6">
        <v>46118</v>
      </c>
      <c r="F318" s="63">
        <v>305.25</v>
      </c>
      <c r="G318" s="64">
        <f t="shared" si="96"/>
        <v>26862</v>
      </c>
      <c r="H318" s="64">
        <f t="shared" si="97"/>
        <v>26862</v>
      </c>
      <c r="I318" s="70">
        <v>318340</v>
      </c>
      <c r="J318" s="62" t="s">
        <v>987</v>
      </c>
      <c r="K318" s="8" t="s">
        <v>988</v>
      </c>
      <c r="L318" s="10">
        <v>46789</v>
      </c>
      <c r="M318" s="62">
        <v>1</v>
      </c>
      <c r="N318" s="8">
        <v>1</v>
      </c>
      <c r="O318" s="62">
        <f t="shared" si="98"/>
        <v>0</v>
      </c>
      <c r="P318" s="70">
        <v>32</v>
      </c>
      <c r="Q318" s="71">
        <v>46118</v>
      </c>
      <c r="R318" s="6">
        <v>46119</v>
      </c>
      <c r="S318" s="64">
        <v>48300</v>
      </c>
      <c r="T318" s="22">
        <v>5</v>
      </c>
      <c r="U318" s="64">
        <f t="shared" si="99"/>
        <v>2415</v>
      </c>
      <c r="V318" s="22">
        <v>112497</v>
      </c>
      <c r="W318" s="22"/>
      <c r="X318" s="62" t="s">
        <v>1096</v>
      </c>
      <c r="Y318" s="62">
        <v>58163968925</v>
      </c>
      <c r="Z318" s="62" t="s">
        <v>1112</v>
      </c>
      <c r="AA318" s="65">
        <v>4</v>
      </c>
      <c r="AB318" s="66"/>
      <c r="AC318" s="1" t="s">
        <v>824</v>
      </c>
      <c r="AD318" s="62" t="str">
        <f>VLOOKUP(X318,'Customer List'!B:C,2,)</f>
        <v>Mumbai</v>
      </c>
      <c r="AE318" s="67"/>
      <c r="AF318" s="6">
        <v>46120</v>
      </c>
      <c r="AG318" s="62">
        <f t="shared" si="100"/>
        <v>1</v>
      </c>
      <c r="AH318" s="62" t="str">
        <f t="shared" si="101"/>
        <v>Saturday</v>
      </c>
      <c r="AI318" s="62" t="str">
        <f t="shared" si="102"/>
        <v>Wednesday</v>
      </c>
      <c r="AJ318" s="62" t="str">
        <f>VLOOKUP(AC318,'Currency Sheet'!A:C,3,)</f>
        <v>DOLLAR</v>
      </c>
      <c r="AK318" s="62" t="str">
        <f>VLOOKUP(X318,'Customer List'!B:D,3,)</f>
        <v>OutStation</v>
      </c>
    </row>
    <row r="319" spans="1:37" hidden="1" x14ac:dyDescent="0.25">
      <c r="A319" s="62">
        <f t="shared" si="94"/>
        <v>305</v>
      </c>
      <c r="B319" s="62" t="s">
        <v>824</v>
      </c>
      <c r="C319" s="62" t="s">
        <v>905</v>
      </c>
      <c r="D319" s="6">
        <v>46108</v>
      </c>
      <c r="E319" s="6">
        <v>46118</v>
      </c>
      <c r="F319" s="63">
        <v>305.25</v>
      </c>
      <c r="G319" s="64">
        <f t="shared" si="96"/>
        <v>26862</v>
      </c>
      <c r="H319" s="64">
        <f t="shared" si="97"/>
        <v>107448</v>
      </c>
      <c r="I319" s="70">
        <v>318340</v>
      </c>
      <c r="J319" s="62" t="s">
        <v>987</v>
      </c>
      <c r="K319" s="8" t="s">
        <v>988</v>
      </c>
      <c r="L319" s="10">
        <v>46789</v>
      </c>
      <c r="M319" s="62">
        <v>4</v>
      </c>
      <c r="N319" s="8">
        <v>4</v>
      </c>
      <c r="O319" s="62">
        <f t="shared" si="98"/>
        <v>0</v>
      </c>
      <c r="P319" s="70">
        <v>41</v>
      </c>
      <c r="Q319" s="71">
        <v>46118</v>
      </c>
      <c r="R319" s="6">
        <v>46119</v>
      </c>
      <c r="S319" s="64">
        <v>176638</v>
      </c>
      <c r="T319" s="22">
        <v>5</v>
      </c>
      <c r="U319" s="64">
        <f t="shared" si="99"/>
        <v>8831.9</v>
      </c>
      <c r="V319" s="22">
        <v>0</v>
      </c>
      <c r="W319" s="22">
        <v>402725</v>
      </c>
      <c r="X319" s="62" t="s">
        <v>1100</v>
      </c>
      <c r="Y319" s="62">
        <v>58163971795</v>
      </c>
      <c r="Z319" s="62" t="s">
        <v>1112</v>
      </c>
      <c r="AA319" s="65">
        <v>4</v>
      </c>
      <c r="AB319" s="66"/>
      <c r="AC319" s="1" t="s">
        <v>824</v>
      </c>
      <c r="AD319" s="62" t="str">
        <f>VLOOKUP(X319,'Customer List'!B:C,2,)</f>
        <v>Banglore</v>
      </c>
      <c r="AE319" s="67"/>
      <c r="AF319" s="6"/>
      <c r="AG319" s="62" t="str">
        <f t="shared" si="100"/>
        <v/>
      </c>
      <c r="AH319" s="62" t="str">
        <f t="shared" si="101"/>
        <v>Saturday</v>
      </c>
      <c r="AI319" s="6">
        <v>46120</v>
      </c>
      <c r="AJ319" s="62" t="str">
        <f>VLOOKUP(AC319,'Currency Sheet'!A:C,3,)</f>
        <v>DOLLAR</v>
      </c>
      <c r="AK319" s="62" t="str">
        <f>VLOOKUP(X319,'Customer List'!B:D,3,)</f>
        <v>OutStation</v>
      </c>
    </row>
    <row r="320" spans="1:37" hidden="1" x14ac:dyDescent="0.25">
      <c r="A320" s="62">
        <f t="shared" si="94"/>
        <v>306</v>
      </c>
      <c r="B320" s="62" t="s">
        <v>824</v>
      </c>
      <c r="C320" s="62" t="s">
        <v>905</v>
      </c>
      <c r="D320" s="6">
        <v>46108</v>
      </c>
      <c r="E320" s="6">
        <v>46118</v>
      </c>
      <c r="F320" s="63">
        <v>229.6</v>
      </c>
      <c r="G320" s="64">
        <f t="shared" si="96"/>
        <v>20204.8</v>
      </c>
      <c r="H320" s="64">
        <f t="shared" si="97"/>
        <v>20204.8</v>
      </c>
      <c r="I320" s="70">
        <v>319251</v>
      </c>
      <c r="J320" s="62" t="s">
        <v>989</v>
      </c>
      <c r="K320" s="8" t="s">
        <v>990</v>
      </c>
      <c r="L320" s="10">
        <v>46945</v>
      </c>
      <c r="M320" s="62">
        <v>1</v>
      </c>
      <c r="N320" s="8">
        <v>1</v>
      </c>
      <c r="O320" s="62">
        <f t="shared" si="98"/>
        <v>0</v>
      </c>
      <c r="P320" s="70">
        <v>20</v>
      </c>
      <c r="Q320" s="71">
        <v>46118</v>
      </c>
      <c r="R320" s="6">
        <v>46119</v>
      </c>
      <c r="S320" s="64">
        <v>30504</v>
      </c>
      <c r="T320" s="22">
        <v>5</v>
      </c>
      <c r="U320" s="64">
        <f t="shared" si="99"/>
        <v>1525.2</v>
      </c>
      <c r="V320" s="22">
        <v>-0.2</v>
      </c>
      <c r="W320" s="22">
        <v>32029</v>
      </c>
      <c r="X320" s="62" t="s">
        <v>127</v>
      </c>
      <c r="Y320" s="62">
        <v>58163972366</v>
      </c>
      <c r="Z320" s="62" t="s">
        <v>1112</v>
      </c>
      <c r="AA320" s="65">
        <v>4</v>
      </c>
      <c r="AB320" s="66"/>
      <c r="AC320" s="1" t="s">
        <v>824</v>
      </c>
      <c r="AD320" s="62" t="str">
        <f>VLOOKUP(X320,'Customer List'!B:C,2,)</f>
        <v>Banglore</v>
      </c>
      <c r="AE320" s="67"/>
      <c r="AF320" s="6">
        <v>46120</v>
      </c>
      <c r="AG320" s="62">
        <f t="shared" si="100"/>
        <v>1</v>
      </c>
      <c r="AH320" s="62" t="str">
        <f t="shared" si="101"/>
        <v>Thursday</v>
      </c>
      <c r="AI320" s="62" t="str">
        <f>IF(AF320="", "", TEXT(AF320, "dddd"))</f>
        <v>Wednesday</v>
      </c>
      <c r="AJ320" s="62" t="str">
        <f>VLOOKUP(AC320,'Currency Sheet'!A:C,3,)</f>
        <v>DOLLAR</v>
      </c>
      <c r="AK320" s="62" t="str">
        <f>VLOOKUP(X320,'Customer List'!B:D,3,)</f>
        <v>OutStation</v>
      </c>
    </row>
    <row r="321" spans="1:37" hidden="1" x14ac:dyDescent="0.25">
      <c r="A321" s="62">
        <f t="shared" si="94"/>
        <v>307</v>
      </c>
      <c r="B321" s="62" t="s">
        <v>824</v>
      </c>
      <c r="C321" s="62" t="s">
        <v>905</v>
      </c>
      <c r="D321" s="6">
        <v>46108</v>
      </c>
      <c r="E321" s="6">
        <v>46118</v>
      </c>
      <c r="F321" s="63">
        <v>226.1</v>
      </c>
      <c r="G321" s="64">
        <f t="shared" si="96"/>
        <v>19896.8</v>
      </c>
      <c r="H321" s="64">
        <f t="shared" si="97"/>
        <v>19896.8</v>
      </c>
      <c r="I321" s="70">
        <v>320716</v>
      </c>
      <c r="J321" s="62" t="s">
        <v>991</v>
      </c>
      <c r="K321" s="8" t="s">
        <v>992</v>
      </c>
      <c r="L321" s="10">
        <v>47023</v>
      </c>
      <c r="M321" s="62">
        <v>1</v>
      </c>
      <c r="N321" s="8">
        <v>1</v>
      </c>
      <c r="O321" s="62">
        <f t="shared" si="98"/>
        <v>0</v>
      </c>
      <c r="P321" s="70">
        <v>42</v>
      </c>
      <c r="Q321" s="71">
        <v>46118</v>
      </c>
      <c r="R321" s="6">
        <v>46119</v>
      </c>
      <c r="S321" s="64">
        <v>35045.5</v>
      </c>
      <c r="T321" s="22">
        <v>5</v>
      </c>
      <c r="U321" s="64">
        <f t="shared" si="99"/>
        <v>1752.2750000000001</v>
      </c>
      <c r="V321" s="22">
        <v>-0.41</v>
      </c>
      <c r="W321" s="22">
        <v>178634</v>
      </c>
      <c r="X321" s="62" t="s">
        <v>1100</v>
      </c>
      <c r="Y321" s="62">
        <v>58163971795</v>
      </c>
      <c r="Z321" s="62" t="s">
        <v>1112</v>
      </c>
      <c r="AA321" s="65">
        <v>4</v>
      </c>
      <c r="AB321" s="66"/>
      <c r="AC321" s="1" t="s">
        <v>824</v>
      </c>
      <c r="AD321" s="62" t="str">
        <f>VLOOKUP(X321,'Customer List'!B:C,2,)</f>
        <v>Banglore</v>
      </c>
      <c r="AE321" s="67"/>
      <c r="AF321" s="6"/>
      <c r="AG321" s="62" t="str">
        <f t="shared" si="100"/>
        <v/>
      </c>
      <c r="AH321" s="62" t="str">
        <f t="shared" si="101"/>
        <v>Tuesday</v>
      </c>
      <c r="AI321" s="6">
        <v>46120</v>
      </c>
      <c r="AJ321" s="62" t="str">
        <f>VLOOKUP(AC321,'Currency Sheet'!A:C,3,)</f>
        <v>DOLLAR</v>
      </c>
      <c r="AK321" s="62" t="str">
        <f>VLOOKUP(X321,'Customer List'!B:D,3,)</f>
        <v>OutStation</v>
      </c>
    </row>
    <row r="322" spans="1:37" hidden="1" x14ac:dyDescent="0.25">
      <c r="A322" s="62">
        <f t="shared" ref="A322:A385" si="103">A321+1</f>
        <v>308</v>
      </c>
      <c r="B322" s="62" t="s">
        <v>824</v>
      </c>
      <c r="C322" s="62" t="s">
        <v>905</v>
      </c>
      <c r="D322" s="6">
        <v>46108</v>
      </c>
      <c r="E322" s="6">
        <v>46118</v>
      </c>
      <c r="F322" s="63">
        <v>185.5</v>
      </c>
      <c r="G322" s="64">
        <f t="shared" si="96"/>
        <v>16324</v>
      </c>
      <c r="H322" s="64">
        <f t="shared" si="97"/>
        <v>16324</v>
      </c>
      <c r="I322" s="70">
        <v>325616</v>
      </c>
      <c r="J322" s="62" t="s">
        <v>745</v>
      </c>
      <c r="K322" s="8" t="s">
        <v>993</v>
      </c>
      <c r="L322" s="10">
        <v>47181</v>
      </c>
      <c r="M322" s="62">
        <v>1</v>
      </c>
      <c r="N322" s="8">
        <v>1</v>
      </c>
      <c r="O322" s="62">
        <f t="shared" si="98"/>
        <v>0</v>
      </c>
      <c r="P322" s="70">
        <v>16</v>
      </c>
      <c r="Q322" s="71">
        <v>46118</v>
      </c>
      <c r="R322" s="6">
        <v>46118</v>
      </c>
      <c r="S322" s="64">
        <v>27931</v>
      </c>
      <c r="T322" s="22">
        <v>5</v>
      </c>
      <c r="U322" s="64">
        <f t="shared" si="99"/>
        <v>1396.5500000000002</v>
      </c>
      <c r="V322" s="22">
        <v>0</v>
      </c>
      <c r="W322" s="22">
        <v>290286</v>
      </c>
      <c r="X322" s="62" t="s">
        <v>177</v>
      </c>
      <c r="Y322" s="62" t="s">
        <v>1108</v>
      </c>
      <c r="Z322" s="62" t="s">
        <v>1112</v>
      </c>
      <c r="AA322" s="65">
        <v>4</v>
      </c>
      <c r="AB322" s="66"/>
      <c r="AC322" s="1" t="s">
        <v>824</v>
      </c>
      <c r="AD322" s="62" t="str">
        <f>VLOOKUP(X322,'Customer List'!B:C,2,)</f>
        <v>Punjab</v>
      </c>
      <c r="AE322" s="67"/>
      <c r="AF322" s="6">
        <v>46119</v>
      </c>
      <c r="AG322" s="62">
        <f t="shared" si="100"/>
        <v>1</v>
      </c>
      <c r="AH322" s="62" t="str">
        <f t="shared" si="101"/>
        <v>Sunday</v>
      </c>
      <c r="AI322" s="62" t="str">
        <f t="shared" ref="AI322:AI339" si="104">IF(AF322="", "", TEXT(AF322, "dddd"))</f>
        <v>Tuesday</v>
      </c>
      <c r="AJ322" s="62" t="str">
        <f>VLOOKUP(AC322,'Currency Sheet'!A:C,3,)</f>
        <v>DOLLAR</v>
      </c>
      <c r="AK322" s="62" t="str">
        <f>VLOOKUP(X322,'Customer List'!B:D,3,)</f>
        <v>OutStation</v>
      </c>
    </row>
    <row r="323" spans="1:37" hidden="1" x14ac:dyDescent="0.25">
      <c r="A323" s="62">
        <f t="shared" si="103"/>
        <v>309</v>
      </c>
      <c r="B323" s="62" t="s">
        <v>824</v>
      </c>
      <c r="C323" s="62" t="s">
        <v>905</v>
      </c>
      <c r="D323" s="6">
        <v>46108</v>
      </c>
      <c r="E323" s="6">
        <v>46118</v>
      </c>
      <c r="F323" s="63">
        <v>234.5</v>
      </c>
      <c r="G323" s="64">
        <f t="shared" si="96"/>
        <v>20636</v>
      </c>
      <c r="H323" s="64">
        <f t="shared" si="97"/>
        <v>20636</v>
      </c>
      <c r="I323" s="70">
        <v>328230</v>
      </c>
      <c r="J323" s="62" t="s">
        <v>994</v>
      </c>
      <c r="K323" s="8" t="s">
        <v>995</v>
      </c>
      <c r="L323" s="10">
        <v>46620</v>
      </c>
      <c r="M323" s="62">
        <v>1</v>
      </c>
      <c r="N323" s="8">
        <v>1</v>
      </c>
      <c r="O323" s="62">
        <f t="shared" si="98"/>
        <v>0</v>
      </c>
      <c r="P323" s="70">
        <v>132</v>
      </c>
      <c r="Q323" s="71">
        <v>46130</v>
      </c>
      <c r="R323" s="6">
        <v>46130</v>
      </c>
      <c r="S323" s="64">
        <v>38943.75</v>
      </c>
      <c r="T323" s="22">
        <v>5</v>
      </c>
      <c r="U323" s="64">
        <f t="shared" si="99"/>
        <v>1947.1875</v>
      </c>
      <c r="V323" s="22">
        <v>0.12</v>
      </c>
      <c r="W323" s="22">
        <v>83672</v>
      </c>
      <c r="X323" s="62" t="s">
        <v>796</v>
      </c>
      <c r="Y323" s="62">
        <v>58164467513</v>
      </c>
      <c r="Z323" s="62" t="s">
        <v>1112</v>
      </c>
      <c r="AA323" s="65">
        <v>4</v>
      </c>
      <c r="AB323" s="66"/>
      <c r="AC323" s="1" t="s">
        <v>824</v>
      </c>
      <c r="AD323" s="62" t="str">
        <f>VLOOKUP(X323,'Customer List'!B:C,2,)</f>
        <v>Jodhpur</v>
      </c>
      <c r="AE323" s="67" t="s">
        <v>834</v>
      </c>
      <c r="AF323" s="6">
        <v>46132</v>
      </c>
      <c r="AG323" s="62">
        <f t="shared" si="100"/>
        <v>2</v>
      </c>
      <c r="AH323" s="62" t="str">
        <f t="shared" si="101"/>
        <v>Monday</v>
      </c>
      <c r="AI323" s="62" t="str">
        <f t="shared" si="104"/>
        <v>Monday</v>
      </c>
      <c r="AJ323" s="62" t="str">
        <f>VLOOKUP(AC323,'Currency Sheet'!A:C,3,)</f>
        <v>DOLLAR</v>
      </c>
      <c r="AK323" s="62" t="str">
        <f>VLOOKUP(X323,'Customer List'!B:D,3,)</f>
        <v>OutStation</v>
      </c>
    </row>
    <row r="324" spans="1:37" hidden="1" x14ac:dyDescent="0.25">
      <c r="A324" s="62">
        <f t="shared" si="103"/>
        <v>310</v>
      </c>
      <c r="B324" s="62" t="s">
        <v>824</v>
      </c>
      <c r="C324" s="62" t="s">
        <v>905</v>
      </c>
      <c r="D324" s="6">
        <v>46108</v>
      </c>
      <c r="E324" s="6">
        <v>46118</v>
      </c>
      <c r="F324" s="63">
        <v>153</v>
      </c>
      <c r="G324" s="64">
        <f t="shared" si="96"/>
        <v>13464</v>
      </c>
      <c r="H324" s="64">
        <f t="shared" si="97"/>
        <v>13464</v>
      </c>
      <c r="I324" s="70">
        <v>329919</v>
      </c>
      <c r="J324" s="62" t="s">
        <v>996</v>
      </c>
      <c r="K324" s="8" t="s">
        <v>997</v>
      </c>
      <c r="L324" s="10">
        <v>46737</v>
      </c>
      <c r="M324" s="62">
        <v>1</v>
      </c>
      <c r="N324" s="8">
        <v>1</v>
      </c>
      <c r="O324" s="62">
        <f t="shared" si="98"/>
        <v>0</v>
      </c>
      <c r="P324" s="70">
        <v>11</v>
      </c>
      <c r="Q324" s="71">
        <v>46118</v>
      </c>
      <c r="R324" s="6">
        <v>46118</v>
      </c>
      <c r="S324" s="64">
        <v>19584</v>
      </c>
      <c r="T324" s="22">
        <v>5</v>
      </c>
      <c r="U324" s="64">
        <f t="shared" si="99"/>
        <v>979.2</v>
      </c>
      <c r="V324" s="22">
        <v>0</v>
      </c>
      <c r="W324" s="22">
        <v>264802</v>
      </c>
      <c r="X324" s="62" t="s">
        <v>1097</v>
      </c>
      <c r="Y324" s="62" t="s">
        <v>896</v>
      </c>
      <c r="Z324" s="62" t="s">
        <v>821</v>
      </c>
      <c r="AA324" s="65">
        <v>4</v>
      </c>
      <c r="AB324" s="66"/>
      <c r="AC324" s="1" t="s">
        <v>824</v>
      </c>
      <c r="AD324" s="62" t="str">
        <f>VLOOKUP(X324,'Customer List'!B:C,2,)</f>
        <v>DELHI</v>
      </c>
      <c r="AE324" s="67"/>
      <c r="AF324" s="6"/>
      <c r="AG324" s="62" t="str">
        <f t="shared" si="100"/>
        <v/>
      </c>
      <c r="AH324" s="62" t="str">
        <f t="shared" si="101"/>
        <v>Thursday</v>
      </c>
      <c r="AI324" s="62" t="str">
        <f t="shared" si="104"/>
        <v/>
      </c>
      <c r="AJ324" s="62" t="str">
        <f>VLOOKUP(AC324,'Currency Sheet'!A:C,3,)</f>
        <v>DOLLAR</v>
      </c>
      <c r="AK324" s="62" t="str">
        <f>VLOOKUP(X324,'Customer List'!B:D,3,)</f>
        <v>Local</v>
      </c>
    </row>
    <row r="325" spans="1:37" hidden="1" x14ac:dyDescent="0.25">
      <c r="A325" s="62">
        <f t="shared" si="103"/>
        <v>311</v>
      </c>
      <c r="B325" s="62" t="s">
        <v>824</v>
      </c>
      <c r="C325" s="62" t="s">
        <v>905</v>
      </c>
      <c r="D325" s="6">
        <v>46108</v>
      </c>
      <c r="E325" s="6">
        <v>46118</v>
      </c>
      <c r="F325" s="63">
        <v>187.6</v>
      </c>
      <c r="G325" s="64">
        <f t="shared" si="96"/>
        <v>16508.8</v>
      </c>
      <c r="H325" s="64">
        <f t="shared" si="97"/>
        <v>33017.599999999999</v>
      </c>
      <c r="I325" s="70">
        <v>331210</v>
      </c>
      <c r="J325" s="62" t="s">
        <v>998</v>
      </c>
      <c r="K325" s="8" t="s">
        <v>999</v>
      </c>
      <c r="L325" s="10">
        <v>47745</v>
      </c>
      <c r="M325" s="62">
        <v>2</v>
      </c>
      <c r="N325" s="8">
        <v>2</v>
      </c>
      <c r="O325" s="62">
        <f t="shared" si="98"/>
        <v>0</v>
      </c>
      <c r="P325" s="70">
        <v>22</v>
      </c>
      <c r="Q325" s="71">
        <v>46118</v>
      </c>
      <c r="R325" s="6">
        <v>46119</v>
      </c>
      <c r="S325" s="64">
        <v>49848</v>
      </c>
      <c r="T325" s="22">
        <v>5</v>
      </c>
      <c r="U325" s="64">
        <f t="shared" si="99"/>
        <v>2492.4</v>
      </c>
      <c r="V325" s="22">
        <v>0</v>
      </c>
      <c r="W325" s="22">
        <v>151943</v>
      </c>
      <c r="X325" s="62" t="s">
        <v>127</v>
      </c>
      <c r="Y325" s="62">
        <v>58163972366</v>
      </c>
      <c r="Z325" s="62" t="s">
        <v>1112</v>
      </c>
      <c r="AA325" s="65">
        <v>4</v>
      </c>
      <c r="AB325" s="66"/>
      <c r="AC325" s="1" t="s">
        <v>824</v>
      </c>
      <c r="AD325" s="62" t="str">
        <f>VLOOKUP(X325,'Customer List'!B:C,2,)</f>
        <v>Banglore</v>
      </c>
      <c r="AE325" s="67"/>
      <c r="AF325" s="6">
        <v>46120</v>
      </c>
      <c r="AG325" s="62">
        <f t="shared" si="100"/>
        <v>1</v>
      </c>
      <c r="AH325" s="62" t="str">
        <f t="shared" si="101"/>
        <v>Sunday</v>
      </c>
      <c r="AI325" s="62" t="str">
        <f t="shared" si="104"/>
        <v>Wednesday</v>
      </c>
      <c r="AJ325" s="62" t="str">
        <f>VLOOKUP(AC325,'Currency Sheet'!A:C,3,)</f>
        <v>DOLLAR</v>
      </c>
      <c r="AK325" s="62" t="str">
        <f>VLOOKUP(X325,'Customer List'!B:D,3,)</f>
        <v>OutStation</v>
      </c>
    </row>
    <row r="326" spans="1:37" hidden="1" x14ac:dyDescent="0.25">
      <c r="A326" s="62">
        <f t="shared" si="103"/>
        <v>312</v>
      </c>
      <c r="B326" s="62" t="s">
        <v>824</v>
      </c>
      <c r="C326" s="62" t="s">
        <v>905</v>
      </c>
      <c r="D326" s="6">
        <v>46108</v>
      </c>
      <c r="E326" s="6">
        <v>46118</v>
      </c>
      <c r="F326" s="63">
        <v>203.7</v>
      </c>
      <c r="G326" s="64">
        <f t="shared" si="96"/>
        <v>17925.599999999999</v>
      </c>
      <c r="H326" s="64">
        <f t="shared" si="97"/>
        <v>17925.599999999999</v>
      </c>
      <c r="I326" s="70">
        <v>342606</v>
      </c>
      <c r="J326" s="62" t="s">
        <v>772</v>
      </c>
      <c r="K326" s="8" t="s">
        <v>1000</v>
      </c>
      <c r="L326" s="10">
        <v>46626</v>
      </c>
      <c r="M326" s="62">
        <v>1</v>
      </c>
      <c r="N326" s="8">
        <v>1</v>
      </c>
      <c r="O326" s="62">
        <f t="shared" si="98"/>
        <v>0</v>
      </c>
      <c r="P326" s="70">
        <v>44</v>
      </c>
      <c r="Q326" s="71">
        <v>46118</v>
      </c>
      <c r="R326" s="6">
        <v>46119</v>
      </c>
      <c r="S326" s="64">
        <v>30671.4</v>
      </c>
      <c r="T326" s="22">
        <v>5</v>
      </c>
      <c r="U326" s="64">
        <f t="shared" si="99"/>
        <v>1533.5700000000002</v>
      </c>
      <c r="V326" s="22">
        <v>0</v>
      </c>
      <c r="W326" s="22">
        <v>287299</v>
      </c>
      <c r="X326" s="62" t="s">
        <v>1090</v>
      </c>
      <c r="Y326" s="62">
        <v>58163968295</v>
      </c>
      <c r="Z326" s="62" t="s">
        <v>1112</v>
      </c>
      <c r="AA326" s="65">
        <v>4</v>
      </c>
      <c r="AB326" s="66"/>
      <c r="AC326" s="1" t="s">
        <v>824</v>
      </c>
      <c r="AD326" s="62" t="str">
        <f>VLOOKUP(X326,'Customer List'!B:C,2,)</f>
        <v>Kanpur</v>
      </c>
      <c r="AE326" s="67"/>
      <c r="AF326" s="6">
        <v>46121</v>
      </c>
      <c r="AG326" s="62">
        <f t="shared" si="100"/>
        <v>2</v>
      </c>
      <c r="AH326" s="62" t="str">
        <f t="shared" si="101"/>
        <v>Wednesday</v>
      </c>
      <c r="AI326" s="62" t="str">
        <f t="shared" si="104"/>
        <v>Thursday</v>
      </c>
      <c r="AJ326" s="62" t="str">
        <f>VLOOKUP(AC326,'Currency Sheet'!A:C,3,)</f>
        <v>DOLLAR</v>
      </c>
      <c r="AK326" s="62" t="str">
        <f>VLOOKUP(X326,'Customer List'!B:D,3,)</f>
        <v>OutStation</v>
      </c>
    </row>
    <row r="327" spans="1:37" hidden="1" x14ac:dyDescent="0.25">
      <c r="A327" s="62">
        <f t="shared" si="103"/>
        <v>313</v>
      </c>
      <c r="B327" s="62" t="s">
        <v>824</v>
      </c>
      <c r="C327" s="62" t="s">
        <v>905</v>
      </c>
      <c r="D327" s="6">
        <v>46108</v>
      </c>
      <c r="E327" s="6">
        <v>46118</v>
      </c>
      <c r="F327" s="63">
        <v>200.2</v>
      </c>
      <c r="G327" s="64">
        <f t="shared" si="96"/>
        <v>17617.599999999999</v>
      </c>
      <c r="H327" s="64">
        <f t="shared" si="97"/>
        <v>17617.599999999999</v>
      </c>
      <c r="I327" s="70">
        <v>344714</v>
      </c>
      <c r="J327" s="62" t="s">
        <v>773</v>
      </c>
      <c r="K327" s="8" t="s">
        <v>1001</v>
      </c>
      <c r="L327" s="10">
        <v>47282</v>
      </c>
      <c r="M327" s="62">
        <v>1</v>
      </c>
      <c r="N327" s="8">
        <v>1</v>
      </c>
      <c r="O327" s="62">
        <f t="shared" si="98"/>
        <v>0</v>
      </c>
      <c r="P327" s="70">
        <v>19</v>
      </c>
      <c r="Q327" s="71">
        <v>46118</v>
      </c>
      <c r="R327" s="6">
        <v>46119</v>
      </c>
      <c r="S327" s="64">
        <v>26598</v>
      </c>
      <c r="T327" s="22">
        <v>5</v>
      </c>
      <c r="U327" s="64">
        <f t="shared" si="99"/>
        <v>1329.9</v>
      </c>
      <c r="V327" s="22">
        <v>0</v>
      </c>
      <c r="W327" s="22">
        <v>134464</v>
      </c>
      <c r="X327" s="62" t="s">
        <v>127</v>
      </c>
      <c r="Y327" s="62">
        <v>58163972366</v>
      </c>
      <c r="Z327" s="62" t="s">
        <v>1112</v>
      </c>
      <c r="AA327" s="65">
        <v>4</v>
      </c>
      <c r="AB327" s="66"/>
      <c r="AC327" s="1" t="s">
        <v>824</v>
      </c>
      <c r="AD327" s="62" t="str">
        <f>VLOOKUP(X327,'Customer List'!B:C,2,)</f>
        <v>Banglore</v>
      </c>
      <c r="AE327" s="67"/>
      <c r="AF327" s="6">
        <v>46120</v>
      </c>
      <c r="AG327" s="62">
        <f t="shared" si="100"/>
        <v>1</v>
      </c>
      <c r="AH327" s="62" t="str">
        <f t="shared" si="101"/>
        <v>Thursday</v>
      </c>
      <c r="AI327" s="62" t="str">
        <f t="shared" si="104"/>
        <v>Wednesday</v>
      </c>
      <c r="AJ327" s="62" t="str">
        <f>VLOOKUP(AC327,'Currency Sheet'!A:C,3,)</f>
        <v>DOLLAR</v>
      </c>
      <c r="AK327" s="62" t="str">
        <f>VLOOKUP(X327,'Customer List'!B:D,3,)</f>
        <v>OutStation</v>
      </c>
    </row>
    <row r="328" spans="1:37" hidden="1" x14ac:dyDescent="0.25">
      <c r="A328" s="62">
        <f t="shared" si="103"/>
        <v>314</v>
      </c>
      <c r="B328" s="62" t="s">
        <v>824</v>
      </c>
      <c r="C328" s="62" t="s">
        <v>905</v>
      </c>
      <c r="D328" s="6">
        <v>46108</v>
      </c>
      <c r="E328" s="6">
        <v>46118</v>
      </c>
      <c r="F328" s="63">
        <v>227.5</v>
      </c>
      <c r="G328" s="64">
        <f t="shared" si="96"/>
        <v>20020</v>
      </c>
      <c r="H328" s="64">
        <f t="shared" si="97"/>
        <v>20020</v>
      </c>
      <c r="I328" s="70">
        <v>344722</v>
      </c>
      <c r="J328" s="62" t="s">
        <v>773</v>
      </c>
      <c r="K328" s="8" t="s">
        <v>1002</v>
      </c>
      <c r="L328" s="10">
        <v>47829</v>
      </c>
      <c r="M328" s="62">
        <v>1</v>
      </c>
      <c r="N328" s="8">
        <v>1</v>
      </c>
      <c r="O328" s="62">
        <f t="shared" si="98"/>
        <v>0</v>
      </c>
      <c r="P328" s="70">
        <v>15</v>
      </c>
      <c r="Q328" s="71">
        <v>46118</v>
      </c>
      <c r="R328" s="6">
        <v>46118</v>
      </c>
      <c r="S328" s="64">
        <v>31850</v>
      </c>
      <c r="T328" s="22">
        <v>5</v>
      </c>
      <c r="U328" s="64">
        <f t="shared" si="99"/>
        <v>1592.5</v>
      </c>
      <c r="V328" s="22">
        <v>0</v>
      </c>
      <c r="W328" s="22">
        <v>309943</v>
      </c>
      <c r="X328" s="62" t="s">
        <v>23</v>
      </c>
      <c r="Y328" s="62" t="s">
        <v>1105</v>
      </c>
      <c r="Z328" s="62" t="s">
        <v>1105</v>
      </c>
      <c r="AA328" s="65">
        <v>4</v>
      </c>
      <c r="AB328" s="66"/>
      <c r="AC328" s="1" t="s">
        <v>824</v>
      </c>
      <c r="AD328" s="62" t="str">
        <f>VLOOKUP(X328,'Customer List'!B:C,2,)</f>
        <v>Delhi</v>
      </c>
      <c r="AE328" s="67"/>
      <c r="AF328" s="6"/>
      <c r="AG328" s="62" t="str">
        <f t="shared" si="100"/>
        <v/>
      </c>
      <c r="AH328" s="62" t="str">
        <f t="shared" si="101"/>
        <v>Saturday</v>
      </c>
      <c r="AI328" s="62" t="str">
        <f t="shared" si="104"/>
        <v/>
      </c>
      <c r="AJ328" s="62" t="str">
        <f>VLOOKUP(AC328,'Currency Sheet'!A:C,3,)</f>
        <v>DOLLAR</v>
      </c>
      <c r="AK328" s="62" t="str">
        <f>VLOOKUP(X328,'Customer List'!B:D,3,)</f>
        <v>Local</v>
      </c>
    </row>
    <row r="329" spans="1:37" hidden="1" x14ac:dyDescent="0.25">
      <c r="A329" s="62">
        <f t="shared" si="103"/>
        <v>315</v>
      </c>
      <c r="B329" s="62" t="s">
        <v>824</v>
      </c>
      <c r="C329" s="62" t="s">
        <v>905</v>
      </c>
      <c r="D329" s="6">
        <v>46108</v>
      </c>
      <c r="E329" s="6">
        <v>46118</v>
      </c>
      <c r="F329" s="63">
        <v>297</v>
      </c>
      <c r="G329" s="64">
        <f t="shared" si="96"/>
        <v>26136</v>
      </c>
      <c r="H329" s="64">
        <f t="shared" si="97"/>
        <v>26136</v>
      </c>
      <c r="I329" s="70">
        <v>344748</v>
      </c>
      <c r="J329" s="62" t="s">
        <v>773</v>
      </c>
      <c r="K329" s="8" t="s">
        <v>1003</v>
      </c>
      <c r="L329" s="10">
        <v>46943</v>
      </c>
      <c r="M329" s="62">
        <v>1</v>
      </c>
      <c r="N329" s="8">
        <v>1</v>
      </c>
      <c r="O329" s="62">
        <f t="shared" si="98"/>
        <v>0</v>
      </c>
      <c r="P329" s="70">
        <v>16</v>
      </c>
      <c r="Q329" s="71">
        <v>46118</v>
      </c>
      <c r="R329" s="6">
        <v>46118</v>
      </c>
      <c r="S329" s="64">
        <v>41738</v>
      </c>
      <c r="T329" s="22">
        <v>5</v>
      </c>
      <c r="U329" s="64">
        <f t="shared" si="99"/>
        <v>2086.9</v>
      </c>
      <c r="V329" s="22">
        <v>0</v>
      </c>
      <c r="W329" s="22">
        <v>290286</v>
      </c>
      <c r="X329" s="62" t="s">
        <v>177</v>
      </c>
      <c r="Y329" s="62" t="s">
        <v>1108</v>
      </c>
      <c r="Z329" s="62" t="s">
        <v>1112</v>
      </c>
      <c r="AA329" s="65">
        <v>4</v>
      </c>
      <c r="AB329" s="66"/>
      <c r="AC329" s="1" t="s">
        <v>824</v>
      </c>
      <c r="AD329" s="62" t="str">
        <f>VLOOKUP(X329,'Customer List'!B:C,2,)</f>
        <v>Punjab</v>
      </c>
      <c r="AE329" s="67"/>
      <c r="AF329" s="6">
        <v>46119</v>
      </c>
      <c r="AG329" s="62">
        <f t="shared" si="100"/>
        <v>1</v>
      </c>
      <c r="AH329" s="62" t="str">
        <f t="shared" si="101"/>
        <v>Wednesday</v>
      </c>
      <c r="AI329" s="62" t="str">
        <f t="shared" si="104"/>
        <v>Tuesday</v>
      </c>
      <c r="AJ329" s="62" t="str">
        <f>VLOOKUP(AC329,'Currency Sheet'!A:C,3,)</f>
        <v>DOLLAR</v>
      </c>
      <c r="AK329" s="62" t="str">
        <f>VLOOKUP(X329,'Customer List'!B:D,3,)</f>
        <v>OutStation</v>
      </c>
    </row>
    <row r="330" spans="1:37" hidden="1" x14ac:dyDescent="0.25">
      <c r="A330" s="62">
        <f t="shared" si="103"/>
        <v>316</v>
      </c>
      <c r="B330" s="62" t="s">
        <v>824</v>
      </c>
      <c r="C330" s="62" t="s">
        <v>905</v>
      </c>
      <c r="D330" s="6">
        <v>46108</v>
      </c>
      <c r="E330" s="6">
        <v>46118</v>
      </c>
      <c r="F330" s="63">
        <v>123.2</v>
      </c>
      <c r="G330" s="64">
        <f t="shared" ref="G330:G393" si="105">IF(AJ330="DOLLAR",F330*88,F330)</f>
        <v>10841.6</v>
      </c>
      <c r="H330" s="64">
        <f t="shared" ref="H330:H393" si="106">G330*M330</f>
        <v>10841.6</v>
      </c>
      <c r="I330" s="70">
        <v>344763</v>
      </c>
      <c r="J330" s="62" t="s">
        <v>773</v>
      </c>
      <c r="K330" s="8" t="s">
        <v>1004</v>
      </c>
      <c r="L330" s="10">
        <v>47211</v>
      </c>
      <c r="M330" s="62">
        <v>1</v>
      </c>
      <c r="N330" s="8">
        <v>1</v>
      </c>
      <c r="O330" s="62">
        <f t="shared" ref="O330:O393" si="107">M330-N330</f>
        <v>0</v>
      </c>
      <c r="P330" s="70">
        <v>11</v>
      </c>
      <c r="Q330" s="71">
        <v>46118</v>
      </c>
      <c r="R330" s="6">
        <v>46118</v>
      </c>
      <c r="S330" s="64">
        <v>16896</v>
      </c>
      <c r="T330" s="22">
        <v>5</v>
      </c>
      <c r="U330" s="64">
        <f t="shared" ref="U330:U393" si="108">S330*T330%</f>
        <v>844.80000000000007</v>
      </c>
      <c r="V330" s="22">
        <v>0</v>
      </c>
      <c r="W330" s="22">
        <v>264802</v>
      </c>
      <c r="X330" s="62" t="s">
        <v>1097</v>
      </c>
      <c r="Y330" s="62" t="s">
        <v>896</v>
      </c>
      <c r="Z330" s="62" t="s">
        <v>821</v>
      </c>
      <c r="AA330" s="65">
        <v>4</v>
      </c>
      <c r="AB330" s="66"/>
      <c r="AC330" s="1" t="s">
        <v>824</v>
      </c>
      <c r="AD330" s="62" t="str">
        <f>VLOOKUP(X330,'Customer List'!B:C,2,)</f>
        <v>DELHI</v>
      </c>
      <c r="AE330" s="67"/>
      <c r="AF330" s="6"/>
      <c r="AG330" s="62" t="str">
        <f t="shared" ref="AG330:AG393" si="109">IF(AF330="", "", AF330-R330)</f>
        <v/>
      </c>
      <c r="AH330" s="62" t="str">
        <f t="shared" ref="AH330:AH393" si="110">IF(S330="", "", TEXT(S330, "dddd"))</f>
        <v>Thursday</v>
      </c>
      <c r="AI330" s="62" t="str">
        <f t="shared" si="104"/>
        <v/>
      </c>
      <c r="AJ330" s="62" t="str">
        <f>VLOOKUP(AC330,'Currency Sheet'!A:C,3,)</f>
        <v>DOLLAR</v>
      </c>
      <c r="AK330" s="62" t="str">
        <f>VLOOKUP(X330,'Customer List'!B:D,3,)</f>
        <v>Local</v>
      </c>
    </row>
    <row r="331" spans="1:37" hidden="1" x14ac:dyDescent="0.25">
      <c r="A331" s="62">
        <f t="shared" si="103"/>
        <v>317</v>
      </c>
      <c r="B331" s="62" t="s">
        <v>824</v>
      </c>
      <c r="C331" s="62" t="s">
        <v>905</v>
      </c>
      <c r="D331" s="6">
        <v>46108</v>
      </c>
      <c r="E331" s="6">
        <v>46118</v>
      </c>
      <c r="F331" s="63">
        <v>304.5</v>
      </c>
      <c r="G331" s="64">
        <f t="shared" si="105"/>
        <v>26796</v>
      </c>
      <c r="H331" s="64">
        <f t="shared" si="106"/>
        <v>53592</v>
      </c>
      <c r="I331" s="70">
        <v>344836</v>
      </c>
      <c r="J331" s="62" t="s">
        <v>749</v>
      </c>
      <c r="K331" s="8" t="s">
        <v>1005</v>
      </c>
      <c r="L331" s="10">
        <v>46773</v>
      </c>
      <c r="M331" s="62">
        <v>2</v>
      </c>
      <c r="N331" s="8">
        <v>2</v>
      </c>
      <c r="O331" s="62">
        <f t="shared" si="107"/>
        <v>0</v>
      </c>
      <c r="P331" s="70">
        <v>21</v>
      </c>
      <c r="Q331" s="71">
        <v>46118</v>
      </c>
      <c r="R331" s="6">
        <v>46119</v>
      </c>
      <c r="S331" s="64">
        <v>75516</v>
      </c>
      <c r="T331" s="22">
        <v>5</v>
      </c>
      <c r="U331" s="64">
        <f t="shared" si="108"/>
        <v>3775.8</v>
      </c>
      <c r="V331" s="22">
        <v>0.2</v>
      </c>
      <c r="W331" s="22">
        <v>79292</v>
      </c>
      <c r="X331" s="62" t="s">
        <v>127</v>
      </c>
      <c r="Y331" s="62">
        <v>58163972366</v>
      </c>
      <c r="Z331" s="62" t="s">
        <v>1112</v>
      </c>
      <c r="AA331" s="65">
        <v>4</v>
      </c>
      <c r="AB331" s="66"/>
      <c r="AC331" s="1" t="s">
        <v>824</v>
      </c>
      <c r="AD331" s="62" t="str">
        <f>VLOOKUP(X331,'Customer List'!B:C,2,)</f>
        <v>Banglore</v>
      </c>
      <c r="AE331" s="67"/>
      <c r="AF331" s="6">
        <v>46120</v>
      </c>
      <c r="AG331" s="62">
        <f t="shared" si="109"/>
        <v>1</v>
      </c>
      <c r="AH331" s="62" t="str">
        <f t="shared" si="110"/>
        <v>Saturday</v>
      </c>
      <c r="AI331" s="62" t="str">
        <f t="shared" si="104"/>
        <v>Wednesday</v>
      </c>
      <c r="AJ331" s="62" t="str">
        <f>VLOOKUP(AC331,'Currency Sheet'!A:C,3,)</f>
        <v>DOLLAR</v>
      </c>
      <c r="AK331" s="62" t="str">
        <f>VLOOKUP(X331,'Customer List'!B:D,3,)</f>
        <v>OutStation</v>
      </c>
    </row>
    <row r="332" spans="1:37" hidden="1" x14ac:dyDescent="0.25">
      <c r="A332" s="62">
        <f t="shared" si="103"/>
        <v>318</v>
      </c>
      <c r="B332" s="62" t="s">
        <v>824</v>
      </c>
      <c r="C332" s="62" t="s">
        <v>905</v>
      </c>
      <c r="D332" s="6">
        <v>46108</v>
      </c>
      <c r="E332" s="6">
        <v>46118</v>
      </c>
      <c r="F332" s="63">
        <v>234.5</v>
      </c>
      <c r="G332" s="64">
        <f t="shared" si="105"/>
        <v>20636</v>
      </c>
      <c r="H332" s="64">
        <f t="shared" si="106"/>
        <v>20636</v>
      </c>
      <c r="I332" s="70">
        <v>351318</v>
      </c>
      <c r="J332" s="62" t="s">
        <v>1006</v>
      </c>
      <c r="K332" s="8" t="s">
        <v>1007</v>
      </c>
      <c r="L332" s="10">
        <v>46826</v>
      </c>
      <c r="M332" s="62">
        <v>1</v>
      </c>
      <c r="N332" s="8">
        <v>1</v>
      </c>
      <c r="O332" s="62">
        <f t="shared" si="107"/>
        <v>0</v>
      </c>
      <c r="P332" s="70">
        <v>132</v>
      </c>
      <c r="Q332" s="71">
        <v>46130</v>
      </c>
      <c r="R332" s="6">
        <v>46130</v>
      </c>
      <c r="S332" s="64">
        <v>38943.75</v>
      </c>
      <c r="T332" s="22">
        <v>5</v>
      </c>
      <c r="U332" s="64">
        <f t="shared" si="108"/>
        <v>1947.1875</v>
      </c>
      <c r="V332" s="22">
        <v>0</v>
      </c>
      <c r="W332" s="22">
        <v>83672</v>
      </c>
      <c r="X332" s="62" t="s">
        <v>796</v>
      </c>
      <c r="Y332" s="62">
        <v>58164467513</v>
      </c>
      <c r="Z332" s="62" t="s">
        <v>1112</v>
      </c>
      <c r="AA332" s="65">
        <v>4</v>
      </c>
      <c r="AB332" s="66"/>
      <c r="AC332" s="1" t="s">
        <v>824</v>
      </c>
      <c r="AD332" s="62" t="str">
        <f>VLOOKUP(X332,'Customer List'!B:C,2,)</f>
        <v>Jodhpur</v>
      </c>
      <c r="AE332" s="67" t="s">
        <v>834</v>
      </c>
      <c r="AF332" s="6">
        <v>46132</v>
      </c>
      <c r="AG332" s="62">
        <f t="shared" si="109"/>
        <v>2</v>
      </c>
      <c r="AH332" s="62" t="str">
        <f t="shared" si="110"/>
        <v>Monday</v>
      </c>
      <c r="AI332" s="62" t="str">
        <f t="shared" si="104"/>
        <v>Monday</v>
      </c>
      <c r="AJ332" s="62" t="str">
        <f>VLOOKUP(AC332,'Currency Sheet'!A:C,3,)</f>
        <v>DOLLAR</v>
      </c>
      <c r="AK332" s="62" t="str">
        <f>VLOOKUP(X332,'Customer List'!B:D,3,)</f>
        <v>OutStation</v>
      </c>
    </row>
    <row r="333" spans="1:37" hidden="1" x14ac:dyDescent="0.25">
      <c r="A333" s="62">
        <f t="shared" si="103"/>
        <v>319</v>
      </c>
      <c r="B333" s="62" t="s">
        <v>824</v>
      </c>
      <c r="C333" s="62" t="s">
        <v>905</v>
      </c>
      <c r="D333" s="6">
        <v>46108</v>
      </c>
      <c r="E333" s="6">
        <v>46118</v>
      </c>
      <c r="F333" s="63">
        <v>115.5</v>
      </c>
      <c r="G333" s="64">
        <f t="shared" si="105"/>
        <v>10164</v>
      </c>
      <c r="H333" s="64">
        <f t="shared" si="106"/>
        <v>10164</v>
      </c>
      <c r="I333" s="70">
        <v>351367</v>
      </c>
      <c r="J333" s="62" t="s">
        <v>1006</v>
      </c>
      <c r="K333" s="8" t="s">
        <v>1008</v>
      </c>
      <c r="L333" s="10">
        <v>46580</v>
      </c>
      <c r="M333" s="62">
        <v>1</v>
      </c>
      <c r="N333" s="8">
        <v>1</v>
      </c>
      <c r="O333" s="62">
        <f t="shared" si="107"/>
        <v>0</v>
      </c>
      <c r="P333" s="70" t="s">
        <v>1604</v>
      </c>
      <c r="Q333" s="71">
        <v>46127</v>
      </c>
      <c r="R333" s="6">
        <v>46127</v>
      </c>
      <c r="S333" s="64">
        <v>0</v>
      </c>
      <c r="T333" s="22">
        <v>5</v>
      </c>
      <c r="U333" s="64">
        <f t="shared" si="108"/>
        <v>0</v>
      </c>
      <c r="V333" s="22">
        <v>0</v>
      </c>
      <c r="W333" s="22">
        <v>0</v>
      </c>
      <c r="X333" s="62" t="s">
        <v>797</v>
      </c>
      <c r="Y333" s="62" t="s">
        <v>1120</v>
      </c>
      <c r="Z333" s="62" t="s">
        <v>1863</v>
      </c>
      <c r="AA333" s="65">
        <v>4</v>
      </c>
      <c r="AB333" s="66" t="s">
        <v>1605</v>
      </c>
      <c r="AC333" s="1" t="s">
        <v>824</v>
      </c>
      <c r="AD333" s="62" t="str">
        <f>VLOOKUP(X333,'Customer List'!B:C,2,)</f>
        <v>Delhi</v>
      </c>
      <c r="AE333" s="67" t="s">
        <v>832</v>
      </c>
      <c r="AF333" s="6"/>
      <c r="AG333" s="62" t="str">
        <f t="shared" si="109"/>
        <v/>
      </c>
      <c r="AH333" s="62" t="str">
        <f t="shared" si="110"/>
        <v>Saturday</v>
      </c>
      <c r="AI333" s="62" t="str">
        <f t="shared" si="104"/>
        <v/>
      </c>
      <c r="AJ333" s="62" t="str">
        <f>VLOOKUP(AC333,'Currency Sheet'!A:C,3,)</f>
        <v>DOLLAR</v>
      </c>
      <c r="AK333" s="62" t="str">
        <f>VLOOKUP(X333,'Customer List'!B:D,3,)</f>
        <v>Local</v>
      </c>
    </row>
    <row r="334" spans="1:37" hidden="1" x14ac:dyDescent="0.25">
      <c r="A334" s="62">
        <f t="shared" si="103"/>
        <v>320</v>
      </c>
      <c r="B334" s="62" t="s">
        <v>824</v>
      </c>
      <c r="C334" s="62" t="s">
        <v>905</v>
      </c>
      <c r="D334" s="6">
        <v>46108</v>
      </c>
      <c r="E334" s="6">
        <v>46118</v>
      </c>
      <c r="F334" s="63">
        <v>334.5</v>
      </c>
      <c r="G334" s="64">
        <f t="shared" si="105"/>
        <v>29436</v>
      </c>
      <c r="H334" s="64">
        <f t="shared" si="106"/>
        <v>29436</v>
      </c>
      <c r="I334" s="70">
        <v>353228</v>
      </c>
      <c r="J334" s="62" t="s">
        <v>1009</v>
      </c>
      <c r="K334" s="8" t="s">
        <v>1010</v>
      </c>
      <c r="L334" s="10">
        <v>46929</v>
      </c>
      <c r="M334" s="62">
        <v>1</v>
      </c>
      <c r="N334" s="8">
        <v>1</v>
      </c>
      <c r="O334" s="62">
        <f t="shared" si="107"/>
        <v>0</v>
      </c>
      <c r="P334" s="70">
        <v>11</v>
      </c>
      <c r="Q334" s="71">
        <v>46118</v>
      </c>
      <c r="R334" s="6">
        <v>46118</v>
      </c>
      <c r="S334" s="64">
        <v>42816</v>
      </c>
      <c r="T334" s="22">
        <v>5</v>
      </c>
      <c r="U334" s="64">
        <f t="shared" si="108"/>
        <v>2140.8000000000002</v>
      </c>
      <c r="V334" s="22">
        <v>0</v>
      </c>
      <c r="W334" s="22">
        <v>264802</v>
      </c>
      <c r="X334" s="62" t="s">
        <v>1097</v>
      </c>
      <c r="Y334" s="62" t="s">
        <v>896</v>
      </c>
      <c r="Z334" s="62" t="s">
        <v>821</v>
      </c>
      <c r="AA334" s="65">
        <v>4</v>
      </c>
      <c r="AB334" s="66"/>
      <c r="AC334" s="1" t="s">
        <v>824</v>
      </c>
      <c r="AD334" s="62" t="str">
        <f>VLOOKUP(X334,'Customer List'!B:C,2,)</f>
        <v>DELHI</v>
      </c>
      <c r="AE334" s="67"/>
      <c r="AF334" s="6"/>
      <c r="AG334" s="62" t="str">
        <f t="shared" si="109"/>
        <v/>
      </c>
      <c r="AH334" s="62" t="str">
        <f t="shared" si="110"/>
        <v>Wednesday</v>
      </c>
      <c r="AI334" s="62" t="str">
        <f t="shared" si="104"/>
        <v/>
      </c>
      <c r="AJ334" s="62" t="str">
        <f>VLOOKUP(AC334,'Currency Sheet'!A:C,3,)</f>
        <v>DOLLAR</v>
      </c>
      <c r="AK334" s="62" t="str">
        <f>VLOOKUP(X334,'Customer List'!B:D,3,)</f>
        <v>Local</v>
      </c>
    </row>
    <row r="335" spans="1:37" hidden="1" x14ac:dyDescent="0.25">
      <c r="A335" s="62">
        <f t="shared" si="103"/>
        <v>321</v>
      </c>
      <c r="B335" s="62" t="s">
        <v>824</v>
      </c>
      <c r="C335" s="62" t="s">
        <v>905</v>
      </c>
      <c r="D335" s="6">
        <v>46108</v>
      </c>
      <c r="E335" s="6">
        <v>46118</v>
      </c>
      <c r="F335" s="63">
        <v>334.5</v>
      </c>
      <c r="G335" s="64">
        <f t="shared" si="105"/>
        <v>29436</v>
      </c>
      <c r="H335" s="64">
        <f t="shared" si="106"/>
        <v>29436</v>
      </c>
      <c r="I335" s="70">
        <v>353234</v>
      </c>
      <c r="J335" s="62" t="s">
        <v>1009</v>
      </c>
      <c r="K335" s="8" t="s">
        <v>1011</v>
      </c>
      <c r="L335" s="10">
        <v>46811</v>
      </c>
      <c r="M335" s="62">
        <v>1</v>
      </c>
      <c r="N335" s="8">
        <v>1</v>
      </c>
      <c r="O335" s="62">
        <f t="shared" si="107"/>
        <v>0</v>
      </c>
      <c r="P335" s="70">
        <v>16</v>
      </c>
      <c r="Q335" s="71">
        <v>46118</v>
      </c>
      <c r="R335" s="6">
        <v>46118</v>
      </c>
      <c r="S335" s="64">
        <v>47008</v>
      </c>
      <c r="T335" s="22">
        <v>5</v>
      </c>
      <c r="U335" s="64">
        <f t="shared" si="108"/>
        <v>2350.4</v>
      </c>
      <c r="V335" s="22">
        <v>0</v>
      </c>
      <c r="W335" s="22">
        <v>290286</v>
      </c>
      <c r="X335" s="62" t="s">
        <v>177</v>
      </c>
      <c r="Y335" s="62" t="s">
        <v>1108</v>
      </c>
      <c r="Z335" s="62" t="s">
        <v>1112</v>
      </c>
      <c r="AA335" s="65">
        <v>4</v>
      </c>
      <c r="AB335" s="66"/>
      <c r="AC335" s="1" t="s">
        <v>824</v>
      </c>
      <c r="AD335" s="62" t="str">
        <f>VLOOKUP(X335,'Customer List'!B:C,2,)</f>
        <v>Punjab</v>
      </c>
      <c r="AE335" s="67"/>
      <c r="AF335" s="6">
        <v>46119</v>
      </c>
      <c r="AG335" s="62">
        <f t="shared" si="109"/>
        <v>1</v>
      </c>
      <c r="AH335" s="62" t="str">
        <f t="shared" si="110"/>
        <v>Tuesday</v>
      </c>
      <c r="AI335" s="62" t="str">
        <f t="shared" si="104"/>
        <v>Tuesday</v>
      </c>
      <c r="AJ335" s="62" t="str">
        <f>VLOOKUP(AC335,'Currency Sheet'!A:C,3,)</f>
        <v>DOLLAR</v>
      </c>
      <c r="AK335" s="62" t="str">
        <f>VLOOKUP(X335,'Customer List'!B:D,3,)</f>
        <v>OutStation</v>
      </c>
    </row>
    <row r="336" spans="1:37" hidden="1" x14ac:dyDescent="0.25">
      <c r="A336" s="62">
        <f t="shared" si="103"/>
        <v>322</v>
      </c>
      <c r="B336" s="62" t="s">
        <v>824</v>
      </c>
      <c r="C336" s="62" t="s">
        <v>905</v>
      </c>
      <c r="D336" s="6">
        <v>46108</v>
      </c>
      <c r="E336" s="6">
        <v>46118</v>
      </c>
      <c r="F336" s="63">
        <v>112</v>
      </c>
      <c r="G336" s="64">
        <f t="shared" si="105"/>
        <v>9856</v>
      </c>
      <c r="H336" s="64">
        <f t="shared" si="106"/>
        <v>9856</v>
      </c>
      <c r="I336" s="70">
        <v>353279</v>
      </c>
      <c r="J336" s="62" t="s">
        <v>1009</v>
      </c>
      <c r="K336" s="8" t="s">
        <v>1012</v>
      </c>
      <c r="L336" s="10">
        <v>47329</v>
      </c>
      <c r="M336" s="62">
        <v>1</v>
      </c>
      <c r="N336" s="8">
        <v>1</v>
      </c>
      <c r="O336" s="62">
        <f t="shared" si="107"/>
        <v>0</v>
      </c>
      <c r="P336" s="70">
        <v>11</v>
      </c>
      <c r="Q336" s="71">
        <v>46118</v>
      </c>
      <c r="R336" s="6">
        <v>46118</v>
      </c>
      <c r="S336" s="64">
        <v>15360</v>
      </c>
      <c r="T336" s="22">
        <v>5</v>
      </c>
      <c r="U336" s="64">
        <f t="shared" si="108"/>
        <v>768</v>
      </c>
      <c r="V336" s="22">
        <v>0</v>
      </c>
      <c r="W336" s="22">
        <v>264802</v>
      </c>
      <c r="X336" s="62" t="s">
        <v>1097</v>
      </c>
      <c r="Y336" s="62" t="s">
        <v>896</v>
      </c>
      <c r="Z336" s="62" t="s">
        <v>821</v>
      </c>
      <c r="AA336" s="65">
        <v>4</v>
      </c>
      <c r="AB336" s="66"/>
      <c r="AC336" s="1" t="s">
        <v>824</v>
      </c>
      <c r="AD336" s="62" t="str">
        <f>VLOOKUP(X336,'Customer List'!B:C,2,)</f>
        <v>DELHI</v>
      </c>
      <c r="AE336" s="67"/>
      <c r="AF336" s="6"/>
      <c r="AG336" s="62" t="str">
        <f t="shared" si="109"/>
        <v/>
      </c>
      <c r="AH336" s="62" t="str">
        <f t="shared" si="110"/>
        <v>Monday</v>
      </c>
      <c r="AI336" s="62" t="str">
        <f t="shared" si="104"/>
        <v/>
      </c>
      <c r="AJ336" s="62" t="str">
        <f>VLOOKUP(AC336,'Currency Sheet'!A:C,3,)</f>
        <v>DOLLAR</v>
      </c>
      <c r="AK336" s="62" t="str">
        <f>VLOOKUP(X336,'Customer List'!B:D,3,)</f>
        <v>Local</v>
      </c>
    </row>
    <row r="337" spans="1:37" hidden="1" x14ac:dyDescent="0.25">
      <c r="A337" s="62">
        <f t="shared" si="103"/>
        <v>323</v>
      </c>
      <c r="B337" s="62" t="s">
        <v>824</v>
      </c>
      <c r="C337" s="62" t="s">
        <v>905</v>
      </c>
      <c r="D337" s="6">
        <v>46108</v>
      </c>
      <c r="E337" s="6">
        <v>46118</v>
      </c>
      <c r="F337" s="63">
        <v>262.5</v>
      </c>
      <c r="G337" s="64">
        <f t="shared" si="105"/>
        <v>23100</v>
      </c>
      <c r="H337" s="64">
        <f t="shared" si="106"/>
        <v>23100</v>
      </c>
      <c r="I337" s="70">
        <v>356444</v>
      </c>
      <c r="J337" s="62" t="s">
        <v>766</v>
      </c>
      <c r="K337" s="8" t="s">
        <v>1013</v>
      </c>
      <c r="L337" s="10">
        <v>47233</v>
      </c>
      <c r="M337" s="62">
        <v>1</v>
      </c>
      <c r="N337" s="8">
        <v>1</v>
      </c>
      <c r="O337" s="62">
        <f t="shared" si="107"/>
        <v>0</v>
      </c>
      <c r="P337" s="70">
        <v>11</v>
      </c>
      <c r="Q337" s="71">
        <v>46118</v>
      </c>
      <c r="R337" s="6">
        <v>46118</v>
      </c>
      <c r="S337" s="64">
        <v>36000</v>
      </c>
      <c r="T337" s="22">
        <v>5</v>
      </c>
      <c r="U337" s="64">
        <f t="shared" si="108"/>
        <v>1800</v>
      </c>
      <c r="V337" s="22">
        <v>0</v>
      </c>
      <c r="W337" s="22">
        <v>264802</v>
      </c>
      <c r="X337" s="62" t="s">
        <v>1097</v>
      </c>
      <c r="Y337" s="62" t="s">
        <v>896</v>
      </c>
      <c r="Z337" s="62" t="s">
        <v>821</v>
      </c>
      <c r="AA337" s="65">
        <v>4</v>
      </c>
      <c r="AB337" s="66"/>
      <c r="AC337" s="1" t="s">
        <v>824</v>
      </c>
      <c r="AD337" s="62" t="str">
        <f>VLOOKUP(X337,'Customer List'!B:C,2,)</f>
        <v>DELHI</v>
      </c>
      <c r="AE337" s="67"/>
      <c r="AF337" s="6"/>
      <c r="AG337" s="62" t="str">
        <f t="shared" si="109"/>
        <v/>
      </c>
      <c r="AH337" s="62" t="str">
        <f t="shared" si="110"/>
        <v>Friday</v>
      </c>
      <c r="AI337" s="62" t="str">
        <f t="shared" si="104"/>
        <v/>
      </c>
      <c r="AJ337" s="62" t="str">
        <f>VLOOKUP(AC337,'Currency Sheet'!A:C,3,)</f>
        <v>DOLLAR</v>
      </c>
      <c r="AK337" s="62" t="str">
        <f>VLOOKUP(X337,'Customer List'!B:D,3,)</f>
        <v>Local</v>
      </c>
    </row>
    <row r="338" spans="1:37" hidden="1" x14ac:dyDescent="0.25">
      <c r="A338" s="62">
        <f t="shared" si="103"/>
        <v>324</v>
      </c>
      <c r="B338" s="62" t="s">
        <v>824</v>
      </c>
      <c r="C338" s="62" t="s">
        <v>905</v>
      </c>
      <c r="D338" s="6">
        <v>46108</v>
      </c>
      <c r="E338" s="6">
        <v>46118</v>
      </c>
      <c r="F338" s="63">
        <v>102.2</v>
      </c>
      <c r="G338" s="64">
        <f t="shared" si="105"/>
        <v>8993.6</v>
      </c>
      <c r="H338" s="64">
        <f t="shared" si="106"/>
        <v>8993.6</v>
      </c>
      <c r="I338" s="70">
        <v>356903</v>
      </c>
      <c r="J338" s="62" t="s">
        <v>1014</v>
      </c>
      <c r="K338" s="8" t="s">
        <v>1015</v>
      </c>
      <c r="L338" s="10">
        <v>46513</v>
      </c>
      <c r="M338" s="62">
        <v>1</v>
      </c>
      <c r="N338" s="8">
        <v>1</v>
      </c>
      <c r="O338" s="62">
        <f t="shared" si="107"/>
        <v>0</v>
      </c>
      <c r="P338" s="70" t="s">
        <v>1449</v>
      </c>
      <c r="Q338" s="71">
        <v>46125</v>
      </c>
      <c r="R338" s="6">
        <v>46125</v>
      </c>
      <c r="S338" s="64">
        <v>20367</v>
      </c>
      <c r="T338" s="22">
        <v>5</v>
      </c>
      <c r="U338" s="64">
        <f t="shared" si="108"/>
        <v>1018.35</v>
      </c>
      <c r="V338" s="22">
        <v>0</v>
      </c>
      <c r="W338" s="22">
        <v>81001</v>
      </c>
      <c r="X338" s="62" t="s">
        <v>94</v>
      </c>
      <c r="Y338" s="62" t="s">
        <v>896</v>
      </c>
      <c r="Z338" s="62" t="s">
        <v>821</v>
      </c>
      <c r="AA338" s="65">
        <v>4</v>
      </c>
      <c r="AB338" s="66" t="s">
        <v>1118</v>
      </c>
      <c r="AC338" s="1" t="s">
        <v>824</v>
      </c>
      <c r="AD338" s="62" t="str">
        <f>VLOOKUP(X338,'Customer List'!B:C,2,)</f>
        <v>Delhi</v>
      </c>
      <c r="AE338" s="67"/>
      <c r="AF338" s="6"/>
      <c r="AG338" s="62" t="str">
        <f t="shared" si="109"/>
        <v/>
      </c>
      <c r="AH338" s="62" t="str">
        <f t="shared" si="110"/>
        <v>Wednesday</v>
      </c>
      <c r="AI338" s="62" t="str">
        <f t="shared" si="104"/>
        <v/>
      </c>
      <c r="AJ338" s="62" t="str">
        <f>VLOOKUP(AC338,'Currency Sheet'!A:C,3,)</f>
        <v>DOLLAR</v>
      </c>
      <c r="AK338" s="62" t="str">
        <f>VLOOKUP(X338,'Customer List'!B:D,3,)</f>
        <v>Local</v>
      </c>
    </row>
    <row r="339" spans="1:37" hidden="1" x14ac:dyDescent="0.25">
      <c r="A339" s="62">
        <f t="shared" si="103"/>
        <v>325</v>
      </c>
      <c r="B339" s="62" t="s">
        <v>824</v>
      </c>
      <c r="C339" s="62" t="s">
        <v>905</v>
      </c>
      <c r="D339" s="6">
        <v>46108</v>
      </c>
      <c r="E339" s="6">
        <v>46118</v>
      </c>
      <c r="F339" s="63">
        <v>301.5</v>
      </c>
      <c r="G339" s="64">
        <f t="shared" si="105"/>
        <v>26532</v>
      </c>
      <c r="H339" s="64">
        <f t="shared" si="106"/>
        <v>26532</v>
      </c>
      <c r="I339" s="70">
        <v>362552</v>
      </c>
      <c r="J339" s="62" t="s">
        <v>987</v>
      </c>
      <c r="K339" s="8" t="s">
        <v>1016</v>
      </c>
      <c r="L339" s="10">
        <v>46951</v>
      </c>
      <c r="M339" s="62">
        <v>1</v>
      </c>
      <c r="N339" s="8">
        <v>1</v>
      </c>
      <c r="O339" s="62">
        <f t="shared" si="107"/>
        <v>0</v>
      </c>
      <c r="P339" s="70">
        <v>15</v>
      </c>
      <c r="Q339" s="71">
        <v>46118</v>
      </c>
      <c r="R339" s="6">
        <v>46118</v>
      </c>
      <c r="S339" s="64">
        <v>39396</v>
      </c>
      <c r="T339" s="22">
        <v>5</v>
      </c>
      <c r="U339" s="64">
        <f t="shared" si="108"/>
        <v>1969.8000000000002</v>
      </c>
      <c r="V339" s="22">
        <v>0</v>
      </c>
      <c r="W339" s="22">
        <v>309943</v>
      </c>
      <c r="X339" s="62" t="s">
        <v>23</v>
      </c>
      <c r="Y339" s="62" t="s">
        <v>1105</v>
      </c>
      <c r="Z339" s="62" t="s">
        <v>1105</v>
      </c>
      <c r="AA339" s="65">
        <v>4</v>
      </c>
      <c r="AB339" s="66"/>
      <c r="AC339" s="1" t="s">
        <v>824</v>
      </c>
      <c r="AD339" s="62" t="str">
        <f>VLOOKUP(X339,'Customer List'!B:C,2,)</f>
        <v>Delhi</v>
      </c>
      <c r="AE339" s="67"/>
      <c r="AF339" s="6"/>
      <c r="AG339" s="62" t="str">
        <f t="shared" si="109"/>
        <v/>
      </c>
      <c r="AH339" s="62" t="str">
        <f t="shared" si="110"/>
        <v>Saturday</v>
      </c>
      <c r="AI339" s="62" t="str">
        <f t="shared" si="104"/>
        <v/>
      </c>
      <c r="AJ339" s="62" t="str">
        <f>VLOOKUP(AC339,'Currency Sheet'!A:C,3,)</f>
        <v>DOLLAR</v>
      </c>
      <c r="AK339" s="62" t="str">
        <f>VLOOKUP(X339,'Customer List'!B:D,3,)</f>
        <v>Local</v>
      </c>
    </row>
    <row r="340" spans="1:37" hidden="1" x14ac:dyDescent="0.25">
      <c r="A340" s="62">
        <f t="shared" si="103"/>
        <v>326</v>
      </c>
      <c r="B340" s="62" t="s">
        <v>824</v>
      </c>
      <c r="C340" s="62" t="s">
        <v>905</v>
      </c>
      <c r="D340" s="6">
        <v>46108</v>
      </c>
      <c r="E340" s="6">
        <v>46118</v>
      </c>
      <c r="F340" s="63">
        <v>242.9</v>
      </c>
      <c r="G340" s="64">
        <f t="shared" si="105"/>
        <v>21375.200000000001</v>
      </c>
      <c r="H340" s="64">
        <f t="shared" si="106"/>
        <v>21375.200000000001</v>
      </c>
      <c r="I340" s="70">
        <v>363804</v>
      </c>
      <c r="J340" s="62" t="s">
        <v>1017</v>
      </c>
      <c r="K340" s="8" t="s">
        <v>1018</v>
      </c>
      <c r="L340" s="10">
        <v>47374</v>
      </c>
      <c r="M340" s="62">
        <v>1</v>
      </c>
      <c r="N340" s="8">
        <v>1</v>
      </c>
      <c r="O340" s="62">
        <f t="shared" si="107"/>
        <v>0</v>
      </c>
      <c r="P340" s="70">
        <v>42</v>
      </c>
      <c r="Q340" s="71">
        <v>46118</v>
      </c>
      <c r="R340" s="6">
        <v>46119</v>
      </c>
      <c r="S340" s="64">
        <v>37649.5</v>
      </c>
      <c r="T340" s="22">
        <v>5</v>
      </c>
      <c r="U340" s="64">
        <f t="shared" si="108"/>
        <v>1882.4750000000001</v>
      </c>
      <c r="V340" s="22">
        <v>0</v>
      </c>
      <c r="W340" s="22">
        <v>178634</v>
      </c>
      <c r="X340" s="62" t="s">
        <v>1100</v>
      </c>
      <c r="Y340" s="62">
        <v>58163971795</v>
      </c>
      <c r="Z340" s="62" t="s">
        <v>1112</v>
      </c>
      <c r="AA340" s="65">
        <v>4</v>
      </c>
      <c r="AB340" s="66"/>
      <c r="AC340" s="1" t="s">
        <v>824</v>
      </c>
      <c r="AD340" s="62" t="str">
        <f>VLOOKUP(X340,'Customer List'!B:C,2,)</f>
        <v>Banglore</v>
      </c>
      <c r="AE340" s="67"/>
      <c r="AF340" s="6"/>
      <c r="AG340" s="62" t="str">
        <f t="shared" si="109"/>
        <v/>
      </c>
      <c r="AH340" s="62" t="str">
        <f t="shared" si="110"/>
        <v>Tuesday</v>
      </c>
      <c r="AI340" s="6">
        <v>46120</v>
      </c>
      <c r="AJ340" s="62" t="str">
        <f>VLOOKUP(AC340,'Currency Sheet'!A:C,3,)</f>
        <v>DOLLAR</v>
      </c>
      <c r="AK340" s="62" t="str">
        <f>VLOOKUP(X340,'Customer List'!B:D,3,)</f>
        <v>OutStation</v>
      </c>
    </row>
    <row r="341" spans="1:37" hidden="1" x14ac:dyDescent="0.25">
      <c r="A341" s="62">
        <f t="shared" si="103"/>
        <v>327</v>
      </c>
      <c r="B341" s="62" t="s">
        <v>824</v>
      </c>
      <c r="C341" s="62" t="s">
        <v>905</v>
      </c>
      <c r="D341" s="6">
        <v>46108</v>
      </c>
      <c r="E341" s="6">
        <v>46118</v>
      </c>
      <c r="F341" s="63">
        <v>95.2</v>
      </c>
      <c r="G341" s="64">
        <f t="shared" si="105"/>
        <v>8377.6</v>
      </c>
      <c r="H341" s="64">
        <f t="shared" si="106"/>
        <v>8377.6</v>
      </c>
      <c r="I341" s="70">
        <v>364007</v>
      </c>
      <c r="J341" s="62" t="s">
        <v>1019</v>
      </c>
      <c r="K341" s="8" t="s">
        <v>1020</v>
      </c>
      <c r="L341" s="10">
        <v>47292</v>
      </c>
      <c r="M341" s="62">
        <v>1</v>
      </c>
      <c r="N341" s="8">
        <v>1</v>
      </c>
      <c r="O341" s="62">
        <f t="shared" si="107"/>
        <v>0</v>
      </c>
      <c r="P341" s="70">
        <v>32</v>
      </c>
      <c r="Q341" s="71">
        <v>46118</v>
      </c>
      <c r="R341" s="6">
        <v>46119</v>
      </c>
      <c r="S341" s="64">
        <v>17610</v>
      </c>
      <c r="T341" s="22">
        <v>5</v>
      </c>
      <c r="U341" s="64">
        <f t="shared" si="108"/>
        <v>880.5</v>
      </c>
      <c r="V341" s="22">
        <v>112497</v>
      </c>
      <c r="W341" s="22"/>
      <c r="X341" s="62" t="s">
        <v>1096</v>
      </c>
      <c r="Y341" s="62">
        <v>58163968925</v>
      </c>
      <c r="Z341" s="62" t="s">
        <v>1112</v>
      </c>
      <c r="AA341" s="65">
        <v>4</v>
      </c>
      <c r="AB341" s="66"/>
      <c r="AC341" s="1" t="s">
        <v>824</v>
      </c>
      <c r="AD341" s="62" t="str">
        <f>VLOOKUP(X341,'Customer List'!B:C,2,)</f>
        <v>Mumbai</v>
      </c>
      <c r="AE341" s="67"/>
      <c r="AF341" s="6">
        <v>46120</v>
      </c>
      <c r="AG341" s="62">
        <f t="shared" si="109"/>
        <v>1</v>
      </c>
      <c r="AH341" s="62" t="str">
        <f t="shared" si="110"/>
        <v>Thursday</v>
      </c>
      <c r="AI341" s="62" t="str">
        <f>IF(AF341="", "", TEXT(AF341, "dddd"))</f>
        <v>Wednesday</v>
      </c>
      <c r="AJ341" s="62" t="str">
        <f>VLOOKUP(AC341,'Currency Sheet'!A:C,3,)</f>
        <v>DOLLAR</v>
      </c>
      <c r="AK341" s="62" t="str">
        <f>VLOOKUP(X341,'Customer List'!B:D,3,)</f>
        <v>OutStation</v>
      </c>
    </row>
    <row r="342" spans="1:37" hidden="1" x14ac:dyDescent="0.25">
      <c r="A342" s="62">
        <f t="shared" si="103"/>
        <v>328</v>
      </c>
      <c r="B342" s="62" t="s">
        <v>824</v>
      </c>
      <c r="C342" s="62" t="s">
        <v>905</v>
      </c>
      <c r="D342" s="6">
        <v>46108</v>
      </c>
      <c r="E342" s="6">
        <v>46118</v>
      </c>
      <c r="F342" s="63">
        <v>262.5</v>
      </c>
      <c r="G342" s="64">
        <f t="shared" si="105"/>
        <v>23100</v>
      </c>
      <c r="H342" s="64">
        <f t="shared" si="106"/>
        <v>23100</v>
      </c>
      <c r="I342" s="70">
        <v>364822</v>
      </c>
      <c r="J342" s="62" t="s">
        <v>1021</v>
      </c>
      <c r="K342" s="8" t="s">
        <v>1022</v>
      </c>
      <c r="L342" s="10">
        <v>47191</v>
      </c>
      <c r="M342" s="62">
        <v>1</v>
      </c>
      <c r="N342" s="8">
        <v>1</v>
      </c>
      <c r="O342" s="62">
        <f t="shared" si="107"/>
        <v>0</v>
      </c>
      <c r="P342" s="70">
        <v>11</v>
      </c>
      <c r="Q342" s="71">
        <v>46118</v>
      </c>
      <c r="R342" s="6">
        <v>46118</v>
      </c>
      <c r="S342" s="64">
        <v>36000</v>
      </c>
      <c r="T342" s="22">
        <v>5</v>
      </c>
      <c r="U342" s="64">
        <f t="shared" si="108"/>
        <v>1800</v>
      </c>
      <c r="V342" s="22">
        <v>0</v>
      </c>
      <c r="W342" s="22">
        <v>264802</v>
      </c>
      <c r="X342" s="62" t="s">
        <v>1097</v>
      </c>
      <c r="Y342" s="62" t="s">
        <v>896</v>
      </c>
      <c r="Z342" s="62" t="s">
        <v>821</v>
      </c>
      <c r="AA342" s="65">
        <v>4</v>
      </c>
      <c r="AB342" s="66"/>
      <c r="AC342" s="1" t="s">
        <v>824</v>
      </c>
      <c r="AD342" s="62" t="str">
        <f>VLOOKUP(X342,'Customer List'!B:C,2,)</f>
        <v>DELHI</v>
      </c>
      <c r="AE342" s="67"/>
      <c r="AF342" s="6"/>
      <c r="AG342" s="62" t="str">
        <f t="shared" si="109"/>
        <v/>
      </c>
      <c r="AH342" s="62" t="str">
        <f t="shared" si="110"/>
        <v>Friday</v>
      </c>
      <c r="AI342" s="62" t="str">
        <f>IF(AF342="", "", TEXT(AF342, "dddd"))</f>
        <v/>
      </c>
      <c r="AJ342" s="62" t="str">
        <f>VLOOKUP(AC342,'Currency Sheet'!A:C,3,)</f>
        <v>DOLLAR</v>
      </c>
      <c r="AK342" s="62" t="str">
        <f>VLOOKUP(X342,'Customer List'!B:D,3,)</f>
        <v>Local</v>
      </c>
    </row>
    <row r="343" spans="1:37" hidden="1" x14ac:dyDescent="0.25">
      <c r="A343" s="62">
        <f t="shared" si="103"/>
        <v>329</v>
      </c>
      <c r="B343" s="62" t="s">
        <v>824</v>
      </c>
      <c r="C343" s="62" t="s">
        <v>905</v>
      </c>
      <c r="D343" s="6">
        <v>46108</v>
      </c>
      <c r="E343" s="6">
        <v>46118</v>
      </c>
      <c r="F343" s="63">
        <v>252</v>
      </c>
      <c r="G343" s="64">
        <f t="shared" si="105"/>
        <v>22176</v>
      </c>
      <c r="H343" s="64">
        <f t="shared" si="106"/>
        <v>22176</v>
      </c>
      <c r="I343" s="70">
        <v>367004</v>
      </c>
      <c r="J343" s="62" t="s">
        <v>1023</v>
      </c>
      <c r="K343" s="8" t="s">
        <v>1024</v>
      </c>
      <c r="L343" s="10">
        <v>47007</v>
      </c>
      <c r="M343" s="62">
        <v>1</v>
      </c>
      <c r="N343" s="8">
        <v>1</v>
      </c>
      <c r="O343" s="62">
        <f t="shared" si="107"/>
        <v>0</v>
      </c>
      <c r="P343" s="70">
        <v>41</v>
      </c>
      <c r="Q343" s="71">
        <v>46118</v>
      </c>
      <c r="R343" s="6">
        <v>46119</v>
      </c>
      <c r="S343" s="64">
        <v>39060</v>
      </c>
      <c r="T343" s="22">
        <v>5</v>
      </c>
      <c r="U343" s="64">
        <f t="shared" si="108"/>
        <v>1953</v>
      </c>
      <c r="V343" s="22">
        <v>0</v>
      </c>
      <c r="W343" s="22">
        <v>402725</v>
      </c>
      <c r="X343" s="62" t="s">
        <v>1100</v>
      </c>
      <c r="Y343" s="62">
        <v>58163971795</v>
      </c>
      <c r="Z343" s="62" t="s">
        <v>1112</v>
      </c>
      <c r="AA343" s="65">
        <v>4</v>
      </c>
      <c r="AB343" s="66"/>
      <c r="AC343" s="1" t="s">
        <v>824</v>
      </c>
      <c r="AD343" s="62" t="str">
        <f>VLOOKUP(X343,'Customer List'!B:C,2,)</f>
        <v>Banglore</v>
      </c>
      <c r="AE343" s="67"/>
      <c r="AF343" s="6"/>
      <c r="AG343" s="62" t="str">
        <f t="shared" si="109"/>
        <v/>
      </c>
      <c r="AH343" s="62" t="str">
        <f t="shared" si="110"/>
        <v>Saturday</v>
      </c>
      <c r="AI343" s="6">
        <v>46120</v>
      </c>
      <c r="AJ343" s="62" t="str">
        <f>VLOOKUP(AC343,'Currency Sheet'!A:C,3,)</f>
        <v>DOLLAR</v>
      </c>
      <c r="AK343" s="62" t="str">
        <f>VLOOKUP(X343,'Customer List'!B:D,3,)</f>
        <v>OutStation</v>
      </c>
    </row>
    <row r="344" spans="1:37" hidden="1" x14ac:dyDescent="0.25">
      <c r="A344" s="62">
        <f t="shared" si="103"/>
        <v>330</v>
      </c>
      <c r="B344" s="62" t="s">
        <v>824</v>
      </c>
      <c r="C344" s="62" t="s">
        <v>905</v>
      </c>
      <c r="D344" s="6">
        <v>46108</v>
      </c>
      <c r="E344" s="6">
        <v>46118</v>
      </c>
      <c r="F344" s="63">
        <v>201.6</v>
      </c>
      <c r="G344" s="64">
        <f t="shared" si="105"/>
        <v>17740.8</v>
      </c>
      <c r="H344" s="64">
        <f t="shared" si="106"/>
        <v>17740.8</v>
      </c>
      <c r="I344" s="70">
        <v>367152</v>
      </c>
      <c r="J344" s="62" t="s">
        <v>745</v>
      </c>
      <c r="K344" s="8" t="s">
        <v>1025</v>
      </c>
      <c r="L344" s="10">
        <v>47307</v>
      </c>
      <c r="M344" s="62">
        <v>1</v>
      </c>
      <c r="N344" s="8">
        <v>1</v>
      </c>
      <c r="O344" s="62">
        <f t="shared" si="107"/>
        <v>0</v>
      </c>
      <c r="P344" s="70">
        <v>15</v>
      </c>
      <c r="Q344" s="71">
        <v>46118</v>
      </c>
      <c r="R344" s="6">
        <v>46118</v>
      </c>
      <c r="S344" s="64">
        <v>28224</v>
      </c>
      <c r="T344" s="22">
        <v>5</v>
      </c>
      <c r="U344" s="64">
        <f t="shared" si="108"/>
        <v>1411.2</v>
      </c>
      <c r="V344" s="22">
        <v>0</v>
      </c>
      <c r="W344" s="22">
        <v>309943</v>
      </c>
      <c r="X344" s="62" t="s">
        <v>23</v>
      </c>
      <c r="Y344" s="62" t="s">
        <v>1105</v>
      </c>
      <c r="Z344" s="62" t="s">
        <v>1105</v>
      </c>
      <c r="AA344" s="65">
        <v>4</v>
      </c>
      <c r="AB344" s="66"/>
      <c r="AC344" s="1" t="s">
        <v>824</v>
      </c>
      <c r="AD344" s="62" t="str">
        <f>VLOOKUP(X344,'Customer List'!B:C,2,)</f>
        <v>Delhi</v>
      </c>
      <c r="AE344" s="67"/>
      <c r="AF344" s="6"/>
      <c r="AG344" s="62" t="str">
        <f t="shared" si="109"/>
        <v/>
      </c>
      <c r="AH344" s="62" t="str">
        <f t="shared" si="110"/>
        <v>Saturday</v>
      </c>
      <c r="AI344" s="62" t="str">
        <f t="shared" ref="AI344:AI349" si="111">IF(AF344="", "", TEXT(AF344, "dddd"))</f>
        <v/>
      </c>
      <c r="AJ344" s="62" t="str">
        <f>VLOOKUP(AC344,'Currency Sheet'!A:C,3,)</f>
        <v>DOLLAR</v>
      </c>
      <c r="AK344" s="62" t="str">
        <f>VLOOKUP(X344,'Customer List'!B:D,3,)</f>
        <v>Local</v>
      </c>
    </row>
    <row r="345" spans="1:37" hidden="1" x14ac:dyDescent="0.25">
      <c r="A345" s="62">
        <f t="shared" si="103"/>
        <v>331</v>
      </c>
      <c r="B345" s="62" t="s">
        <v>824</v>
      </c>
      <c r="C345" s="62" t="s">
        <v>905</v>
      </c>
      <c r="D345" s="6">
        <v>46108</v>
      </c>
      <c r="E345" s="6">
        <v>46118</v>
      </c>
      <c r="F345" s="63">
        <v>201.6</v>
      </c>
      <c r="G345" s="64">
        <f t="shared" si="105"/>
        <v>17740.8</v>
      </c>
      <c r="H345" s="64">
        <f t="shared" si="106"/>
        <v>17740.8</v>
      </c>
      <c r="I345" s="70">
        <v>368514</v>
      </c>
      <c r="J345" s="62" t="s">
        <v>755</v>
      </c>
      <c r="K345" s="8" t="s">
        <v>1026</v>
      </c>
      <c r="L345" s="10">
        <v>47282</v>
      </c>
      <c r="M345" s="62">
        <v>1</v>
      </c>
      <c r="N345" s="8">
        <v>1</v>
      </c>
      <c r="O345" s="62">
        <f t="shared" si="107"/>
        <v>0</v>
      </c>
      <c r="P345" s="70">
        <v>16</v>
      </c>
      <c r="Q345" s="71">
        <v>46118</v>
      </c>
      <c r="R345" s="6">
        <v>46118</v>
      </c>
      <c r="S345" s="64">
        <v>30355</v>
      </c>
      <c r="T345" s="22">
        <v>5</v>
      </c>
      <c r="U345" s="64">
        <f t="shared" si="108"/>
        <v>1517.75</v>
      </c>
      <c r="V345" s="22">
        <v>0</v>
      </c>
      <c r="W345" s="22">
        <v>290286</v>
      </c>
      <c r="X345" s="62" t="s">
        <v>177</v>
      </c>
      <c r="Y345" s="62" t="s">
        <v>1108</v>
      </c>
      <c r="Z345" s="62" t="s">
        <v>1112</v>
      </c>
      <c r="AA345" s="65">
        <v>4</v>
      </c>
      <c r="AB345" s="66"/>
      <c r="AC345" s="1" t="s">
        <v>824</v>
      </c>
      <c r="AD345" s="62" t="str">
        <f>VLOOKUP(X345,'Customer List'!B:C,2,)</f>
        <v>Punjab</v>
      </c>
      <c r="AE345" s="67"/>
      <c r="AF345" s="6">
        <v>46119</v>
      </c>
      <c r="AG345" s="62">
        <f t="shared" si="109"/>
        <v>1</v>
      </c>
      <c r="AH345" s="62" t="str">
        <f t="shared" si="110"/>
        <v>Tuesday</v>
      </c>
      <c r="AI345" s="62" t="str">
        <f t="shared" si="111"/>
        <v>Tuesday</v>
      </c>
      <c r="AJ345" s="62" t="str">
        <f>VLOOKUP(AC345,'Currency Sheet'!A:C,3,)</f>
        <v>DOLLAR</v>
      </c>
      <c r="AK345" s="62" t="str">
        <f>VLOOKUP(X345,'Customer List'!B:D,3,)</f>
        <v>OutStation</v>
      </c>
    </row>
    <row r="346" spans="1:37" hidden="1" x14ac:dyDescent="0.25">
      <c r="A346" s="62">
        <f t="shared" si="103"/>
        <v>332</v>
      </c>
      <c r="B346" s="62" t="s">
        <v>824</v>
      </c>
      <c r="C346" s="62" t="s">
        <v>905</v>
      </c>
      <c r="D346" s="6">
        <v>46108</v>
      </c>
      <c r="E346" s="6">
        <v>46118</v>
      </c>
      <c r="F346" s="63">
        <v>196.7</v>
      </c>
      <c r="G346" s="64">
        <f t="shared" si="105"/>
        <v>17309.599999999999</v>
      </c>
      <c r="H346" s="64">
        <f t="shared" si="106"/>
        <v>17309.599999999999</v>
      </c>
      <c r="I346" s="70">
        <v>368532</v>
      </c>
      <c r="J346" s="62" t="s">
        <v>755</v>
      </c>
      <c r="K346" s="8" t="s">
        <v>1027</v>
      </c>
      <c r="L346" s="10">
        <v>46484</v>
      </c>
      <c r="M346" s="62">
        <v>1</v>
      </c>
      <c r="N346" s="8">
        <v>1</v>
      </c>
      <c r="O346" s="62">
        <f t="shared" si="107"/>
        <v>0</v>
      </c>
      <c r="P346" s="70">
        <v>30</v>
      </c>
      <c r="Q346" s="71">
        <v>46118</v>
      </c>
      <c r="R346" s="6">
        <v>46119</v>
      </c>
      <c r="S346" s="64">
        <v>32666.25</v>
      </c>
      <c r="T346" s="22">
        <v>5</v>
      </c>
      <c r="U346" s="64">
        <f t="shared" si="108"/>
        <v>1633.3125</v>
      </c>
      <c r="V346" s="22">
        <v>0</v>
      </c>
      <c r="W346" s="22">
        <v>106194</v>
      </c>
      <c r="X346" s="62" t="s">
        <v>29</v>
      </c>
      <c r="Y346" s="62">
        <v>58163972801</v>
      </c>
      <c r="Z346" s="62" t="s">
        <v>1112</v>
      </c>
      <c r="AA346" s="65">
        <v>4</v>
      </c>
      <c r="AB346" s="66"/>
      <c r="AC346" s="1" t="s">
        <v>824</v>
      </c>
      <c r="AD346" s="62" t="str">
        <f>VLOOKUP(X346,'Customer List'!B:C,2,)</f>
        <v>Gujrat</v>
      </c>
      <c r="AE346" s="67"/>
      <c r="AF346" s="6">
        <v>46120</v>
      </c>
      <c r="AG346" s="62">
        <f t="shared" si="109"/>
        <v>1</v>
      </c>
      <c r="AH346" s="62" t="str">
        <f t="shared" si="110"/>
        <v>Wednesday</v>
      </c>
      <c r="AI346" s="62" t="str">
        <f t="shared" si="111"/>
        <v>Wednesday</v>
      </c>
      <c r="AJ346" s="62" t="str">
        <f>VLOOKUP(AC346,'Currency Sheet'!A:C,3,)</f>
        <v>DOLLAR</v>
      </c>
      <c r="AK346" s="62" t="str">
        <f>VLOOKUP(X346,'Customer List'!B:D,3,)</f>
        <v>OutStation</v>
      </c>
    </row>
    <row r="347" spans="1:37" hidden="1" x14ac:dyDescent="0.25">
      <c r="A347" s="62">
        <f t="shared" si="103"/>
        <v>333</v>
      </c>
      <c r="B347" s="62" t="s">
        <v>824</v>
      </c>
      <c r="C347" s="62" t="s">
        <v>905</v>
      </c>
      <c r="D347" s="6">
        <v>46108</v>
      </c>
      <c r="E347" s="6">
        <v>46118</v>
      </c>
      <c r="F347" s="63">
        <v>309.75</v>
      </c>
      <c r="G347" s="64">
        <f t="shared" si="105"/>
        <v>27258</v>
      </c>
      <c r="H347" s="64">
        <f t="shared" si="106"/>
        <v>54516</v>
      </c>
      <c r="I347" s="70">
        <v>369324</v>
      </c>
      <c r="J347" s="62" t="s">
        <v>1028</v>
      </c>
      <c r="K347" s="8" t="s">
        <v>1029</v>
      </c>
      <c r="L347" s="10">
        <v>46795</v>
      </c>
      <c r="M347" s="62">
        <v>2</v>
      </c>
      <c r="N347" s="8">
        <v>2</v>
      </c>
      <c r="O347" s="62">
        <f t="shared" si="107"/>
        <v>0</v>
      </c>
      <c r="P347" s="70">
        <v>19</v>
      </c>
      <c r="Q347" s="71">
        <v>46118</v>
      </c>
      <c r="R347" s="6">
        <v>46119</v>
      </c>
      <c r="S347" s="64">
        <v>76818</v>
      </c>
      <c r="T347" s="22">
        <v>5</v>
      </c>
      <c r="U347" s="64">
        <f t="shared" si="108"/>
        <v>3840.9</v>
      </c>
      <c r="V347" s="22">
        <v>0</v>
      </c>
      <c r="W347" s="22">
        <v>134464</v>
      </c>
      <c r="X347" s="62" t="s">
        <v>127</v>
      </c>
      <c r="Y347" s="62">
        <v>58163972366</v>
      </c>
      <c r="Z347" s="62" t="s">
        <v>1112</v>
      </c>
      <c r="AA347" s="65">
        <v>4</v>
      </c>
      <c r="AB347" s="66"/>
      <c r="AC347" s="1" t="s">
        <v>824</v>
      </c>
      <c r="AD347" s="62" t="str">
        <f>VLOOKUP(X347,'Customer List'!B:C,2,)</f>
        <v>Banglore</v>
      </c>
      <c r="AE347" s="67"/>
      <c r="AF347" s="6">
        <v>46120</v>
      </c>
      <c r="AG347" s="62">
        <f t="shared" si="109"/>
        <v>1</v>
      </c>
      <c r="AH347" s="62" t="str">
        <f t="shared" si="110"/>
        <v>Saturday</v>
      </c>
      <c r="AI347" s="62" t="str">
        <f t="shared" si="111"/>
        <v>Wednesday</v>
      </c>
      <c r="AJ347" s="62" t="str">
        <f>VLOOKUP(AC347,'Currency Sheet'!A:C,3,)</f>
        <v>DOLLAR</v>
      </c>
      <c r="AK347" s="62" t="str">
        <f>VLOOKUP(X347,'Customer List'!B:D,3,)</f>
        <v>OutStation</v>
      </c>
    </row>
    <row r="348" spans="1:37" hidden="1" x14ac:dyDescent="0.25">
      <c r="A348" s="62">
        <f t="shared" si="103"/>
        <v>334</v>
      </c>
      <c r="B348" s="62" t="s">
        <v>824</v>
      </c>
      <c r="C348" s="62" t="s">
        <v>905</v>
      </c>
      <c r="D348" s="6">
        <v>46108</v>
      </c>
      <c r="E348" s="6">
        <v>46118</v>
      </c>
      <c r="F348" s="63">
        <v>165.75</v>
      </c>
      <c r="G348" s="64">
        <f t="shared" si="105"/>
        <v>14586</v>
      </c>
      <c r="H348" s="64">
        <f t="shared" si="106"/>
        <v>14586</v>
      </c>
      <c r="I348" s="70">
        <v>369351</v>
      </c>
      <c r="J348" s="62" t="s">
        <v>1028</v>
      </c>
      <c r="K348" s="8" t="s">
        <v>1030</v>
      </c>
      <c r="L348" s="10">
        <v>46446</v>
      </c>
      <c r="M348" s="62">
        <v>1</v>
      </c>
      <c r="N348" s="8">
        <v>1</v>
      </c>
      <c r="O348" s="62">
        <f t="shared" si="107"/>
        <v>0</v>
      </c>
      <c r="P348" s="70">
        <v>12</v>
      </c>
      <c r="Q348" s="71">
        <v>46118</v>
      </c>
      <c r="R348" s="6">
        <v>46118</v>
      </c>
      <c r="S348" s="64">
        <v>21216</v>
      </c>
      <c r="T348" s="22">
        <v>5</v>
      </c>
      <c r="U348" s="64">
        <f t="shared" si="108"/>
        <v>1060.8</v>
      </c>
      <c r="V348" s="22">
        <v>0.2</v>
      </c>
      <c r="W348" s="22">
        <v>22277</v>
      </c>
      <c r="X348" s="62" t="s">
        <v>1097</v>
      </c>
      <c r="Y348" s="62" t="s">
        <v>896</v>
      </c>
      <c r="Z348" s="62" t="s">
        <v>821</v>
      </c>
      <c r="AA348" s="65">
        <v>4</v>
      </c>
      <c r="AB348" s="66"/>
      <c r="AC348" s="1" t="s">
        <v>824</v>
      </c>
      <c r="AD348" s="62" t="str">
        <f>VLOOKUP(X348,'Customer List'!B:C,2,)</f>
        <v>DELHI</v>
      </c>
      <c r="AE348" s="67"/>
      <c r="AF348" s="6"/>
      <c r="AG348" s="62" t="str">
        <f t="shared" si="109"/>
        <v/>
      </c>
      <c r="AH348" s="62" t="str">
        <f t="shared" si="110"/>
        <v>Friday</v>
      </c>
      <c r="AI348" s="62" t="str">
        <f t="shared" si="111"/>
        <v/>
      </c>
      <c r="AJ348" s="62" t="str">
        <f>VLOOKUP(AC348,'Currency Sheet'!A:C,3,)</f>
        <v>DOLLAR</v>
      </c>
      <c r="AK348" s="62" t="str">
        <f>VLOOKUP(X348,'Customer List'!B:D,3,)</f>
        <v>Local</v>
      </c>
    </row>
    <row r="349" spans="1:37" hidden="1" x14ac:dyDescent="0.25">
      <c r="A349" s="62">
        <f t="shared" si="103"/>
        <v>335</v>
      </c>
      <c r="B349" s="62" t="s">
        <v>824</v>
      </c>
      <c r="C349" s="62" t="s">
        <v>905</v>
      </c>
      <c r="D349" s="6">
        <v>46108</v>
      </c>
      <c r="E349" s="6">
        <v>46118</v>
      </c>
      <c r="F349" s="63">
        <v>259</v>
      </c>
      <c r="G349" s="64">
        <f t="shared" si="105"/>
        <v>22792</v>
      </c>
      <c r="H349" s="64">
        <f t="shared" si="106"/>
        <v>22792</v>
      </c>
      <c r="I349" s="70">
        <v>372214</v>
      </c>
      <c r="J349" s="62" t="s">
        <v>746</v>
      </c>
      <c r="K349" s="8" t="s">
        <v>1031</v>
      </c>
      <c r="L349" s="10">
        <v>46664</v>
      </c>
      <c r="M349" s="62">
        <v>1</v>
      </c>
      <c r="N349" s="8">
        <v>1</v>
      </c>
      <c r="O349" s="62">
        <f t="shared" si="107"/>
        <v>0</v>
      </c>
      <c r="P349" s="70">
        <v>44</v>
      </c>
      <c r="Q349" s="71">
        <v>46118</v>
      </c>
      <c r="R349" s="6">
        <v>46119</v>
      </c>
      <c r="S349" s="64">
        <v>38998</v>
      </c>
      <c r="T349" s="22">
        <v>5</v>
      </c>
      <c r="U349" s="64">
        <f t="shared" si="108"/>
        <v>1949.9</v>
      </c>
      <c r="V349" s="22">
        <v>0</v>
      </c>
      <c r="W349" s="22">
        <v>287299</v>
      </c>
      <c r="X349" s="62" t="s">
        <v>1090</v>
      </c>
      <c r="Y349" s="62">
        <v>58163968295</v>
      </c>
      <c r="Z349" s="62" t="s">
        <v>1112</v>
      </c>
      <c r="AA349" s="65">
        <v>4</v>
      </c>
      <c r="AB349" s="66"/>
      <c r="AC349" s="1" t="s">
        <v>824</v>
      </c>
      <c r="AD349" s="62" t="str">
        <f>VLOOKUP(X349,'Customer List'!B:C,2,)</f>
        <v>Kanpur</v>
      </c>
      <c r="AE349" s="67"/>
      <c r="AF349" s="6">
        <v>46121</v>
      </c>
      <c r="AG349" s="62">
        <f t="shared" si="109"/>
        <v>2</v>
      </c>
      <c r="AH349" s="62" t="str">
        <f t="shared" si="110"/>
        <v>Sunday</v>
      </c>
      <c r="AI349" s="62" t="str">
        <f t="shared" si="111"/>
        <v>Thursday</v>
      </c>
      <c r="AJ349" s="62" t="str">
        <f>VLOOKUP(AC349,'Currency Sheet'!A:C,3,)</f>
        <v>DOLLAR</v>
      </c>
      <c r="AK349" s="62" t="str">
        <f>VLOOKUP(X349,'Customer List'!B:D,3,)</f>
        <v>OutStation</v>
      </c>
    </row>
    <row r="350" spans="1:37" hidden="1" x14ac:dyDescent="0.25">
      <c r="A350" s="62">
        <f t="shared" si="103"/>
        <v>336</v>
      </c>
      <c r="B350" s="62" t="s">
        <v>824</v>
      </c>
      <c r="C350" s="62" t="s">
        <v>905</v>
      </c>
      <c r="D350" s="6">
        <v>46108</v>
      </c>
      <c r="E350" s="6">
        <v>46118</v>
      </c>
      <c r="F350" s="63">
        <v>90.3</v>
      </c>
      <c r="G350" s="64">
        <f t="shared" si="105"/>
        <v>7946.4</v>
      </c>
      <c r="H350" s="64">
        <f t="shared" si="106"/>
        <v>7946.4</v>
      </c>
      <c r="I350" s="70">
        <v>400114</v>
      </c>
      <c r="J350" s="62" t="s">
        <v>1032</v>
      </c>
      <c r="K350" s="8" t="s">
        <v>1033</v>
      </c>
      <c r="L350" s="10">
        <v>47688</v>
      </c>
      <c r="M350" s="62">
        <v>1</v>
      </c>
      <c r="N350" s="8">
        <v>1</v>
      </c>
      <c r="O350" s="62">
        <f t="shared" si="107"/>
        <v>0</v>
      </c>
      <c r="P350" s="70">
        <v>41</v>
      </c>
      <c r="Q350" s="71">
        <v>46118</v>
      </c>
      <c r="R350" s="6">
        <v>46119</v>
      </c>
      <c r="S350" s="64">
        <v>13996.5</v>
      </c>
      <c r="T350" s="22">
        <v>5</v>
      </c>
      <c r="U350" s="64">
        <f t="shared" si="108"/>
        <v>699.82500000000005</v>
      </c>
      <c r="V350" s="22">
        <v>0</v>
      </c>
      <c r="W350" s="22">
        <v>402725</v>
      </c>
      <c r="X350" s="62" t="s">
        <v>1100</v>
      </c>
      <c r="Y350" s="62">
        <v>58163971795</v>
      </c>
      <c r="Z350" s="62" t="s">
        <v>1112</v>
      </c>
      <c r="AA350" s="65">
        <v>4</v>
      </c>
      <c r="AB350" s="66"/>
      <c r="AC350" s="1" t="s">
        <v>824</v>
      </c>
      <c r="AD350" s="62" t="str">
        <f>VLOOKUP(X350,'Customer List'!B:C,2,)</f>
        <v>Banglore</v>
      </c>
      <c r="AE350" s="67"/>
      <c r="AF350" s="6"/>
      <c r="AG350" s="62" t="str">
        <f t="shared" si="109"/>
        <v/>
      </c>
      <c r="AH350" s="62" t="str">
        <f t="shared" si="110"/>
        <v>Tuesday</v>
      </c>
      <c r="AI350" s="6">
        <v>46120</v>
      </c>
      <c r="AJ350" s="62" t="str">
        <f>VLOOKUP(AC350,'Currency Sheet'!A:C,3,)</f>
        <v>DOLLAR</v>
      </c>
      <c r="AK350" s="62" t="str">
        <f>VLOOKUP(X350,'Customer List'!B:D,3,)</f>
        <v>OutStation</v>
      </c>
    </row>
    <row r="351" spans="1:37" hidden="1" x14ac:dyDescent="0.25">
      <c r="A351" s="62">
        <f t="shared" si="103"/>
        <v>337</v>
      </c>
      <c r="B351" s="62" t="s">
        <v>824</v>
      </c>
      <c r="C351" s="62" t="s">
        <v>905</v>
      </c>
      <c r="D351" s="6">
        <v>46108</v>
      </c>
      <c r="E351" s="6">
        <v>46118</v>
      </c>
      <c r="F351" s="63">
        <v>125.3</v>
      </c>
      <c r="G351" s="64">
        <f t="shared" si="105"/>
        <v>11026.4</v>
      </c>
      <c r="H351" s="64">
        <f t="shared" si="106"/>
        <v>22052.799999999999</v>
      </c>
      <c r="I351" s="70">
        <v>400128</v>
      </c>
      <c r="J351" s="62" t="s">
        <v>1034</v>
      </c>
      <c r="K351" s="8" t="s">
        <v>1035</v>
      </c>
      <c r="L351" s="10">
        <v>46504</v>
      </c>
      <c r="M351" s="62">
        <v>2</v>
      </c>
      <c r="N351" s="8">
        <v>2</v>
      </c>
      <c r="O351" s="62">
        <f t="shared" si="107"/>
        <v>0</v>
      </c>
      <c r="P351" s="70">
        <v>28</v>
      </c>
      <c r="Q351" s="71">
        <v>46118</v>
      </c>
      <c r="R351" s="6">
        <v>46119</v>
      </c>
      <c r="S351" s="64">
        <v>3843</v>
      </c>
      <c r="T351" s="22">
        <v>5</v>
      </c>
      <c r="U351" s="64">
        <f t="shared" si="108"/>
        <v>192.15</v>
      </c>
      <c r="V351" s="22">
        <v>-0.15</v>
      </c>
      <c r="W351" s="22">
        <v>40785</v>
      </c>
      <c r="X351" s="62" t="s">
        <v>22</v>
      </c>
      <c r="Y351" s="62">
        <v>58163970303</v>
      </c>
      <c r="Z351" s="62" t="s">
        <v>1112</v>
      </c>
      <c r="AA351" s="65">
        <v>4</v>
      </c>
      <c r="AB351" s="66"/>
      <c r="AC351" s="1" t="s">
        <v>824</v>
      </c>
      <c r="AD351" s="62" t="str">
        <f>VLOOKUP(X351,'Customer List'!B:C,2,)</f>
        <v>Gujrat</v>
      </c>
      <c r="AE351" s="67"/>
      <c r="AF351" s="6">
        <v>46121</v>
      </c>
      <c r="AG351" s="62">
        <f t="shared" si="109"/>
        <v>2</v>
      </c>
      <c r="AH351" s="62" t="str">
        <f t="shared" si="110"/>
        <v>Saturday</v>
      </c>
      <c r="AI351" s="62" t="str">
        <f>IF(AF351="", "", TEXT(AF351, "dddd"))</f>
        <v>Thursday</v>
      </c>
      <c r="AJ351" s="62" t="str">
        <f>VLOOKUP(AC351,'Currency Sheet'!A:C,3,)</f>
        <v>DOLLAR</v>
      </c>
      <c r="AK351" s="62" t="str">
        <f>VLOOKUP(X351,'Customer List'!B:D,3,)</f>
        <v>OutStation</v>
      </c>
    </row>
    <row r="352" spans="1:37" hidden="1" x14ac:dyDescent="0.25">
      <c r="A352" s="62">
        <f t="shared" si="103"/>
        <v>338</v>
      </c>
      <c r="B352" s="62" t="s">
        <v>824</v>
      </c>
      <c r="C352" s="62" t="s">
        <v>905</v>
      </c>
      <c r="D352" s="6">
        <v>46108</v>
      </c>
      <c r="E352" s="6">
        <v>46118</v>
      </c>
      <c r="F352" s="63">
        <v>309.75</v>
      </c>
      <c r="G352" s="64">
        <f t="shared" si="105"/>
        <v>27258</v>
      </c>
      <c r="H352" s="64">
        <f t="shared" si="106"/>
        <v>81774</v>
      </c>
      <c r="I352" s="70">
        <v>400168</v>
      </c>
      <c r="J352" s="62" t="s">
        <v>1034</v>
      </c>
      <c r="K352" s="8" t="s">
        <v>1036</v>
      </c>
      <c r="L352" s="10">
        <v>46472</v>
      </c>
      <c r="M352" s="62">
        <v>3</v>
      </c>
      <c r="N352" s="8">
        <v>3</v>
      </c>
      <c r="O352" s="62">
        <f t="shared" si="107"/>
        <v>0</v>
      </c>
      <c r="P352" s="70">
        <v>36</v>
      </c>
      <c r="Q352" s="71">
        <v>46118</v>
      </c>
      <c r="R352" s="6">
        <v>46119</v>
      </c>
      <c r="S352" s="64">
        <v>94102.05</v>
      </c>
      <c r="T352" s="22">
        <v>5</v>
      </c>
      <c r="U352" s="64">
        <f t="shared" si="108"/>
        <v>4705.1025</v>
      </c>
      <c r="V352" s="22">
        <v>-0.15</v>
      </c>
      <c r="W352" s="22">
        <v>98807</v>
      </c>
      <c r="X352" s="62" t="s">
        <v>1101</v>
      </c>
      <c r="Y352" s="62">
        <v>58163969861</v>
      </c>
      <c r="Z352" s="62" t="s">
        <v>1112</v>
      </c>
      <c r="AA352" s="65">
        <v>4</v>
      </c>
      <c r="AB352" s="66"/>
      <c r="AC352" s="1" t="s">
        <v>824</v>
      </c>
      <c r="AD352" s="62" t="str">
        <f>VLOOKUP(X352,'Customer List'!B:C,2,)</f>
        <v>Hyderabad</v>
      </c>
      <c r="AE352" s="67"/>
      <c r="AF352" s="6">
        <v>46120</v>
      </c>
      <c r="AG352" s="62">
        <f t="shared" si="109"/>
        <v>1</v>
      </c>
      <c r="AH352" s="62" t="str">
        <f t="shared" si="110"/>
        <v>Sunday</v>
      </c>
      <c r="AI352" s="62" t="str">
        <f>IF(AF352="", "", TEXT(AF352, "dddd"))</f>
        <v>Wednesday</v>
      </c>
      <c r="AJ352" s="62" t="str">
        <f>VLOOKUP(AC352,'Currency Sheet'!A:C,3,)</f>
        <v>DOLLAR</v>
      </c>
      <c r="AK352" s="62" t="str">
        <f>VLOOKUP(X352,'Customer List'!B:D,3,)</f>
        <v>OutStation</v>
      </c>
    </row>
    <row r="353" spans="1:37" hidden="1" x14ac:dyDescent="0.25">
      <c r="A353" s="62">
        <f t="shared" si="103"/>
        <v>339</v>
      </c>
      <c r="B353" s="62" t="s">
        <v>824</v>
      </c>
      <c r="C353" s="62" t="s">
        <v>905</v>
      </c>
      <c r="D353" s="6">
        <v>46108</v>
      </c>
      <c r="E353" s="6">
        <v>46118</v>
      </c>
      <c r="F353" s="63">
        <v>93.8</v>
      </c>
      <c r="G353" s="64">
        <f t="shared" si="105"/>
        <v>8254.4</v>
      </c>
      <c r="H353" s="64">
        <f t="shared" si="106"/>
        <v>8254.4</v>
      </c>
      <c r="I353" s="70">
        <v>400214</v>
      </c>
      <c r="J353" s="62" t="s">
        <v>1037</v>
      </c>
      <c r="K353" s="8" t="s">
        <v>1038</v>
      </c>
      <c r="L353" s="10">
        <v>47255</v>
      </c>
      <c r="M353" s="62">
        <v>1</v>
      </c>
      <c r="N353" s="8">
        <v>1</v>
      </c>
      <c r="O353" s="62">
        <f t="shared" si="107"/>
        <v>0</v>
      </c>
      <c r="P353" s="70">
        <v>42</v>
      </c>
      <c r="Q353" s="71">
        <v>46118</v>
      </c>
      <c r="R353" s="6">
        <v>46119</v>
      </c>
      <c r="S353" s="64">
        <v>14539</v>
      </c>
      <c r="T353" s="22">
        <v>5</v>
      </c>
      <c r="U353" s="64">
        <f t="shared" si="108"/>
        <v>726.95</v>
      </c>
      <c r="V353" s="22">
        <v>0</v>
      </c>
      <c r="W353" s="22">
        <v>178634</v>
      </c>
      <c r="X353" s="62" t="s">
        <v>1100</v>
      </c>
      <c r="Y353" s="62">
        <v>58163971795</v>
      </c>
      <c r="Z353" s="62" t="s">
        <v>1112</v>
      </c>
      <c r="AA353" s="65">
        <v>4</v>
      </c>
      <c r="AB353" s="66"/>
      <c r="AC353" s="1" t="s">
        <v>824</v>
      </c>
      <c r="AD353" s="62" t="str">
        <f>VLOOKUP(X353,'Customer List'!B:C,2,)</f>
        <v>Banglore</v>
      </c>
      <c r="AE353" s="67"/>
      <c r="AF353" s="6"/>
      <c r="AG353" s="62" t="str">
        <f t="shared" si="109"/>
        <v/>
      </c>
      <c r="AH353" s="62" t="str">
        <f t="shared" si="110"/>
        <v>Saturday</v>
      </c>
      <c r="AI353" s="6">
        <v>46120</v>
      </c>
      <c r="AJ353" s="62" t="str">
        <f>VLOOKUP(AC353,'Currency Sheet'!A:C,3,)</f>
        <v>DOLLAR</v>
      </c>
      <c r="AK353" s="62" t="str">
        <f>VLOOKUP(X353,'Customer List'!B:D,3,)</f>
        <v>OutStation</v>
      </c>
    </row>
    <row r="354" spans="1:37" hidden="1" x14ac:dyDescent="0.25">
      <c r="A354" s="62">
        <f t="shared" si="103"/>
        <v>340</v>
      </c>
      <c r="B354" s="62" t="s">
        <v>824</v>
      </c>
      <c r="C354" s="62" t="s">
        <v>905</v>
      </c>
      <c r="D354" s="6">
        <v>46108</v>
      </c>
      <c r="E354" s="6">
        <v>46118</v>
      </c>
      <c r="F354" s="63">
        <v>165.9</v>
      </c>
      <c r="G354" s="64">
        <f t="shared" si="105"/>
        <v>14599.2</v>
      </c>
      <c r="H354" s="64">
        <f t="shared" si="106"/>
        <v>14599.2</v>
      </c>
      <c r="I354" s="70">
        <v>405308</v>
      </c>
      <c r="J354" s="62" t="s">
        <v>1039</v>
      </c>
      <c r="K354" s="8" t="s">
        <v>1040</v>
      </c>
      <c r="L354" s="10">
        <v>46881</v>
      </c>
      <c r="M354" s="62">
        <v>1</v>
      </c>
      <c r="N354" s="8">
        <v>1</v>
      </c>
      <c r="O354" s="62">
        <f t="shared" si="107"/>
        <v>0</v>
      </c>
      <c r="P354" s="70">
        <v>25</v>
      </c>
      <c r="Q354" s="71">
        <v>46118</v>
      </c>
      <c r="R354" s="6">
        <v>46119</v>
      </c>
      <c r="S354" s="64">
        <v>24885</v>
      </c>
      <c r="T354" s="22">
        <v>5</v>
      </c>
      <c r="U354" s="64">
        <f t="shared" si="108"/>
        <v>1244.25</v>
      </c>
      <c r="V354" s="22">
        <v>-0.25</v>
      </c>
      <c r="W354" s="22">
        <v>45533</v>
      </c>
      <c r="X354" s="62" t="s">
        <v>136</v>
      </c>
      <c r="Y354" s="62">
        <v>58163970594</v>
      </c>
      <c r="Z354" s="62" t="s">
        <v>1112</v>
      </c>
      <c r="AA354" s="65">
        <v>4</v>
      </c>
      <c r="AB354" s="66"/>
      <c r="AC354" s="1" t="s">
        <v>824</v>
      </c>
      <c r="AD354" s="62" t="str">
        <f>VLOOKUP(X354,'Customer List'!B:C,2,)</f>
        <v>Kolkata</v>
      </c>
      <c r="AE354" s="67"/>
      <c r="AF354" s="6">
        <v>46120</v>
      </c>
      <c r="AG354" s="62">
        <f t="shared" si="109"/>
        <v>1</v>
      </c>
      <c r="AH354" s="62" t="str">
        <f t="shared" si="110"/>
        <v>Saturday</v>
      </c>
      <c r="AI354" s="62" t="str">
        <f>IF(AF354="", "", TEXT(AF354, "dddd"))</f>
        <v>Wednesday</v>
      </c>
      <c r="AJ354" s="62" t="str">
        <f>VLOOKUP(AC354,'Currency Sheet'!A:C,3,)</f>
        <v>DOLLAR</v>
      </c>
      <c r="AK354" s="62" t="str">
        <f>VLOOKUP(X354,'Customer List'!B:D,3,)</f>
        <v>OutStation</v>
      </c>
    </row>
    <row r="355" spans="1:37" hidden="1" x14ac:dyDescent="0.25">
      <c r="A355" s="62">
        <f t="shared" si="103"/>
        <v>341</v>
      </c>
      <c r="B355" s="62" t="s">
        <v>824</v>
      </c>
      <c r="C355" s="62" t="s">
        <v>905</v>
      </c>
      <c r="D355" s="6">
        <v>46108</v>
      </c>
      <c r="E355" s="6">
        <v>46118</v>
      </c>
      <c r="F355" s="63">
        <v>132</v>
      </c>
      <c r="G355" s="64">
        <f t="shared" si="105"/>
        <v>11616</v>
      </c>
      <c r="H355" s="64">
        <f t="shared" si="106"/>
        <v>11616</v>
      </c>
      <c r="I355" s="70">
        <v>406517</v>
      </c>
      <c r="J355" s="62" t="s">
        <v>1041</v>
      </c>
      <c r="K355" s="8" t="s">
        <v>1042</v>
      </c>
      <c r="L355" s="10">
        <v>47091</v>
      </c>
      <c r="M355" s="62">
        <v>1</v>
      </c>
      <c r="N355" s="8">
        <v>1</v>
      </c>
      <c r="O355" s="62">
        <f t="shared" si="107"/>
        <v>0</v>
      </c>
      <c r="P355" s="70">
        <v>25</v>
      </c>
      <c r="Q355" s="71">
        <v>46118</v>
      </c>
      <c r="R355" s="6">
        <v>46119</v>
      </c>
      <c r="S355" s="64">
        <v>18480</v>
      </c>
      <c r="T355" s="22">
        <v>5</v>
      </c>
      <c r="U355" s="64">
        <f t="shared" si="108"/>
        <v>924</v>
      </c>
      <c r="V355" s="22">
        <v>0</v>
      </c>
      <c r="W355" s="22">
        <v>45533</v>
      </c>
      <c r="X355" s="62" t="s">
        <v>136</v>
      </c>
      <c r="Y355" s="62">
        <v>58163970594</v>
      </c>
      <c r="Z355" s="62" t="s">
        <v>1112</v>
      </c>
      <c r="AA355" s="65">
        <v>4</v>
      </c>
      <c r="AB355" s="66"/>
      <c r="AC355" s="1" t="s">
        <v>824</v>
      </c>
      <c r="AD355" s="62" t="str">
        <f>VLOOKUP(X355,'Customer List'!B:C,2,)</f>
        <v>Kolkata</v>
      </c>
      <c r="AE355" s="67"/>
      <c r="AF355" s="6">
        <v>46120</v>
      </c>
      <c r="AG355" s="62">
        <f t="shared" si="109"/>
        <v>1</v>
      </c>
      <c r="AH355" s="62" t="str">
        <f t="shared" si="110"/>
        <v>Saturday</v>
      </c>
      <c r="AI355" s="62" t="str">
        <f>IF(AF355="", "", TEXT(AF355, "dddd"))</f>
        <v>Wednesday</v>
      </c>
      <c r="AJ355" s="62" t="str">
        <f>VLOOKUP(AC355,'Currency Sheet'!A:C,3,)</f>
        <v>DOLLAR</v>
      </c>
      <c r="AK355" s="62" t="str">
        <f>VLOOKUP(X355,'Customer List'!B:D,3,)</f>
        <v>OutStation</v>
      </c>
    </row>
    <row r="356" spans="1:37" hidden="1" x14ac:dyDescent="0.25">
      <c r="A356" s="62">
        <f t="shared" si="103"/>
        <v>342</v>
      </c>
      <c r="B356" s="62" t="s">
        <v>824</v>
      </c>
      <c r="C356" s="62" t="s">
        <v>905</v>
      </c>
      <c r="D356" s="6">
        <v>46108</v>
      </c>
      <c r="E356" s="6">
        <v>46118</v>
      </c>
      <c r="F356" s="63">
        <v>228.2</v>
      </c>
      <c r="G356" s="64">
        <f t="shared" si="105"/>
        <v>20081.599999999999</v>
      </c>
      <c r="H356" s="64">
        <f t="shared" si="106"/>
        <v>20081.599999999999</v>
      </c>
      <c r="I356" s="70">
        <v>406610</v>
      </c>
      <c r="J356" s="62" t="s">
        <v>1043</v>
      </c>
      <c r="K356" s="8" t="s">
        <v>1044</v>
      </c>
      <c r="L356" s="10">
        <v>47301</v>
      </c>
      <c r="M356" s="62">
        <v>1</v>
      </c>
      <c r="N356" s="8">
        <v>1</v>
      </c>
      <c r="O356" s="62">
        <f t="shared" si="107"/>
        <v>0</v>
      </c>
      <c r="P356" s="70">
        <v>41</v>
      </c>
      <c r="Q356" s="71">
        <v>46118</v>
      </c>
      <c r="R356" s="6">
        <v>46119</v>
      </c>
      <c r="S356" s="64">
        <v>35371</v>
      </c>
      <c r="T356" s="22">
        <v>5</v>
      </c>
      <c r="U356" s="64">
        <f t="shared" si="108"/>
        <v>1768.5500000000002</v>
      </c>
      <c r="V356" s="22">
        <v>0</v>
      </c>
      <c r="W356" s="22">
        <v>402725</v>
      </c>
      <c r="X356" s="62" t="s">
        <v>1100</v>
      </c>
      <c r="Y356" s="62">
        <v>58163971795</v>
      </c>
      <c r="Z356" s="62" t="s">
        <v>1112</v>
      </c>
      <c r="AA356" s="65">
        <v>4</v>
      </c>
      <c r="AB356" s="66"/>
      <c r="AC356" s="1" t="s">
        <v>824</v>
      </c>
      <c r="AD356" s="62" t="str">
        <f>VLOOKUP(X356,'Customer List'!B:C,2,)</f>
        <v>Banglore</v>
      </c>
      <c r="AE356" s="67"/>
      <c r="AF356" s="6"/>
      <c r="AG356" s="62" t="str">
        <f t="shared" si="109"/>
        <v/>
      </c>
      <c r="AH356" s="62" t="str">
        <f t="shared" si="110"/>
        <v>Saturday</v>
      </c>
      <c r="AI356" s="6">
        <v>46120</v>
      </c>
      <c r="AJ356" s="62" t="str">
        <f>VLOOKUP(AC356,'Currency Sheet'!A:C,3,)</f>
        <v>DOLLAR</v>
      </c>
      <c r="AK356" s="62" t="str">
        <f>VLOOKUP(X356,'Customer List'!B:D,3,)</f>
        <v>OutStation</v>
      </c>
    </row>
    <row r="357" spans="1:37" hidden="1" x14ac:dyDescent="0.25">
      <c r="A357" s="62">
        <f t="shared" si="103"/>
        <v>343</v>
      </c>
      <c r="B357" s="62" t="s">
        <v>824</v>
      </c>
      <c r="C357" s="62" t="s">
        <v>905</v>
      </c>
      <c r="D357" s="6">
        <v>46108</v>
      </c>
      <c r="E357" s="6">
        <v>46118</v>
      </c>
      <c r="F357" s="63">
        <v>135.80000000000001</v>
      </c>
      <c r="G357" s="64">
        <f t="shared" si="105"/>
        <v>11950.400000000001</v>
      </c>
      <c r="H357" s="64">
        <f t="shared" si="106"/>
        <v>23900.800000000003</v>
      </c>
      <c r="I357" s="70">
        <v>406626</v>
      </c>
      <c r="J357" s="62" t="s">
        <v>1043</v>
      </c>
      <c r="K357" s="8" t="s">
        <v>1045</v>
      </c>
      <c r="L357" s="10">
        <v>47863</v>
      </c>
      <c r="M357" s="62">
        <v>2</v>
      </c>
      <c r="N357" s="8">
        <v>2</v>
      </c>
      <c r="O357" s="62">
        <f t="shared" si="107"/>
        <v>0</v>
      </c>
      <c r="P357" s="70">
        <v>41</v>
      </c>
      <c r="Q357" s="71">
        <v>46118</v>
      </c>
      <c r="R357" s="6">
        <v>46119</v>
      </c>
      <c r="S357" s="64">
        <v>42098</v>
      </c>
      <c r="T357" s="22">
        <v>5</v>
      </c>
      <c r="U357" s="64">
        <f t="shared" si="108"/>
        <v>2104.9</v>
      </c>
      <c r="V357" s="22">
        <v>0</v>
      </c>
      <c r="W357" s="22">
        <v>402725</v>
      </c>
      <c r="X357" s="62" t="s">
        <v>1100</v>
      </c>
      <c r="Y357" s="62">
        <v>58163971795</v>
      </c>
      <c r="Z357" s="62" t="s">
        <v>1112</v>
      </c>
      <c r="AA357" s="65">
        <v>4</v>
      </c>
      <c r="AB357" s="66"/>
      <c r="AC357" s="1" t="s">
        <v>824</v>
      </c>
      <c r="AD357" s="62" t="str">
        <f>VLOOKUP(X357,'Customer List'!B:C,2,)</f>
        <v>Banglore</v>
      </c>
      <c r="AE357" s="67"/>
      <c r="AF357" s="6"/>
      <c r="AG357" s="62" t="str">
        <f t="shared" si="109"/>
        <v/>
      </c>
      <c r="AH357" s="62" t="str">
        <f t="shared" si="110"/>
        <v>Saturday</v>
      </c>
      <c r="AI357" s="6">
        <v>46120</v>
      </c>
      <c r="AJ357" s="62" t="str">
        <f>VLOOKUP(AC357,'Currency Sheet'!A:C,3,)</f>
        <v>DOLLAR</v>
      </c>
      <c r="AK357" s="62" t="str">
        <f>VLOOKUP(X357,'Customer List'!B:D,3,)</f>
        <v>OutStation</v>
      </c>
    </row>
    <row r="358" spans="1:37" hidden="1" x14ac:dyDescent="0.25">
      <c r="A358" s="62">
        <f t="shared" si="103"/>
        <v>344</v>
      </c>
      <c r="B358" s="62" t="s">
        <v>824</v>
      </c>
      <c r="C358" s="62" t="s">
        <v>905</v>
      </c>
      <c r="D358" s="6">
        <v>46108</v>
      </c>
      <c r="E358" s="6">
        <v>46118</v>
      </c>
      <c r="F358" s="63">
        <v>226.1</v>
      </c>
      <c r="G358" s="64">
        <f t="shared" si="105"/>
        <v>19896.8</v>
      </c>
      <c r="H358" s="64">
        <f t="shared" si="106"/>
        <v>59690.399999999994</v>
      </c>
      <c r="I358" s="70">
        <v>410708</v>
      </c>
      <c r="J358" s="62" t="s">
        <v>1046</v>
      </c>
      <c r="K358" s="8" t="s">
        <v>1047</v>
      </c>
      <c r="L358" s="10">
        <v>46639</v>
      </c>
      <c r="M358" s="62">
        <v>3</v>
      </c>
      <c r="N358" s="8">
        <v>3</v>
      </c>
      <c r="O358" s="62">
        <f t="shared" si="107"/>
        <v>0</v>
      </c>
      <c r="P358" s="70">
        <v>18</v>
      </c>
      <c r="Q358" s="71">
        <v>46118</v>
      </c>
      <c r="R358" s="6">
        <v>46119</v>
      </c>
      <c r="S358" s="64">
        <v>90117</v>
      </c>
      <c r="T358" s="22">
        <v>5</v>
      </c>
      <c r="U358" s="64">
        <f t="shared" si="108"/>
        <v>4505.8500000000004</v>
      </c>
      <c r="V358" s="22">
        <v>0</v>
      </c>
      <c r="W358" s="22">
        <v>106146</v>
      </c>
      <c r="X358" s="62" t="s">
        <v>127</v>
      </c>
      <c r="Y358" s="62">
        <v>58163972366</v>
      </c>
      <c r="Z358" s="62" t="s">
        <v>1112</v>
      </c>
      <c r="AA358" s="65">
        <v>4</v>
      </c>
      <c r="AB358" s="66"/>
      <c r="AC358" s="1" t="s">
        <v>824</v>
      </c>
      <c r="AD358" s="62" t="str">
        <f>VLOOKUP(X358,'Customer List'!B:C,2,)</f>
        <v>Banglore</v>
      </c>
      <c r="AE358" s="67"/>
      <c r="AF358" s="6">
        <v>46120</v>
      </c>
      <c r="AG358" s="62">
        <f t="shared" si="109"/>
        <v>1</v>
      </c>
      <c r="AH358" s="62" t="str">
        <f t="shared" si="110"/>
        <v>Friday</v>
      </c>
      <c r="AI358" s="62" t="str">
        <f t="shared" ref="AI358:AI373" si="112">IF(AF358="", "", TEXT(AF358, "dddd"))</f>
        <v>Wednesday</v>
      </c>
      <c r="AJ358" s="62" t="str">
        <f>VLOOKUP(AC358,'Currency Sheet'!A:C,3,)</f>
        <v>DOLLAR</v>
      </c>
      <c r="AK358" s="62" t="str">
        <f>VLOOKUP(X358,'Customer List'!B:D,3,)</f>
        <v>OutStation</v>
      </c>
    </row>
    <row r="359" spans="1:37" hidden="1" x14ac:dyDescent="0.25">
      <c r="A359" s="62">
        <f t="shared" si="103"/>
        <v>345</v>
      </c>
      <c r="B359" s="62" t="s">
        <v>824</v>
      </c>
      <c r="C359" s="62" t="s">
        <v>905</v>
      </c>
      <c r="D359" s="6">
        <v>46108</v>
      </c>
      <c r="E359" s="6">
        <v>46118</v>
      </c>
      <c r="F359" s="63">
        <v>62.3</v>
      </c>
      <c r="G359" s="64">
        <f t="shared" si="105"/>
        <v>5482.4</v>
      </c>
      <c r="H359" s="64">
        <f t="shared" si="106"/>
        <v>5482.4</v>
      </c>
      <c r="I359" s="70">
        <v>420201</v>
      </c>
      <c r="J359" s="62" t="s">
        <v>1048</v>
      </c>
      <c r="K359" s="8" t="s">
        <v>1049</v>
      </c>
      <c r="L359" s="10">
        <v>46723</v>
      </c>
      <c r="M359" s="62">
        <v>1</v>
      </c>
      <c r="N359" s="8">
        <v>1</v>
      </c>
      <c r="O359" s="62">
        <f t="shared" si="107"/>
        <v>0</v>
      </c>
      <c r="P359" s="70">
        <v>37</v>
      </c>
      <c r="Q359" s="71">
        <v>46118</v>
      </c>
      <c r="R359" s="6">
        <v>46119</v>
      </c>
      <c r="S359" s="64">
        <v>11036</v>
      </c>
      <c r="T359" s="22">
        <v>5</v>
      </c>
      <c r="U359" s="64">
        <f t="shared" si="108"/>
        <v>551.80000000000007</v>
      </c>
      <c r="V359" s="22">
        <v>0</v>
      </c>
      <c r="W359" s="22">
        <v>34310</v>
      </c>
      <c r="X359" s="62" t="s">
        <v>1098</v>
      </c>
      <c r="Y359" s="62">
        <v>58163969522</v>
      </c>
      <c r="Z359" s="62" t="s">
        <v>1112</v>
      </c>
      <c r="AA359" s="65">
        <v>4</v>
      </c>
      <c r="AB359" s="66"/>
      <c r="AC359" s="1" t="s">
        <v>824</v>
      </c>
      <c r="AD359" s="62" t="str">
        <f>VLOOKUP(X359,'Customer List'!B:C,2,)</f>
        <v>Banglore</v>
      </c>
      <c r="AE359" s="67"/>
      <c r="AF359" s="6">
        <v>46120</v>
      </c>
      <c r="AG359" s="62">
        <f t="shared" si="109"/>
        <v>1</v>
      </c>
      <c r="AH359" s="62" t="str">
        <f t="shared" si="110"/>
        <v>Wednesday</v>
      </c>
      <c r="AI359" s="62" t="str">
        <f t="shared" si="112"/>
        <v>Wednesday</v>
      </c>
      <c r="AJ359" s="62" t="str">
        <f>VLOOKUP(AC359,'Currency Sheet'!A:C,3,)</f>
        <v>DOLLAR</v>
      </c>
      <c r="AK359" s="62" t="str">
        <f>VLOOKUP(X359,'Customer List'!B:D,3,)</f>
        <v>OutStation</v>
      </c>
    </row>
    <row r="360" spans="1:37" hidden="1" x14ac:dyDescent="0.25">
      <c r="A360" s="62">
        <f t="shared" si="103"/>
        <v>346</v>
      </c>
      <c r="B360" s="62" t="s">
        <v>824</v>
      </c>
      <c r="C360" s="62" t="s">
        <v>905</v>
      </c>
      <c r="D360" s="6">
        <v>46108</v>
      </c>
      <c r="E360" s="6">
        <v>46118</v>
      </c>
      <c r="F360" s="63">
        <v>45.5</v>
      </c>
      <c r="G360" s="64">
        <f t="shared" si="105"/>
        <v>4004</v>
      </c>
      <c r="H360" s="64">
        <f t="shared" si="106"/>
        <v>4004</v>
      </c>
      <c r="I360" s="70">
        <v>420301</v>
      </c>
      <c r="J360" s="62" t="s">
        <v>1050</v>
      </c>
      <c r="K360" s="8" t="s">
        <v>1051</v>
      </c>
      <c r="L360" s="10">
        <v>46653</v>
      </c>
      <c r="M360" s="62">
        <v>1</v>
      </c>
      <c r="N360" s="8">
        <v>1</v>
      </c>
      <c r="O360" s="62">
        <f t="shared" si="107"/>
        <v>0</v>
      </c>
      <c r="P360" s="70">
        <v>34</v>
      </c>
      <c r="Q360" s="71">
        <v>46118</v>
      </c>
      <c r="R360" s="6">
        <v>46119</v>
      </c>
      <c r="S360" s="64">
        <v>7556.25</v>
      </c>
      <c r="T360" s="22">
        <v>5</v>
      </c>
      <c r="U360" s="64">
        <f t="shared" si="108"/>
        <v>377.8125</v>
      </c>
      <c r="V360" s="22"/>
      <c r="W360" s="22"/>
      <c r="X360" s="62" t="s">
        <v>1091</v>
      </c>
      <c r="Y360" s="62">
        <v>58163969290</v>
      </c>
      <c r="Z360" s="62" t="s">
        <v>1112</v>
      </c>
      <c r="AA360" s="65">
        <v>4</v>
      </c>
      <c r="AB360" s="66"/>
      <c r="AC360" s="1" t="s">
        <v>824</v>
      </c>
      <c r="AD360" s="62" t="str">
        <f>VLOOKUP(X360,'Customer List'!B:C,2,)</f>
        <v>THIRUVANANTPURAM</v>
      </c>
      <c r="AE360" s="67"/>
      <c r="AF360" s="6">
        <v>46122</v>
      </c>
      <c r="AG360" s="62">
        <f t="shared" si="109"/>
        <v>3</v>
      </c>
      <c r="AH360" s="62" t="str">
        <f t="shared" si="110"/>
        <v>Tuesday</v>
      </c>
      <c r="AI360" s="62" t="str">
        <f t="shared" si="112"/>
        <v>Friday</v>
      </c>
      <c r="AJ360" s="62" t="str">
        <f>VLOOKUP(AC360,'Currency Sheet'!A:C,3,)</f>
        <v>DOLLAR</v>
      </c>
      <c r="AK360" s="62" t="str">
        <f>VLOOKUP(X360,'Customer List'!B:D,3,)</f>
        <v>OutStation</v>
      </c>
    </row>
    <row r="361" spans="1:37" hidden="1" x14ac:dyDescent="0.25">
      <c r="A361" s="62">
        <f t="shared" si="103"/>
        <v>347</v>
      </c>
      <c r="B361" s="62" t="s">
        <v>824</v>
      </c>
      <c r="C361" s="62" t="s">
        <v>905</v>
      </c>
      <c r="D361" s="6">
        <v>46108</v>
      </c>
      <c r="E361" s="6">
        <v>46118</v>
      </c>
      <c r="F361" s="63">
        <v>70.7</v>
      </c>
      <c r="G361" s="64">
        <f t="shared" si="105"/>
        <v>6221.6</v>
      </c>
      <c r="H361" s="64">
        <f t="shared" si="106"/>
        <v>6221.6</v>
      </c>
      <c r="I361" s="70">
        <v>422301</v>
      </c>
      <c r="J361" s="62" t="s">
        <v>1052</v>
      </c>
      <c r="K361" s="8" t="s">
        <v>1053</v>
      </c>
      <c r="L361" s="10">
        <v>47651</v>
      </c>
      <c r="M361" s="62">
        <v>1</v>
      </c>
      <c r="N361" s="8">
        <v>1</v>
      </c>
      <c r="O361" s="62">
        <f t="shared" si="107"/>
        <v>0</v>
      </c>
      <c r="P361" s="70">
        <v>44</v>
      </c>
      <c r="Q361" s="71">
        <v>46118</v>
      </c>
      <c r="R361" s="6">
        <v>46119</v>
      </c>
      <c r="S361" s="64">
        <v>10645.4</v>
      </c>
      <c r="T361" s="22">
        <v>5</v>
      </c>
      <c r="U361" s="64">
        <f t="shared" si="108"/>
        <v>532.27</v>
      </c>
      <c r="V361" s="22">
        <v>0</v>
      </c>
      <c r="W361" s="22">
        <v>287299</v>
      </c>
      <c r="X361" s="62" t="s">
        <v>1090</v>
      </c>
      <c r="Y361" s="62">
        <v>58163968295</v>
      </c>
      <c r="Z361" s="62" t="s">
        <v>1112</v>
      </c>
      <c r="AA361" s="65">
        <v>4</v>
      </c>
      <c r="AB361" s="66"/>
      <c r="AC361" s="1" t="s">
        <v>824</v>
      </c>
      <c r="AD361" s="62" t="str">
        <f>VLOOKUP(X361,'Customer List'!B:C,2,)</f>
        <v>Kanpur</v>
      </c>
      <c r="AE361" s="67"/>
      <c r="AF361" s="6">
        <v>46121</v>
      </c>
      <c r="AG361" s="62">
        <f t="shared" si="109"/>
        <v>2</v>
      </c>
      <c r="AH361" s="62" t="str">
        <f t="shared" si="110"/>
        <v>Thursday</v>
      </c>
      <c r="AI361" s="62" t="str">
        <f t="shared" si="112"/>
        <v>Thursday</v>
      </c>
      <c r="AJ361" s="62" t="str">
        <f>VLOOKUP(AC361,'Currency Sheet'!A:C,3,)</f>
        <v>DOLLAR</v>
      </c>
      <c r="AK361" s="62" t="str">
        <f>VLOOKUP(X361,'Customer List'!B:D,3,)</f>
        <v>OutStation</v>
      </c>
    </row>
    <row r="362" spans="1:37" hidden="1" x14ac:dyDescent="0.25">
      <c r="A362" s="62">
        <f t="shared" si="103"/>
        <v>348</v>
      </c>
      <c r="B362" s="62" t="s">
        <v>824</v>
      </c>
      <c r="C362" s="62" t="s">
        <v>905</v>
      </c>
      <c r="D362" s="6">
        <v>46108</v>
      </c>
      <c r="E362" s="6">
        <v>46118</v>
      </c>
      <c r="F362" s="63">
        <v>160.30000000000001</v>
      </c>
      <c r="G362" s="64">
        <f t="shared" si="105"/>
        <v>14106.400000000001</v>
      </c>
      <c r="H362" s="64">
        <f t="shared" si="106"/>
        <v>14106.400000000001</v>
      </c>
      <c r="I362" s="70">
        <v>422302</v>
      </c>
      <c r="J362" s="62" t="s">
        <v>1052</v>
      </c>
      <c r="K362" s="8" t="s">
        <v>1054</v>
      </c>
      <c r="L362" s="10">
        <v>47870</v>
      </c>
      <c r="M362" s="62">
        <v>1</v>
      </c>
      <c r="N362" s="8">
        <v>1</v>
      </c>
      <c r="O362" s="62">
        <f t="shared" si="107"/>
        <v>0</v>
      </c>
      <c r="P362" s="70">
        <v>30</v>
      </c>
      <c r="Q362" s="71">
        <v>46118</v>
      </c>
      <c r="R362" s="6">
        <v>46119</v>
      </c>
      <c r="S362" s="64">
        <v>26621.25</v>
      </c>
      <c r="T362" s="22">
        <v>5</v>
      </c>
      <c r="U362" s="64">
        <f t="shared" si="108"/>
        <v>1331.0625</v>
      </c>
      <c r="V362" s="22">
        <v>0</v>
      </c>
      <c r="W362" s="22">
        <v>106194</v>
      </c>
      <c r="X362" s="62" t="s">
        <v>29</v>
      </c>
      <c r="Y362" s="62">
        <v>58163972801</v>
      </c>
      <c r="Z362" s="62" t="s">
        <v>1112</v>
      </c>
      <c r="AA362" s="65">
        <v>4</v>
      </c>
      <c r="AB362" s="66"/>
      <c r="AC362" s="1" t="s">
        <v>824</v>
      </c>
      <c r="AD362" s="62" t="str">
        <f>VLOOKUP(X362,'Customer List'!B:C,2,)</f>
        <v>Gujrat</v>
      </c>
      <c r="AE362" s="67"/>
      <c r="AF362" s="6">
        <v>46120</v>
      </c>
      <c r="AG362" s="62">
        <f t="shared" si="109"/>
        <v>1</v>
      </c>
      <c r="AH362" s="62" t="str">
        <f t="shared" si="110"/>
        <v>Saturday</v>
      </c>
      <c r="AI362" s="62" t="str">
        <f t="shared" si="112"/>
        <v>Wednesday</v>
      </c>
      <c r="AJ362" s="62" t="str">
        <f>VLOOKUP(AC362,'Currency Sheet'!A:C,3,)</f>
        <v>DOLLAR</v>
      </c>
      <c r="AK362" s="62" t="str">
        <f>VLOOKUP(X362,'Customer List'!B:D,3,)</f>
        <v>OutStation</v>
      </c>
    </row>
    <row r="363" spans="1:37" hidden="1" x14ac:dyDescent="0.25">
      <c r="A363" s="62">
        <f t="shared" si="103"/>
        <v>349</v>
      </c>
      <c r="B363" s="62" t="s">
        <v>824</v>
      </c>
      <c r="C363" s="62" t="s">
        <v>905</v>
      </c>
      <c r="D363" s="6">
        <v>46108</v>
      </c>
      <c r="E363" s="6">
        <v>46118</v>
      </c>
      <c r="F363" s="63">
        <v>62.3</v>
      </c>
      <c r="G363" s="64">
        <f t="shared" si="105"/>
        <v>5482.4</v>
      </c>
      <c r="H363" s="64">
        <f t="shared" si="106"/>
        <v>5482.4</v>
      </c>
      <c r="I363" s="70">
        <v>423105</v>
      </c>
      <c r="J363" s="62" t="s">
        <v>1055</v>
      </c>
      <c r="K363" s="8" t="s">
        <v>1056</v>
      </c>
      <c r="L363" s="10">
        <v>46811</v>
      </c>
      <c r="M363" s="62">
        <v>1</v>
      </c>
      <c r="N363" s="8">
        <v>1</v>
      </c>
      <c r="O363" s="62">
        <f t="shared" si="107"/>
        <v>0</v>
      </c>
      <c r="P363" s="70">
        <v>44</v>
      </c>
      <c r="Q363" s="71">
        <v>46118</v>
      </c>
      <c r="R363" s="6">
        <v>46119</v>
      </c>
      <c r="S363" s="64">
        <v>9380.6</v>
      </c>
      <c r="T363" s="22">
        <v>5</v>
      </c>
      <c r="U363" s="64">
        <f t="shared" si="108"/>
        <v>469.03000000000003</v>
      </c>
      <c r="V363" s="22">
        <v>0</v>
      </c>
      <c r="W363" s="22">
        <v>287299</v>
      </c>
      <c r="X363" s="62" t="s">
        <v>1090</v>
      </c>
      <c r="Y363" s="62">
        <v>58163968295</v>
      </c>
      <c r="Z363" s="62" t="s">
        <v>1112</v>
      </c>
      <c r="AA363" s="65">
        <v>-20</v>
      </c>
      <c r="AB363" s="66"/>
      <c r="AC363" s="1" t="s">
        <v>824</v>
      </c>
      <c r="AD363" s="62" t="str">
        <f>VLOOKUP(X363,'Customer List'!B:C,2,)</f>
        <v>Kanpur</v>
      </c>
      <c r="AE363" s="67"/>
      <c r="AF363" s="6">
        <v>46121</v>
      </c>
      <c r="AG363" s="62">
        <f t="shared" si="109"/>
        <v>2</v>
      </c>
      <c r="AH363" s="62" t="str">
        <f t="shared" si="110"/>
        <v>Saturday</v>
      </c>
      <c r="AI363" s="62" t="str">
        <f t="shared" si="112"/>
        <v>Thursday</v>
      </c>
      <c r="AJ363" s="62" t="str">
        <f>VLOOKUP(AC363,'Currency Sheet'!A:C,3,)</f>
        <v>DOLLAR</v>
      </c>
      <c r="AK363" s="62" t="str">
        <f>VLOOKUP(X363,'Customer List'!B:D,3,)</f>
        <v>OutStation</v>
      </c>
    </row>
    <row r="364" spans="1:37" hidden="1" x14ac:dyDescent="0.25">
      <c r="A364" s="62">
        <f t="shared" si="103"/>
        <v>350</v>
      </c>
      <c r="B364" s="62" t="s">
        <v>824</v>
      </c>
      <c r="C364" s="62" t="s">
        <v>905</v>
      </c>
      <c r="D364" s="6">
        <v>46108</v>
      </c>
      <c r="E364" s="6">
        <v>46118</v>
      </c>
      <c r="F364" s="63">
        <v>62.3</v>
      </c>
      <c r="G364" s="64">
        <f t="shared" si="105"/>
        <v>5482.4</v>
      </c>
      <c r="H364" s="64">
        <f t="shared" si="106"/>
        <v>5482.4</v>
      </c>
      <c r="I364" s="70">
        <v>423107</v>
      </c>
      <c r="J364" s="62" t="s">
        <v>1057</v>
      </c>
      <c r="K364" s="8" t="s">
        <v>1058</v>
      </c>
      <c r="L364" s="10">
        <v>46493</v>
      </c>
      <c r="M364" s="62">
        <v>1</v>
      </c>
      <c r="N364" s="8">
        <v>1</v>
      </c>
      <c r="O364" s="62">
        <f t="shared" si="107"/>
        <v>0</v>
      </c>
      <c r="P364" s="70" t="s">
        <v>1601</v>
      </c>
      <c r="Q364" s="71">
        <v>46127</v>
      </c>
      <c r="R364" s="6">
        <v>46127</v>
      </c>
      <c r="S364" s="64">
        <v>0</v>
      </c>
      <c r="T364" s="22">
        <v>5</v>
      </c>
      <c r="U364" s="64">
        <f t="shared" si="108"/>
        <v>0</v>
      </c>
      <c r="V364" s="22">
        <v>0</v>
      </c>
      <c r="W364" s="22">
        <v>0</v>
      </c>
      <c r="X364" s="62" t="s">
        <v>797</v>
      </c>
      <c r="Y364" s="62" t="s">
        <v>896</v>
      </c>
      <c r="Z364" s="62" t="s">
        <v>821</v>
      </c>
      <c r="AA364" s="65">
        <v>-20</v>
      </c>
      <c r="AB364" s="66" t="s">
        <v>1603</v>
      </c>
      <c r="AC364" s="1" t="s">
        <v>824</v>
      </c>
      <c r="AD364" s="62" t="str">
        <f>VLOOKUP(X364,'Customer List'!B:C,2,)</f>
        <v>Delhi</v>
      </c>
      <c r="AE364" s="67" t="s">
        <v>832</v>
      </c>
      <c r="AF364" s="6"/>
      <c r="AG364" s="62" t="str">
        <f t="shared" si="109"/>
        <v/>
      </c>
      <c r="AH364" s="62" t="str">
        <f t="shared" si="110"/>
        <v>Saturday</v>
      </c>
      <c r="AI364" s="62" t="str">
        <f t="shared" si="112"/>
        <v/>
      </c>
      <c r="AJ364" s="62" t="str">
        <f>VLOOKUP(AC364,'Currency Sheet'!A:C,3,)</f>
        <v>DOLLAR</v>
      </c>
      <c r="AK364" s="62" t="str">
        <f>VLOOKUP(X364,'Customer List'!B:D,3,)</f>
        <v>Local</v>
      </c>
    </row>
    <row r="365" spans="1:37" hidden="1" x14ac:dyDescent="0.25">
      <c r="A365" s="62">
        <f t="shared" si="103"/>
        <v>351</v>
      </c>
      <c r="B365" s="62" t="s">
        <v>824</v>
      </c>
      <c r="C365" s="62" t="s">
        <v>905</v>
      </c>
      <c r="D365" s="6">
        <v>46108</v>
      </c>
      <c r="E365" s="6">
        <v>46118</v>
      </c>
      <c r="F365" s="63">
        <v>185.5</v>
      </c>
      <c r="G365" s="64">
        <f t="shared" si="105"/>
        <v>16324</v>
      </c>
      <c r="H365" s="64">
        <f t="shared" si="106"/>
        <v>16324</v>
      </c>
      <c r="I365" s="70">
        <v>425101</v>
      </c>
      <c r="J365" s="62" t="s">
        <v>1059</v>
      </c>
      <c r="K365" s="8" t="s">
        <v>1060</v>
      </c>
      <c r="L365" s="10">
        <v>46811</v>
      </c>
      <c r="M365" s="62">
        <v>1</v>
      </c>
      <c r="N365" s="8">
        <v>1</v>
      </c>
      <c r="O365" s="62">
        <f t="shared" si="107"/>
        <v>0</v>
      </c>
      <c r="P365" s="70">
        <v>31</v>
      </c>
      <c r="Q365" s="71">
        <v>46118</v>
      </c>
      <c r="R365" s="6">
        <v>46119</v>
      </c>
      <c r="S365" s="64">
        <v>28752</v>
      </c>
      <c r="T365" s="22">
        <v>5</v>
      </c>
      <c r="U365" s="64">
        <f t="shared" si="108"/>
        <v>1437.6000000000001</v>
      </c>
      <c r="V365" s="22">
        <v>0.4</v>
      </c>
      <c r="W365" s="22">
        <v>30190</v>
      </c>
      <c r="X365" s="62" t="s">
        <v>154</v>
      </c>
      <c r="Y365" s="62">
        <v>58163968413</v>
      </c>
      <c r="Z365" s="62" t="s">
        <v>1112</v>
      </c>
      <c r="AA365" s="65">
        <v>-20</v>
      </c>
      <c r="AB365" s="66"/>
      <c r="AC365" s="1" t="s">
        <v>824</v>
      </c>
      <c r="AD365" s="62" t="str">
        <f>VLOOKUP(X365,'Customer List'!B:C,2,)</f>
        <v>Telangana</v>
      </c>
      <c r="AE365" s="67"/>
      <c r="AF365" s="6">
        <v>46120</v>
      </c>
      <c r="AG365" s="62">
        <f t="shared" si="109"/>
        <v>1</v>
      </c>
      <c r="AH365" s="62" t="str">
        <f t="shared" si="110"/>
        <v>Tuesday</v>
      </c>
      <c r="AI365" s="62" t="str">
        <f t="shared" si="112"/>
        <v>Wednesday</v>
      </c>
      <c r="AJ365" s="62" t="str">
        <f>VLOOKUP(AC365,'Currency Sheet'!A:C,3,)</f>
        <v>DOLLAR</v>
      </c>
      <c r="AK365" s="62" t="str">
        <f>VLOOKUP(X365,'Customer List'!B:D,3,)</f>
        <v>OutStation</v>
      </c>
    </row>
    <row r="366" spans="1:37" hidden="1" x14ac:dyDescent="0.25">
      <c r="A366" s="62">
        <f t="shared" si="103"/>
        <v>352</v>
      </c>
      <c r="B366" s="62" t="s">
        <v>824</v>
      </c>
      <c r="C366" s="62" t="s">
        <v>905</v>
      </c>
      <c r="D366" s="6">
        <v>46108</v>
      </c>
      <c r="E366" s="6">
        <v>46118</v>
      </c>
      <c r="F366" s="63">
        <v>242.9</v>
      </c>
      <c r="G366" s="64">
        <f t="shared" si="105"/>
        <v>21375.200000000001</v>
      </c>
      <c r="H366" s="64">
        <f t="shared" si="106"/>
        <v>21375.200000000001</v>
      </c>
      <c r="I366" s="70">
        <v>442704</v>
      </c>
      <c r="J366" s="62" t="s">
        <v>1061</v>
      </c>
      <c r="K366" s="8" t="s">
        <v>1062</v>
      </c>
      <c r="L366" s="10">
        <v>46295</v>
      </c>
      <c r="M366" s="62">
        <v>1</v>
      </c>
      <c r="N366" s="8">
        <v>1</v>
      </c>
      <c r="O366" s="62">
        <f t="shared" si="107"/>
        <v>0</v>
      </c>
      <c r="P366" s="70">
        <v>40</v>
      </c>
      <c r="Q366" s="71">
        <v>46118</v>
      </c>
      <c r="R366" s="6">
        <v>46119</v>
      </c>
      <c r="S366" s="64">
        <v>40338.75</v>
      </c>
      <c r="T366" s="22">
        <v>5</v>
      </c>
      <c r="U366" s="64">
        <f t="shared" si="108"/>
        <v>2016.9375</v>
      </c>
      <c r="V366" s="22">
        <v>0.31</v>
      </c>
      <c r="W366" s="22">
        <v>42356</v>
      </c>
      <c r="X366" s="62" t="s">
        <v>1099</v>
      </c>
      <c r="Y366" s="62">
        <v>58163971036</v>
      </c>
      <c r="Z366" s="62" t="s">
        <v>1112</v>
      </c>
      <c r="AA366" s="65">
        <v>4</v>
      </c>
      <c r="AB366" s="66"/>
      <c r="AC366" s="1" t="s">
        <v>824</v>
      </c>
      <c r="AD366" s="62" t="str">
        <f>VLOOKUP(X366,'Customer List'!B:C,2,)</f>
        <v>Kharagpur</v>
      </c>
      <c r="AE366" s="67"/>
      <c r="AF366" s="6">
        <v>46121</v>
      </c>
      <c r="AG366" s="62">
        <f t="shared" si="109"/>
        <v>2</v>
      </c>
      <c r="AH366" s="62" t="str">
        <f t="shared" si="110"/>
        <v>Wednesday</v>
      </c>
      <c r="AI366" s="62" t="str">
        <f t="shared" si="112"/>
        <v>Thursday</v>
      </c>
      <c r="AJ366" s="62" t="str">
        <f>VLOOKUP(AC366,'Currency Sheet'!A:C,3,)</f>
        <v>DOLLAR</v>
      </c>
      <c r="AK366" s="62" t="str">
        <f>VLOOKUP(X366,'Customer List'!B:D,3,)</f>
        <v>OutStation</v>
      </c>
    </row>
    <row r="367" spans="1:37" hidden="1" x14ac:dyDescent="0.25">
      <c r="A367" s="62">
        <f t="shared" si="103"/>
        <v>353</v>
      </c>
      <c r="B367" s="62" t="s">
        <v>824</v>
      </c>
      <c r="C367" s="62" t="s">
        <v>905</v>
      </c>
      <c r="D367" s="6">
        <v>46108</v>
      </c>
      <c r="E367" s="6">
        <v>46118</v>
      </c>
      <c r="F367" s="63">
        <v>84.75</v>
      </c>
      <c r="G367" s="64">
        <f t="shared" si="105"/>
        <v>7458</v>
      </c>
      <c r="H367" s="64">
        <f t="shared" si="106"/>
        <v>7458</v>
      </c>
      <c r="I367" s="70">
        <v>480005</v>
      </c>
      <c r="J367" s="62" t="s">
        <v>1063</v>
      </c>
      <c r="K367" s="8" t="s">
        <v>1064</v>
      </c>
      <c r="L367" s="10">
        <v>46561</v>
      </c>
      <c r="M367" s="62">
        <v>1</v>
      </c>
      <c r="N367" s="8">
        <v>1</v>
      </c>
      <c r="O367" s="62">
        <f t="shared" si="107"/>
        <v>0</v>
      </c>
      <c r="P367" s="70">
        <v>26</v>
      </c>
      <c r="Q367" s="71">
        <v>46118</v>
      </c>
      <c r="R367" s="6">
        <v>46119</v>
      </c>
      <c r="S367" s="64">
        <v>11865</v>
      </c>
      <c r="T367" s="22">
        <v>5</v>
      </c>
      <c r="U367" s="64">
        <f t="shared" si="108"/>
        <v>593.25</v>
      </c>
      <c r="V367" s="22"/>
      <c r="W367" s="22"/>
      <c r="X367" s="62" t="s">
        <v>136</v>
      </c>
      <c r="Y367" s="62">
        <v>58163970594</v>
      </c>
      <c r="Z367" s="62" t="s">
        <v>1112</v>
      </c>
      <c r="AA367" s="65">
        <v>4</v>
      </c>
      <c r="AB367" s="66"/>
      <c r="AC367" s="1" t="s">
        <v>824</v>
      </c>
      <c r="AD367" s="62" t="str">
        <f>VLOOKUP(X367,'Customer List'!B:C,2,)</f>
        <v>Kolkata</v>
      </c>
      <c r="AE367" s="67"/>
      <c r="AF367" s="6">
        <v>46120</v>
      </c>
      <c r="AG367" s="62">
        <f t="shared" si="109"/>
        <v>1</v>
      </c>
      <c r="AH367" s="62" t="str">
        <f t="shared" si="110"/>
        <v>Saturday</v>
      </c>
      <c r="AI367" s="62" t="str">
        <f t="shared" si="112"/>
        <v>Wednesday</v>
      </c>
      <c r="AJ367" s="62" t="str">
        <f>VLOOKUP(AC367,'Currency Sheet'!A:C,3,)</f>
        <v>DOLLAR</v>
      </c>
      <c r="AK367" s="62" t="str">
        <f>VLOOKUP(X367,'Customer List'!B:D,3,)</f>
        <v>OutStation</v>
      </c>
    </row>
    <row r="368" spans="1:37" hidden="1" x14ac:dyDescent="0.25">
      <c r="A368" s="62">
        <f t="shared" si="103"/>
        <v>354</v>
      </c>
      <c r="B368" s="62" t="s">
        <v>824</v>
      </c>
      <c r="C368" s="62" t="s">
        <v>905</v>
      </c>
      <c r="D368" s="6">
        <v>46108</v>
      </c>
      <c r="E368" s="6">
        <v>46118</v>
      </c>
      <c r="F368" s="63">
        <v>84.75</v>
      </c>
      <c r="G368" s="64">
        <f t="shared" si="105"/>
        <v>7458</v>
      </c>
      <c r="H368" s="64">
        <f t="shared" si="106"/>
        <v>14916</v>
      </c>
      <c r="I368" s="70">
        <v>480007</v>
      </c>
      <c r="J368" s="62" t="s">
        <v>1065</v>
      </c>
      <c r="K368" s="8" t="s">
        <v>1066</v>
      </c>
      <c r="L368" s="10">
        <v>46316</v>
      </c>
      <c r="M368" s="62">
        <v>2</v>
      </c>
      <c r="N368" s="8">
        <v>2</v>
      </c>
      <c r="O368" s="62">
        <f t="shared" si="107"/>
        <v>0</v>
      </c>
      <c r="P368" s="70">
        <v>26</v>
      </c>
      <c r="Q368" s="71">
        <v>46118</v>
      </c>
      <c r="R368" s="6">
        <v>46119</v>
      </c>
      <c r="S368" s="64">
        <v>23730</v>
      </c>
      <c r="T368" s="22">
        <v>5</v>
      </c>
      <c r="U368" s="64">
        <f t="shared" si="108"/>
        <v>1186.5</v>
      </c>
      <c r="V368" s="22"/>
      <c r="W368" s="22"/>
      <c r="X368" s="62" t="s">
        <v>136</v>
      </c>
      <c r="Y368" s="62">
        <v>58163970594</v>
      </c>
      <c r="Z368" s="62" t="s">
        <v>1112</v>
      </c>
      <c r="AA368" s="65">
        <v>4</v>
      </c>
      <c r="AB368" s="66"/>
      <c r="AC368" s="1" t="s">
        <v>824</v>
      </c>
      <c r="AD368" s="62" t="str">
        <f>VLOOKUP(X368,'Customer List'!B:C,2,)</f>
        <v>Kolkata</v>
      </c>
      <c r="AE368" s="67"/>
      <c r="AF368" s="6">
        <v>46120</v>
      </c>
      <c r="AG368" s="62">
        <f t="shared" si="109"/>
        <v>1</v>
      </c>
      <c r="AH368" s="62" t="str">
        <f t="shared" si="110"/>
        <v>Saturday</v>
      </c>
      <c r="AI368" s="62" t="str">
        <f t="shared" si="112"/>
        <v>Wednesday</v>
      </c>
      <c r="AJ368" s="62" t="str">
        <f>VLOOKUP(AC368,'Currency Sheet'!A:C,3,)</f>
        <v>DOLLAR</v>
      </c>
      <c r="AK368" s="62" t="str">
        <f>VLOOKUP(X368,'Customer List'!B:D,3,)</f>
        <v>OutStation</v>
      </c>
    </row>
    <row r="369" spans="1:37" hidden="1" x14ac:dyDescent="0.25">
      <c r="A369" s="62">
        <f t="shared" si="103"/>
        <v>355</v>
      </c>
      <c r="B369" s="62" t="s">
        <v>824</v>
      </c>
      <c r="C369" s="62" t="s">
        <v>905</v>
      </c>
      <c r="D369" s="6">
        <v>46108</v>
      </c>
      <c r="E369" s="6">
        <v>46118</v>
      </c>
      <c r="F369" s="63">
        <v>490.5</v>
      </c>
      <c r="G369" s="64">
        <f t="shared" si="105"/>
        <v>43164</v>
      </c>
      <c r="H369" s="64">
        <f t="shared" si="106"/>
        <v>43164</v>
      </c>
      <c r="I369" s="70">
        <v>480058</v>
      </c>
      <c r="J369" s="62" t="s">
        <v>1067</v>
      </c>
      <c r="K369" s="8" t="s">
        <v>1068</v>
      </c>
      <c r="L369" s="10">
        <v>46365</v>
      </c>
      <c r="M369" s="62">
        <v>1</v>
      </c>
      <c r="N369" s="8">
        <v>1</v>
      </c>
      <c r="O369" s="62">
        <f t="shared" si="107"/>
        <v>0</v>
      </c>
      <c r="P369" s="70" t="s">
        <v>1106</v>
      </c>
      <c r="Q369" s="71">
        <v>46119</v>
      </c>
      <c r="R369" s="6">
        <v>46119</v>
      </c>
      <c r="S369" s="64">
        <v>0</v>
      </c>
      <c r="T369" s="22">
        <v>0</v>
      </c>
      <c r="U369" s="64">
        <f t="shared" si="108"/>
        <v>0</v>
      </c>
      <c r="V369" s="22">
        <v>0</v>
      </c>
      <c r="W369" s="22">
        <v>0</v>
      </c>
      <c r="X369" s="62" t="s">
        <v>137</v>
      </c>
      <c r="Y369" s="62">
        <v>58163967551</v>
      </c>
      <c r="Z369" s="62" t="s">
        <v>1112</v>
      </c>
      <c r="AA369" s="65">
        <v>4</v>
      </c>
      <c r="AB369" s="66"/>
      <c r="AC369" s="1" t="s">
        <v>824</v>
      </c>
      <c r="AD369" s="62" t="str">
        <f>VLOOKUP(X369,'Customer List'!B:C,2,)</f>
        <v>Banglore</v>
      </c>
      <c r="AE369" s="67"/>
      <c r="AF369" s="6">
        <v>46121</v>
      </c>
      <c r="AG369" s="62">
        <f t="shared" si="109"/>
        <v>2</v>
      </c>
      <c r="AH369" s="62" t="str">
        <f t="shared" si="110"/>
        <v>Saturday</v>
      </c>
      <c r="AI369" s="62" t="str">
        <f t="shared" si="112"/>
        <v>Thursday</v>
      </c>
      <c r="AJ369" s="62" t="str">
        <f>VLOOKUP(AC369,'Currency Sheet'!A:C,3,)</f>
        <v>DOLLAR</v>
      </c>
      <c r="AK369" s="62" t="str">
        <f>VLOOKUP(X369,'Customer List'!B:D,3,)</f>
        <v>OutStation</v>
      </c>
    </row>
    <row r="370" spans="1:37" hidden="1" x14ac:dyDescent="0.25">
      <c r="A370" s="62">
        <f t="shared" si="103"/>
        <v>356</v>
      </c>
      <c r="B370" s="62" t="s">
        <v>824</v>
      </c>
      <c r="C370" s="62" t="s">
        <v>905</v>
      </c>
      <c r="D370" s="6">
        <v>46108</v>
      </c>
      <c r="E370" s="6">
        <v>46118</v>
      </c>
      <c r="F370" s="63">
        <v>77</v>
      </c>
      <c r="G370" s="64">
        <f t="shared" si="105"/>
        <v>6776</v>
      </c>
      <c r="H370" s="64">
        <f t="shared" si="106"/>
        <v>6776</v>
      </c>
      <c r="I370" s="70">
        <v>505808</v>
      </c>
      <c r="J370" s="62" t="s">
        <v>783</v>
      </c>
      <c r="K370" s="8" t="s">
        <v>1069</v>
      </c>
      <c r="L370" s="10">
        <v>47835</v>
      </c>
      <c r="M370" s="62">
        <v>1</v>
      </c>
      <c r="N370" s="8">
        <v>1</v>
      </c>
      <c r="O370" s="62">
        <f t="shared" si="107"/>
        <v>0</v>
      </c>
      <c r="P370" s="70">
        <v>44</v>
      </c>
      <c r="Q370" s="71">
        <v>46118</v>
      </c>
      <c r="R370" s="6">
        <v>46119</v>
      </c>
      <c r="S370" s="64">
        <v>11594.2</v>
      </c>
      <c r="T370" s="22">
        <v>5</v>
      </c>
      <c r="U370" s="64">
        <f t="shared" si="108"/>
        <v>579.71</v>
      </c>
      <c r="V370" s="22">
        <v>0</v>
      </c>
      <c r="W370" s="22">
        <v>287299</v>
      </c>
      <c r="X370" s="62" t="s">
        <v>1090</v>
      </c>
      <c r="Y370" s="62">
        <v>58163968295</v>
      </c>
      <c r="Z370" s="62" t="s">
        <v>1112</v>
      </c>
      <c r="AA370" s="65">
        <v>4</v>
      </c>
      <c r="AB370" s="66"/>
      <c r="AC370" s="1" t="s">
        <v>824</v>
      </c>
      <c r="AD370" s="62" t="str">
        <f>VLOOKUP(X370,'Customer List'!B:C,2,)</f>
        <v>Kanpur</v>
      </c>
      <c r="AE370" s="67"/>
      <c r="AF370" s="6">
        <v>46121</v>
      </c>
      <c r="AG370" s="62">
        <f t="shared" si="109"/>
        <v>2</v>
      </c>
      <c r="AH370" s="62" t="str">
        <f t="shared" si="110"/>
        <v>Monday</v>
      </c>
      <c r="AI370" s="62" t="str">
        <f t="shared" si="112"/>
        <v>Thursday</v>
      </c>
      <c r="AJ370" s="62" t="str">
        <f>VLOOKUP(AC370,'Currency Sheet'!A:C,3,)</f>
        <v>DOLLAR</v>
      </c>
      <c r="AK370" s="62" t="str">
        <f>VLOOKUP(X370,'Customer List'!B:D,3,)</f>
        <v>OutStation</v>
      </c>
    </row>
    <row r="371" spans="1:37" hidden="1" x14ac:dyDescent="0.25">
      <c r="A371" s="62">
        <f t="shared" si="103"/>
        <v>357</v>
      </c>
      <c r="B371" s="62" t="s">
        <v>824</v>
      </c>
      <c r="C371" s="62" t="s">
        <v>905</v>
      </c>
      <c r="D371" s="6">
        <v>46108</v>
      </c>
      <c r="E371" s="6">
        <v>46118</v>
      </c>
      <c r="F371" s="63">
        <v>77</v>
      </c>
      <c r="G371" s="64">
        <f t="shared" si="105"/>
        <v>6776</v>
      </c>
      <c r="H371" s="64">
        <f t="shared" si="106"/>
        <v>6776</v>
      </c>
      <c r="I371" s="70">
        <v>505808</v>
      </c>
      <c r="J371" s="62" t="s">
        <v>783</v>
      </c>
      <c r="K371" s="8" t="s">
        <v>1069</v>
      </c>
      <c r="L371" s="10">
        <v>47835</v>
      </c>
      <c r="M371" s="62">
        <v>1</v>
      </c>
      <c r="N371" s="8">
        <v>1</v>
      </c>
      <c r="O371" s="62">
        <f t="shared" si="107"/>
        <v>0</v>
      </c>
      <c r="P371" s="70">
        <v>29</v>
      </c>
      <c r="Q371" s="71">
        <v>46118</v>
      </c>
      <c r="R371" s="6">
        <v>46119</v>
      </c>
      <c r="S371" s="64">
        <v>12787.5</v>
      </c>
      <c r="T371" s="22">
        <v>5</v>
      </c>
      <c r="U371" s="64">
        <f t="shared" si="108"/>
        <v>639.375</v>
      </c>
      <c r="V371" s="22">
        <v>0</v>
      </c>
      <c r="W371" s="22">
        <v>291974</v>
      </c>
      <c r="X371" s="62" t="s">
        <v>29</v>
      </c>
      <c r="Y371" s="62">
        <v>58163972801</v>
      </c>
      <c r="Z371" s="62" t="s">
        <v>1112</v>
      </c>
      <c r="AA371" s="65">
        <v>4</v>
      </c>
      <c r="AB371" s="66"/>
      <c r="AC371" s="1" t="s">
        <v>824</v>
      </c>
      <c r="AD371" s="62" t="str">
        <f>VLOOKUP(X371,'Customer List'!B:C,2,)</f>
        <v>Gujrat</v>
      </c>
      <c r="AE371" s="67"/>
      <c r="AF371" s="6">
        <v>46120</v>
      </c>
      <c r="AG371" s="62">
        <f t="shared" si="109"/>
        <v>1</v>
      </c>
      <c r="AH371" s="62" t="str">
        <f t="shared" si="110"/>
        <v>Thursday</v>
      </c>
      <c r="AI371" s="62" t="str">
        <f t="shared" si="112"/>
        <v>Wednesday</v>
      </c>
      <c r="AJ371" s="62" t="str">
        <f>VLOOKUP(AC371,'Currency Sheet'!A:C,3,)</f>
        <v>DOLLAR</v>
      </c>
      <c r="AK371" s="62" t="str">
        <f>VLOOKUP(X371,'Customer List'!B:D,3,)</f>
        <v>OutStation</v>
      </c>
    </row>
    <row r="372" spans="1:37" hidden="1" x14ac:dyDescent="0.25">
      <c r="A372" s="62">
        <f t="shared" si="103"/>
        <v>358</v>
      </c>
      <c r="B372" s="62" t="s">
        <v>824</v>
      </c>
      <c r="C372" s="62" t="s">
        <v>905</v>
      </c>
      <c r="D372" s="6">
        <v>46108</v>
      </c>
      <c r="E372" s="6">
        <v>46118</v>
      </c>
      <c r="F372" s="63">
        <v>226.1</v>
      </c>
      <c r="G372" s="64">
        <f t="shared" si="105"/>
        <v>19896.8</v>
      </c>
      <c r="H372" s="64">
        <f t="shared" si="106"/>
        <v>19896.8</v>
      </c>
      <c r="I372" s="70">
        <v>506346</v>
      </c>
      <c r="J372" s="62" t="s">
        <v>1070</v>
      </c>
      <c r="K372" s="8" t="s">
        <v>1071</v>
      </c>
      <c r="L372" s="10">
        <v>46791</v>
      </c>
      <c r="M372" s="62">
        <v>1</v>
      </c>
      <c r="N372" s="8">
        <v>1</v>
      </c>
      <c r="O372" s="62">
        <f t="shared" si="107"/>
        <v>0</v>
      </c>
      <c r="P372" s="70">
        <v>44</v>
      </c>
      <c r="Q372" s="71">
        <v>46118</v>
      </c>
      <c r="R372" s="6">
        <v>46119</v>
      </c>
      <c r="S372" s="64">
        <v>34044.199999999997</v>
      </c>
      <c r="T372" s="22">
        <v>5</v>
      </c>
      <c r="U372" s="64">
        <f t="shared" si="108"/>
        <v>1702.21</v>
      </c>
      <c r="V372" s="22">
        <v>0</v>
      </c>
      <c r="W372" s="22">
        <v>287299</v>
      </c>
      <c r="X372" s="62" t="s">
        <v>1090</v>
      </c>
      <c r="Y372" s="62">
        <v>58163968295</v>
      </c>
      <c r="Z372" s="62" t="s">
        <v>1112</v>
      </c>
      <c r="AA372" s="65">
        <v>4</v>
      </c>
      <c r="AB372" s="66"/>
      <c r="AC372" s="1" t="s">
        <v>824</v>
      </c>
      <c r="AD372" s="62" t="str">
        <f>VLOOKUP(X372,'Customer List'!B:C,2,)</f>
        <v>Kanpur</v>
      </c>
      <c r="AE372" s="67"/>
      <c r="AF372" s="6">
        <v>46121</v>
      </c>
      <c r="AG372" s="62">
        <f t="shared" si="109"/>
        <v>2</v>
      </c>
      <c r="AH372" s="62" t="str">
        <f t="shared" si="110"/>
        <v>Tuesday</v>
      </c>
      <c r="AI372" s="62" t="str">
        <f t="shared" si="112"/>
        <v>Thursday</v>
      </c>
      <c r="AJ372" s="62" t="str">
        <f>VLOOKUP(AC372,'Currency Sheet'!A:C,3,)</f>
        <v>DOLLAR</v>
      </c>
      <c r="AK372" s="62" t="str">
        <f>VLOOKUP(X372,'Customer List'!B:D,3,)</f>
        <v>OutStation</v>
      </c>
    </row>
    <row r="373" spans="1:37" hidden="1" x14ac:dyDescent="0.25">
      <c r="A373" s="62">
        <f t="shared" si="103"/>
        <v>359</v>
      </c>
      <c r="B373" s="62" t="s">
        <v>824</v>
      </c>
      <c r="C373" s="62" t="s">
        <v>905</v>
      </c>
      <c r="D373" s="6">
        <v>46108</v>
      </c>
      <c r="E373" s="6">
        <v>46118</v>
      </c>
      <c r="F373" s="63">
        <v>149.80000000000001</v>
      </c>
      <c r="G373" s="64">
        <f t="shared" si="105"/>
        <v>13182.400000000001</v>
      </c>
      <c r="H373" s="64">
        <f t="shared" si="106"/>
        <v>13182.400000000001</v>
      </c>
      <c r="I373" s="70">
        <v>611953</v>
      </c>
      <c r="J373" s="62" t="s">
        <v>1072</v>
      </c>
      <c r="K373" s="8" t="s">
        <v>1073</v>
      </c>
      <c r="L373" s="10">
        <v>46712</v>
      </c>
      <c r="M373" s="62">
        <v>1</v>
      </c>
      <c r="N373" s="8">
        <v>1</v>
      </c>
      <c r="O373" s="62">
        <f t="shared" si="107"/>
        <v>0</v>
      </c>
      <c r="P373" s="70" t="s">
        <v>1449</v>
      </c>
      <c r="Q373" s="71">
        <v>46125</v>
      </c>
      <c r="R373" s="6">
        <v>46125</v>
      </c>
      <c r="S373" s="64">
        <v>29853</v>
      </c>
      <c r="T373" s="22">
        <v>5</v>
      </c>
      <c r="U373" s="64">
        <f t="shared" si="108"/>
        <v>1492.65</v>
      </c>
      <c r="V373" s="22">
        <v>0</v>
      </c>
      <c r="W373" s="22">
        <v>81001</v>
      </c>
      <c r="X373" s="62" t="s">
        <v>94</v>
      </c>
      <c r="Y373" s="62" t="s">
        <v>896</v>
      </c>
      <c r="Z373" s="62" t="s">
        <v>821</v>
      </c>
      <c r="AA373" s="65">
        <v>4</v>
      </c>
      <c r="AB373" s="66" t="s">
        <v>1118</v>
      </c>
      <c r="AC373" s="1" t="s">
        <v>824</v>
      </c>
      <c r="AD373" s="62" t="str">
        <f>VLOOKUP(X373,'Customer List'!B:C,2,)</f>
        <v>Delhi</v>
      </c>
      <c r="AE373" s="67"/>
      <c r="AF373" s="6"/>
      <c r="AG373" s="62" t="str">
        <f t="shared" si="109"/>
        <v/>
      </c>
      <c r="AH373" s="62" t="str">
        <f t="shared" si="110"/>
        <v>Thursday</v>
      </c>
      <c r="AI373" s="62" t="str">
        <f t="shared" si="112"/>
        <v/>
      </c>
      <c r="AJ373" s="62" t="str">
        <f>VLOOKUP(AC373,'Currency Sheet'!A:C,3,)</f>
        <v>DOLLAR</v>
      </c>
      <c r="AK373" s="62" t="str">
        <f>VLOOKUP(X373,'Customer List'!B:D,3,)</f>
        <v>Local</v>
      </c>
    </row>
    <row r="374" spans="1:37" hidden="1" x14ac:dyDescent="0.25">
      <c r="A374" s="62">
        <f t="shared" si="103"/>
        <v>360</v>
      </c>
      <c r="B374" s="62" t="s">
        <v>824</v>
      </c>
      <c r="C374" s="62" t="s">
        <v>905</v>
      </c>
      <c r="D374" s="6">
        <v>46108</v>
      </c>
      <c r="E374" s="6">
        <v>46118</v>
      </c>
      <c r="F374" s="63">
        <v>267.39999999999998</v>
      </c>
      <c r="G374" s="64">
        <f t="shared" si="105"/>
        <v>23531.199999999997</v>
      </c>
      <c r="H374" s="64">
        <f t="shared" si="106"/>
        <v>47062.399999999994</v>
      </c>
      <c r="I374" s="70">
        <v>626810</v>
      </c>
      <c r="J374" s="62" t="s">
        <v>742</v>
      </c>
      <c r="K374" s="8" t="s">
        <v>1074</v>
      </c>
      <c r="L374" s="10">
        <v>47526</v>
      </c>
      <c r="M374" s="62">
        <v>2</v>
      </c>
      <c r="N374" s="8">
        <v>2</v>
      </c>
      <c r="O374" s="62">
        <f t="shared" si="107"/>
        <v>0</v>
      </c>
      <c r="P374" s="70">
        <v>42</v>
      </c>
      <c r="Q374" s="71">
        <v>46118</v>
      </c>
      <c r="R374" s="6">
        <v>46119</v>
      </c>
      <c r="S374" s="64">
        <v>82894</v>
      </c>
      <c r="T374" s="22">
        <v>5</v>
      </c>
      <c r="U374" s="64">
        <f t="shared" si="108"/>
        <v>4144.7</v>
      </c>
      <c r="V374" s="22">
        <v>0</v>
      </c>
      <c r="W374" s="22">
        <v>178634</v>
      </c>
      <c r="X374" s="62" t="s">
        <v>1100</v>
      </c>
      <c r="Y374" s="62">
        <v>58163971795</v>
      </c>
      <c r="Z374" s="62" t="s">
        <v>1112</v>
      </c>
      <c r="AA374" s="65">
        <v>4</v>
      </c>
      <c r="AB374" s="66"/>
      <c r="AC374" s="1" t="s">
        <v>824</v>
      </c>
      <c r="AD374" s="62" t="str">
        <f>VLOOKUP(X374,'Customer List'!B:C,2,)</f>
        <v>Banglore</v>
      </c>
      <c r="AE374" s="67"/>
      <c r="AF374" s="6"/>
      <c r="AG374" s="62" t="str">
        <f t="shared" si="109"/>
        <v/>
      </c>
      <c r="AH374" s="62" t="str">
        <f t="shared" si="110"/>
        <v>Saturday</v>
      </c>
      <c r="AI374" s="62">
        <v>46120</v>
      </c>
      <c r="AJ374" s="62" t="str">
        <f>VLOOKUP(AC374,'Currency Sheet'!A:C,3,)</f>
        <v>DOLLAR</v>
      </c>
      <c r="AK374" s="62" t="str">
        <f>VLOOKUP(X374,'Customer List'!B:D,3,)</f>
        <v>OutStation</v>
      </c>
    </row>
    <row r="375" spans="1:37" hidden="1" x14ac:dyDescent="0.25">
      <c r="A375" s="62">
        <f t="shared" si="103"/>
        <v>361</v>
      </c>
      <c r="B375" s="62" t="s">
        <v>824</v>
      </c>
      <c r="C375" s="62" t="s">
        <v>905</v>
      </c>
      <c r="D375" s="6">
        <v>46108</v>
      </c>
      <c r="E375" s="6">
        <v>46118</v>
      </c>
      <c r="F375" s="63">
        <v>160.30000000000001</v>
      </c>
      <c r="G375" s="64">
        <f t="shared" si="105"/>
        <v>14106.400000000001</v>
      </c>
      <c r="H375" s="64">
        <f t="shared" si="106"/>
        <v>14106.400000000001</v>
      </c>
      <c r="I375" s="70">
        <v>643802</v>
      </c>
      <c r="J375" s="62" t="s">
        <v>1075</v>
      </c>
      <c r="K375" s="8" t="s">
        <v>1076</v>
      </c>
      <c r="L375" s="10">
        <v>47553</v>
      </c>
      <c r="M375" s="62">
        <v>1</v>
      </c>
      <c r="N375" s="8">
        <v>1</v>
      </c>
      <c r="O375" s="62">
        <f t="shared" si="107"/>
        <v>0</v>
      </c>
      <c r="P375" s="70">
        <v>23</v>
      </c>
      <c r="Q375" s="71">
        <v>46118</v>
      </c>
      <c r="R375" s="6">
        <v>46119</v>
      </c>
      <c r="S375" s="64">
        <v>23358</v>
      </c>
      <c r="T375" s="22">
        <v>5</v>
      </c>
      <c r="U375" s="64">
        <f t="shared" si="108"/>
        <v>1167.9000000000001</v>
      </c>
      <c r="V375" s="22">
        <v>-0.4</v>
      </c>
      <c r="W375" s="22">
        <v>85037</v>
      </c>
      <c r="X375" s="62" t="s">
        <v>32</v>
      </c>
      <c r="Y375" s="62">
        <v>58163967492</v>
      </c>
      <c r="Z375" s="62" t="s">
        <v>1112</v>
      </c>
      <c r="AA375" s="65">
        <v>4</v>
      </c>
      <c r="AB375" s="66"/>
      <c r="AC375" s="1" t="s">
        <v>824</v>
      </c>
      <c r="AD375" s="62" t="str">
        <f>VLOOKUP(X375,'Customer List'!B:C,2,)</f>
        <v>Hyderabad</v>
      </c>
      <c r="AE375" s="67"/>
      <c r="AF375" s="6">
        <v>46120</v>
      </c>
      <c r="AG375" s="62">
        <f t="shared" si="109"/>
        <v>1</v>
      </c>
      <c r="AH375" s="62" t="str">
        <f t="shared" si="110"/>
        <v>Friday</v>
      </c>
      <c r="AI375" s="62" t="str">
        <f>IF(AF375="", "", TEXT(AF375, "dddd"))</f>
        <v>Wednesday</v>
      </c>
      <c r="AJ375" s="62" t="str">
        <f>VLOOKUP(AC375,'Currency Sheet'!A:C,3,)</f>
        <v>DOLLAR</v>
      </c>
      <c r="AK375" s="62" t="str">
        <f>VLOOKUP(X375,'Customer List'!B:D,3,)</f>
        <v>OutStation</v>
      </c>
    </row>
    <row r="376" spans="1:37" hidden="1" x14ac:dyDescent="0.25">
      <c r="A376" s="62">
        <f t="shared" si="103"/>
        <v>362</v>
      </c>
      <c r="B376" s="62" t="s">
        <v>824</v>
      </c>
      <c r="C376" s="62" t="s">
        <v>905</v>
      </c>
      <c r="D376" s="6">
        <v>46108</v>
      </c>
      <c r="E376" s="6">
        <v>46118</v>
      </c>
      <c r="F376" s="63">
        <v>78.400000000000006</v>
      </c>
      <c r="G376" s="64">
        <f t="shared" si="105"/>
        <v>6899.2000000000007</v>
      </c>
      <c r="H376" s="64">
        <f t="shared" si="106"/>
        <v>6899.2000000000007</v>
      </c>
      <c r="I376" s="70">
        <v>652503</v>
      </c>
      <c r="J376" s="62" t="s">
        <v>1077</v>
      </c>
      <c r="K376" s="8" t="s">
        <v>1078</v>
      </c>
      <c r="L376" s="10">
        <v>46808</v>
      </c>
      <c r="M376" s="62">
        <v>1</v>
      </c>
      <c r="N376" s="8">
        <v>1</v>
      </c>
      <c r="O376" s="62">
        <f t="shared" si="107"/>
        <v>0</v>
      </c>
      <c r="P376" s="70">
        <v>33</v>
      </c>
      <c r="Q376" s="71">
        <v>46118</v>
      </c>
      <c r="R376" s="6">
        <v>46119</v>
      </c>
      <c r="S376" s="64">
        <v>12152</v>
      </c>
      <c r="T376" s="22">
        <v>5</v>
      </c>
      <c r="U376" s="64">
        <f t="shared" si="108"/>
        <v>607.6</v>
      </c>
      <c r="V376" s="22">
        <v>0.4</v>
      </c>
      <c r="W376" s="22">
        <v>12760</v>
      </c>
      <c r="X376" s="62" t="s">
        <v>113</v>
      </c>
      <c r="Y376" s="62">
        <v>58163968774</v>
      </c>
      <c r="Z376" s="62" t="s">
        <v>1112</v>
      </c>
      <c r="AA376" s="65">
        <v>-20</v>
      </c>
      <c r="AB376" s="66"/>
      <c r="AC376" s="1" t="s">
        <v>824</v>
      </c>
      <c r="AD376" s="62" t="str">
        <f>VLOOKUP(X376,'Customer List'!B:C,2,)</f>
        <v>Kerala</v>
      </c>
      <c r="AE376" s="67"/>
      <c r="AF376" s="6">
        <v>46122</v>
      </c>
      <c r="AG376" s="62">
        <f t="shared" si="109"/>
        <v>3</v>
      </c>
      <c r="AH376" s="62" t="str">
        <f t="shared" si="110"/>
        <v>Saturday</v>
      </c>
      <c r="AI376" s="62" t="str">
        <f>IF(AF376="", "", TEXT(AF376, "dddd"))</f>
        <v>Friday</v>
      </c>
      <c r="AJ376" s="62" t="str">
        <f>VLOOKUP(AC376,'Currency Sheet'!A:C,3,)</f>
        <v>DOLLAR</v>
      </c>
      <c r="AK376" s="62" t="str">
        <f>VLOOKUP(X376,'Customer List'!B:D,3,)</f>
        <v>OutStation</v>
      </c>
    </row>
    <row r="377" spans="1:37" hidden="1" x14ac:dyDescent="0.25">
      <c r="A377" s="62">
        <f t="shared" si="103"/>
        <v>363</v>
      </c>
      <c r="B377" s="62" t="s">
        <v>824</v>
      </c>
      <c r="C377" s="62" t="s">
        <v>905</v>
      </c>
      <c r="D377" s="6">
        <v>46108</v>
      </c>
      <c r="E377" s="6">
        <v>46118</v>
      </c>
      <c r="F377" s="63">
        <v>210</v>
      </c>
      <c r="G377" s="64">
        <f t="shared" si="105"/>
        <v>18480</v>
      </c>
      <c r="H377" s="64">
        <f t="shared" si="106"/>
        <v>18480</v>
      </c>
      <c r="I377" s="70">
        <v>660202</v>
      </c>
      <c r="J377" s="62" t="s">
        <v>1079</v>
      </c>
      <c r="K377" s="8" t="s">
        <v>1080</v>
      </c>
      <c r="L377" s="10">
        <v>48777</v>
      </c>
      <c r="M377" s="62">
        <v>1</v>
      </c>
      <c r="N377" s="8">
        <v>1</v>
      </c>
      <c r="O377" s="62">
        <f t="shared" si="107"/>
        <v>0</v>
      </c>
      <c r="P377" s="70">
        <v>23</v>
      </c>
      <c r="Q377" s="71">
        <v>46118</v>
      </c>
      <c r="R377" s="6">
        <v>46119</v>
      </c>
      <c r="S377" s="64">
        <v>30600</v>
      </c>
      <c r="T377" s="22">
        <v>5</v>
      </c>
      <c r="U377" s="64">
        <f t="shared" si="108"/>
        <v>1530</v>
      </c>
      <c r="V377" s="22">
        <v>0</v>
      </c>
      <c r="W377" s="22">
        <v>85037</v>
      </c>
      <c r="X377" s="62" t="s">
        <v>32</v>
      </c>
      <c r="Y377" s="62">
        <v>58163967492</v>
      </c>
      <c r="Z377" s="62" t="s">
        <v>1112</v>
      </c>
      <c r="AA377" s="65">
        <v>4</v>
      </c>
      <c r="AB377" s="66"/>
      <c r="AC377" s="1" t="s">
        <v>824</v>
      </c>
      <c r="AD377" s="62" t="str">
        <f>VLOOKUP(X377,'Customer List'!B:C,2,)</f>
        <v>Hyderabad</v>
      </c>
      <c r="AE377" s="67"/>
      <c r="AF377" s="6">
        <v>46120</v>
      </c>
      <c r="AG377" s="62">
        <f t="shared" si="109"/>
        <v>1</v>
      </c>
      <c r="AH377" s="62" t="str">
        <f t="shared" si="110"/>
        <v>Tuesday</v>
      </c>
      <c r="AI377" s="62" t="str">
        <f>IF(AF377="", "", TEXT(AF377, "dddd"))</f>
        <v>Wednesday</v>
      </c>
      <c r="AJ377" s="62" t="str">
        <f>VLOOKUP(AC377,'Currency Sheet'!A:C,3,)</f>
        <v>DOLLAR</v>
      </c>
      <c r="AK377" s="62" t="str">
        <f>VLOOKUP(X377,'Customer List'!B:D,3,)</f>
        <v>OutStation</v>
      </c>
    </row>
    <row r="378" spans="1:37" hidden="1" x14ac:dyDescent="0.25">
      <c r="A378" s="62">
        <f t="shared" si="103"/>
        <v>364</v>
      </c>
      <c r="B378" s="62" t="s">
        <v>824</v>
      </c>
      <c r="C378" s="62" t="s">
        <v>905</v>
      </c>
      <c r="D378" s="6">
        <v>46108</v>
      </c>
      <c r="E378" s="6">
        <v>46118</v>
      </c>
      <c r="F378" s="63">
        <v>1232.7</v>
      </c>
      <c r="G378" s="64">
        <f t="shared" si="105"/>
        <v>108477.6</v>
      </c>
      <c r="H378" s="64">
        <f t="shared" si="106"/>
        <v>216955.2</v>
      </c>
      <c r="I378" s="70">
        <v>741282</v>
      </c>
      <c r="J378" s="62" t="s">
        <v>1081</v>
      </c>
      <c r="K378" s="8" t="s">
        <v>1082</v>
      </c>
      <c r="L378" s="10">
        <v>46595</v>
      </c>
      <c r="M378" s="62">
        <v>2</v>
      </c>
      <c r="N378" s="8">
        <v>2</v>
      </c>
      <c r="O378" s="62">
        <f t="shared" si="107"/>
        <v>0</v>
      </c>
      <c r="P378" s="70">
        <v>24</v>
      </c>
      <c r="Q378" s="71">
        <v>46118</v>
      </c>
      <c r="R378" s="6">
        <v>46119</v>
      </c>
      <c r="S378" s="64">
        <v>352200</v>
      </c>
      <c r="T378" s="22">
        <v>5</v>
      </c>
      <c r="U378" s="64">
        <f t="shared" si="108"/>
        <v>17610</v>
      </c>
      <c r="V378" s="22">
        <v>0</v>
      </c>
      <c r="W378" s="22">
        <v>369810</v>
      </c>
      <c r="X378" s="62" t="s">
        <v>32</v>
      </c>
      <c r="Y378" s="62">
        <v>58163967492</v>
      </c>
      <c r="Z378" s="62" t="s">
        <v>1112</v>
      </c>
      <c r="AA378" s="65">
        <v>4</v>
      </c>
      <c r="AB378" s="66"/>
      <c r="AC378" s="1" t="s">
        <v>824</v>
      </c>
      <c r="AD378" s="62" t="str">
        <f>VLOOKUP(X378,'Customer List'!B:C,2,)</f>
        <v>Hyderabad</v>
      </c>
      <c r="AE378" s="67"/>
      <c r="AF378" s="6">
        <v>46120</v>
      </c>
      <c r="AG378" s="62">
        <f t="shared" si="109"/>
        <v>1</v>
      </c>
      <c r="AH378" s="62" t="str">
        <f t="shared" si="110"/>
        <v>Monday</v>
      </c>
      <c r="AI378" s="62" t="str">
        <f>IF(AF378="", "", TEXT(AF378, "dddd"))</f>
        <v>Wednesday</v>
      </c>
      <c r="AJ378" s="62" t="str">
        <f>VLOOKUP(AC378,'Currency Sheet'!A:C,3,)</f>
        <v>DOLLAR</v>
      </c>
      <c r="AK378" s="62" t="str">
        <f>VLOOKUP(X378,'Customer List'!B:D,3,)</f>
        <v>OutStation</v>
      </c>
    </row>
    <row r="379" spans="1:37" hidden="1" x14ac:dyDescent="0.25">
      <c r="A379" s="62">
        <f t="shared" si="103"/>
        <v>365</v>
      </c>
      <c r="B379" s="62" t="s">
        <v>824</v>
      </c>
      <c r="C379" s="62" t="s">
        <v>905</v>
      </c>
      <c r="D379" s="6">
        <v>46108</v>
      </c>
      <c r="E379" s="6">
        <v>46118</v>
      </c>
      <c r="F379" s="63">
        <v>289.10000000000002</v>
      </c>
      <c r="G379" s="64">
        <f t="shared" si="105"/>
        <v>25440.800000000003</v>
      </c>
      <c r="H379" s="64">
        <f t="shared" si="106"/>
        <v>25440.800000000003</v>
      </c>
      <c r="I379" s="70">
        <v>901301</v>
      </c>
      <c r="J379" s="62" t="s">
        <v>1083</v>
      </c>
      <c r="K379" s="8" t="s">
        <v>1084</v>
      </c>
      <c r="L379" s="10">
        <v>48492</v>
      </c>
      <c r="M379" s="62">
        <v>1</v>
      </c>
      <c r="N379" s="8">
        <v>1</v>
      </c>
      <c r="O379" s="62">
        <f t="shared" si="107"/>
        <v>0</v>
      </c>
      <c r="P379" s="70">
        <v>35</v>
      </c>
      <c r="Q379" s="71">
        <v>46118</v>
      </c>
      <c r="R379" s="6">
        <v>46119</v>
      </c>
      <c r="S379" s="64">
        <v>46090.8</v>
      </c>
      <c r="T379" s="22">
        <v>5</v>
      </c>
      <c r="U379" s="64">
        <f t="shared" si="108"/>
        <v>2304.5400000000004</v>
      </c>
      <c r="V379" s="22">
        <v>-0.34</v>
      </c>
      <c r="W379" s="22">
        <v>48395</v>
      </c>
      <c r="X379" s="62" t="s">
        <v>104</v>
      </c>
      <c r="Y379" s="62">
        <v>58163968693</v>
      </c>
      <c r="Z379" s="62" t="s">
        <v>1112</v>
      </c>
      <c r="AA379" s="65">
        <v>4</v>
      </c>
      <c r="AB379" s="66"/>
      <c r="AC379" s="1" t="s">
        <v>824</v>
      </c>
      <c r="AD379" s="62" t="str">
        <f>VLOOKUP(X379,'Customer List'!B:C,2,)</f>
        <v>Banglore</v>
      </c>
      <c r="AE379" s="67"/>
      <c r="AF379" s="6">
        <v>46120</v>
      </c>
      <c r="AG379" s="62">
        <f t="shared" si="109"/>
        <v>1</v>
      </c>
      <c r="AH379" s="62" t="str">
        <f t="shared" si="110"/>
        <v>Monday</v>
      </c>
      <c r="AI379" s="62" t="str">
        <f>IF(AF379="", "", TEXT(AF379, "dddd"))</f>
        <v>Wednesday</v>
      </c>
      <c r="AJ379" s="62" t="str">
        <f>VLOOKUP(AC379,'Currency Sheet'!A:C,3,)</f>
        <v>DOLLAR</v>
      </c>
      <c r="AK379" s="62" t="str">
        <f>VLOOKUP(X379,'Customer List'!B:D,3,)</f>
        <v>OutStation</v>
      </c>
    </row>
    <row r="380" spans="1:37" hidden="1" x14ac:dyDescent="0.25">
      <c r="A380" s="62">
        <f t="shared" si="103"/>
        <v>366</v>
      </c>
      <c r="B380" s="62" t="s">
        <v>824</v>
      </c>
      <c r="C380" s="62" t="s">
        <v>905</v>
      </c>
      <c r="D380" s="6">
        <v>46108</v>
      </c>
      <c r="E380" s="6">
        <v>46118</v>
      </c>
      <c r="F380" s="63">
        <v>328.3</v>
      </c>
      <c r="G380" s="64">
        <f t="shared" si="105"/>
        <v>28890.400000000001</v>
      </c>
      <c r="H380" s="64">
        <f t="shared" si="106"/>
        <v>28890.400000000001</v>
      </c>
      <c r="I380" s="70">
        <v>901518</v>
      </c>
      <c r="J380" s="62" t="s">
        <v>1085</v>
      </c>
      <c r="K380" s="8" t="s">
        <v>1086</v>
      </c>
      <c r="L380" s="10">
        <v>47812</v>
      </c>
      <c r="M380" s="62">
        <v>1</v>
      </c>
      <c r="N380" s="8">
        <v>1</v>
      </c>
      <c r="O380" s="62">
        <f t="shared" si="107"/>
        <v>0</v>
      </c>
      <c r="P380" s="70">
        <v>43</v>
      </c>
      <c r="Q380" s="71">
        <v>46118</v>
      </c>
      <c r="R380" s="6">
        <v>46119</v>
      </c>
      <c r="S380" s="64">
        <v>50886.5</v>
      </c>
      <c r="T380" s="22">
        <v>5</v>
      </c>
      <c r="U380" s="64">
        <f t="shared" si="108"/>
        <v>2544.3250000000003</v>
      </c>
      <c r="V380" s="22">
        <v>0.17</v>
      </c>
      <c r="W380" s="22">
        <v>53431</v>
      </c>
      <c r="X380" s="62" t="s">
        <v>1100</v>
      </c>
      <c r="Y380" s="62">
        <v>58163971795</v>
      </c>
      <c r="Z380" s="62" t="s">
        <v>1112</v>
      </c>
      <c r="AA380" s="65">
        <v>4</v>
      </c>
      <c r="AB380" s="66"/>
      <c r="AC380" s="1" t="s">
        <v>824</v>
      </c>
      <c r="AD380" s="62" t="str">
        <f>VLOOKUP(X380,'Customer List'!B:C,2,)</f>
        <v>Banglore</v>
      </c>
      <c r="AE380" s="67"/>
      <c r="AF380" s="6"/>
      <c r="AG380" s="62" t="str">
        <f t="shared" si="109"/>
        <v/>
      </c>
      <c r="AH380" s="62" t="str">
        <f t="shared" si="110"/>
        <v>Tuesday</v>
      </c>
      <c r="AI380" s="62">
        <v>46120</v>
      </c>
      <c r="AJ380" s="62" t="str">
        <f>VLOOKUP(AC380,'Currency Sheet'!A:C,3,)</f>
        <v>DOLLAR</v>
      </c>
      <c r="AK380" s="62" t="str">
        <f>VLOOKUP(X380,'Customer List'!B:D,3,)</f>
        <v>OutStation</v>
      </c>
    </row>
    <row r="381" spans="1:37" hidden="1" x14ac:dyDescent="0.25">
      <c r="A381" s="62">
        <f t="shared" si="103"/>
        <v>367</v>
      </c>
      <c r="B381" s="62" t="s">
        <v>824</v>
      </c>
      <c r="C381" s="62" t="s">
        <v>905</v>
      </c>
      <c r="D381" s="6">
        <v>46108</v>
      </c>
      <c r="E381" s="6">
        <v>46118</v>
      </c>
      <c r="F381" s="63">
        <v>185.5</v>
      </c>
      <c r="G381" s="64">
        <f t="shared" si="105"/>
        <v>16324</v>
      </c>
      <c r="H381" s="64">
        <f t="shared" si="106"/>
        <v>16324</v>
      </c>
      <c r="I381" s="70">
        <v>936902</v>
      </c>
      <c r="J381" s="62" t="s">
        <v>1087</v>
      </c>
      <c r="K381" s="8" t="s">
        <v>1088</v>
      </c>
      <c r="L381" s="10">
        <v>46600</v>
      </c>
      <c r="M381" s="62">
        <v>1</v>
      </c>
      <c r="N381" s="8">
        <v>1</v>
      </c>
      <c r="O381" s="62">
        <f t="shared" si="107"/>
        <v>0</v>
      </c>
      <c r="P381" s="70">
        <v>23</v>
      </c>
      <c r="Q381" s="71">
        <v>46118</v>
      </c>
      <c r="R381" s="6">
        <v>46119</v>
      </c>
      <c r="S381" s="64">
        <v>27030</v>
      </c>
      <c r="T381" s="22">
        <v>5</v>
      </c>
      <c r="U381" s="64">
        <f t="shared" si="108"/>
        <v>1351.5</v>
      </c>
      <c r="V381" s="22">
        <v>0</v>
      </c>
      <c r="W381" s="22">
        <v>85037</v>
      </c>
      <c r="X381" s="62" t="s">
        <v>32</v>
      </c>
      <c r="Y381" s="62">
        <v>58163967492</v>
      </c>
      <c r="Z381" s="62" t="s">
        <v>1112</v>
      </c>
      <c r="AA381" s="65">
        <v>4</v>
      </c>
      <c r="AB381" s="66"/>
      <c r="AC381" s="1" t="s">
        <v>824</v>
      </c>
      <c r="AD381" s="62" t="str">
        <f>VLOOKUP(X381,'Customer List'!B:C,2,)</f>
        <v>Hyderabad</v>
      </c>
      <c r="AE381" s="67"/>
      <c r="AF381" s="6">
        <v>46120</v>
      </c>
      <c r="AG381" s="62">
        <f t="shared" si="109"/>
        <v>1</v>
      </c>
      <c r="AH381" s="62" t="str">
        <f t="shared" si="110"/>
        <v>Tuesday</v>
      </c>
      <c r="AI381" s="62" t="str">
        <f t="shared" ref="AI381:AI444" si="113">IF(AF381="", "", TEXT(AF381, "dddd"))</f>
        <v>Wednesday</v>
      </c>
      <c r="AJ381" s="62" t="str">
        <f>VLOOKUP(AC381,'Currency Sheet'!A:C,3,)</f>
        <v>DOLLAR</v>
      </c>
      <c r="AK381" s="62" t="str">
        <f>VLOOKUP(X381,'Customer List'!B:D,3,)</f>
        <v>OutStation</v>
      </c>
    </row>
    <row r="382" spans="1:37" hidden="1" x14ac:dyDescent="0.25">
      <c r="A382" s="62">
        <f t="shared" si="103"/>
        <v>368</v>
      </c>
      <c r="B382" s="62" t="s">
        <v>887</v>
      </c>
      <c r="C382" s="62" t="s">
        <v>1122</v>
      </c>
      <c r="D382" s="6">
        <v>46111</v>
      </c>
      <c r="E382" s="6">
        <v>46120</v>
      </c>
      <c r="F382" s="63">
        <v>136.80000000000001</v>
      </c>
      <c r="G382" s="64">
        <f t="shared" si="105"/>
        <v>12038.400000000001</v>
      </c>
      <c r="H382" s="64">
        <f t="shared" si="106"/>
        <v>12038.400000000001</v>
      </c>
      <c r="I382" s="70" t="s">
        <v>1123</v>
      </c>
      <c r="J382" s="62" t="s">
        <v>1135</v>
      </c>
      <c r="K382" s="8">
        <v>241690</v>
      </c>
      <c r="L382" s="10" t="s">
        <v>848</v>
      </c>
      <c r="M382" s="62">
        <v>1</v>
      </c>
      <c r="N382" s="8">
        <v>1</v>
      </c>
      <c r="O382" s="62">
        <f t="shared" si="107"/>
        <v>0</v>
      </c>
      <c r="P382" s="70">
        <v>51</v>
      </c>
      <c r="Q382" s="71">
        <v>46120</v>
      </c>
      <c r="R382" s="6">
        <v>46120</v>
      </c>
      <c r="S382" s="64">
        <v>23142</v>
      </c>
      <c r="T382" s="22">
        <v>5</v>
      </c>
      <c r="U382" s="64">
        <f t="shared" si="108"/>
        <v>1157.1000000000001</v>
      </c>
      <c r="V382" s="22">
        <v>-0.1</v>
      </c>
      <c r="W382" s="22">
        <v>26189</v>
      </c>
      <c r="X382" s="62" t="s">
        <v>1132</v>
      </c>
      <c r="Y382" s="62" t="s">
        <v>1143</v>
      </c>
      <c r="Z382" s="62" t="s">
        <v>1112</v>
      </c>
      <c r="AA382" s="65">
        <v>-20</v>
      </c>
      <c r="AB382" s="66"/>
      <c r="AC382" s="1" t="s">
        <v>887</v>
      </c>
      <c r="AD382" s="62" t="str">
        <f>VLOOKUP(X382,'Customer List'!B:C,2,)</f>
        <v>BANGLORE</v>
      </c>
      <c r="AE382" s="67"/>
      <c r="AF382" s="6">
        <v>46121</v>
      </c>
      <c r="AG382" s="62">
        <f t="shared" si="109"/>
        <v>1</v>
      </c>
      <c r="AH382" s="62" t="str">
        <f t="shared" si="110"/>
        <v>Saturday</v>
      </c>
      <c r="AI382" s="62" t="str">
        <f t="shared" si="113"/>
        <v>Thursday</v>
      </c>
      <c r="AJ382" s="62" t="str">
        <f>VLOOKUP(AC382,'Currency Sheet'!A:C,3,)</f>
        <v>DOLLAR</v>
      </c>
      <c r="AK382" s="62" t="str">
        <f>VLOOKUP(X382,'Customer List'!B:D,3,)</f>
        <v>OutStation</v>
      </c>
    </row>
    <row r="383" spans="1:37" hidden="1" x14ac:dyDescent="0.25">
      <c r="A383" s="62">
        <f t="shared" si="103"/>
        <v>369</v>
      </c>
      <c r="B383" s="62" t="s">
        <v>887</v>
      </c>
      <c r="C383" s="62" t="s">
        <v>1122</v>
      </c>
      <c r="D383" s="6">
        <v>46111</v>
      </c>
      <c r="E383" s="6">
        <v>46120</v>
      </c>
      <c r="F383" s="63">
        <v>52.8</v>
      </c>
      <c r="G383" s="64">
        <f t="shared" si="105"/>
        <v>4646.3999999999996</v>
      </c>
      <c r="H383" s="64">
        <f t="shared" si="106"/>
        <v>4646.3999999999996</v>
      </c>
      <c r="I383" s="70" t="s">
        <v>1124</v>
      </c>
      <c r="J383" s="62" t="s">
        <v>1136</v>
      </c>
      <c r="K383" s="8">
        <v>259859</v>
      </c>
      <c r="L383" s="10" t="s">
        <v>848</v>
      </c>
      <c r="M383" s="62">
        <v>1</v>
      </c>
      <c r="N383" s="8">
        <v>1</v>
      </c>
      <c r="O383" s="62">
        <f t="shared" si="107"/>
        <v>0</v>
      </c>
      <c r="P383" s="70">
        <v>57</v>
      </c>
      <c r="Q383" s="71">
        <v>46122</v>
      </c>
      <c r="R383" s="6">
        <v>46123</v>
      </c>
      <c r="S383" s="64">
        <v>8932</v>
      </c>
      <c r="T383" s="22">
        <v>5</v>
      </c>
      <c r="U383" s="64">
        <f t="shared" si="108"/>
        <v>446.6</v>
      </c>
      <c r="V383" s="22">
        <v>0.4</v>
      </c>
      <c r="W383" s="22">
        <v>9379</v>
      </c>
      <c r="X383" s="62" t="s">
        <v>847</v>
      </c>
      <c r="Y383" s="62">
        <v>58164178962</v>
      </c>
      <c r="Z383" s="62" t="s">
        <v>1112</v>
      </c>
      <c r="AA383" s="65">
        <v>-20</v>
      </c>
      <c r="AB383" s="66"/>
      <c r="AC383" s="1" t="s">
        <v>887</v>
      </c>
      <c r="AD383" s="62" t="str">
        <f>VLOOKUP(X383,'Customer List'!B:C,2,)</f>
        <v>Bhuvneshwar</v>
      </c>
      <c r="AE383" s="67"/>
      <c r="AF383" s="6">
        <v>46125</v>
      </c>
      <c r="AG383" s="62">
        <f t="shared" si="109"/>
        <v>2</v>
      </c>
      <c r="AH383" s="62" t="str">
        <f t="shared" si="110"/>
        <v>Saturday</v>
      </c>
      <c r="AI383" s="62" t="str">
        <f t="shared" si="113"/>
        <v>Monday</v>
      </c>
      <c r="AJ383" s="62" t="str">
        <f>VLOOKUP(AC383,'Currency Sheet'!A:C,3,)</f>
        <v>DOLLAR</v>
      </c>
      <c r="AK383" s="62" t="str">
        <f>VLOOKUP(X383,'Customer List'!B:D,3,)</f>
        <v>OutStation</v>
      </c>
    </row>
    <row r="384" spans="1:37" hidden="1" x14ac:dyDescent="0.25">
      <c r="A384" s="62">
        <f t="shared" si="103"/>
        <v>370</v>
      </c>
      <c r="B384" s="62" t="s">
        <v>887</v>
      </c>
      <c r="C384" s="62" t="s">
        <v>1125</v>
      </c>
      <c r="D384" s="6">
        <v>46111</v>
      </c>
      <c r="E384" s="6">
        <v>46120</v>
      </c>
      <c r="F384" s="63">
        <v>113.4</v>
      </c>
      <c r="G384" s="64">
        <f t="shared" si="105"/>
        <v>9979.2000000000007</v>
      </c>
      <c r="H384" s="64">
        <f t="shared" si="106"/>
        <v>9979.2000000000007</v>
      </c>
      <c r="I384" s="70" t="s">
        <v>1126</v>
      </c>
      <c r="J384" s="62" t="s">
        <v>1137</v>
      </c>
      <c r="K384" s="8">
        <v>245967</v>
      </c>
      <c r="L384" s="10" t="s">
        <v>848</v>
      </c>
      <c r="M384" s="62">
        <v>1</v>
      </c>
      <c r="N384" s="8">
        <v>1</v>
      </c>
      <c r="O384" s="62">
        <f t="shared" si="107"/>
        <v>0</v>
      </c>
      <c r="P384" s="70">
        <v>52</v>
      </c>
      <c r="Q384" s="71">
        <v>46120</v>
      </c>
      <c r="R384" s="6">
        <v>46120</v>
      </c>
      <c r="S384" s="64">
        <v>19183.5</v>
      </c>
      <c r="T384" s="22">
        <v>5</v>
      </c>
      <c r="U384" s="64">
        <f t="shared" si="108"/>
        <v>959.17500000000007</v>
      </c>
      <c r="V384" s="22">
        <v>0.32</v>
      </c>
      <c r="W384" s="22">
        <v>22033</v>
      </c>
      <c r="X384" s="62" t="s">
        <v>1133</v>
      </c>
      <c r="Y384" s="62" t="s">
        <v>1144</v>
      </c>
      <c r="Z384" s="62" t="s">
        <v>1112</v>
      </c>
      <c r="AA384" s="65">
        <v>-20</v>
      </c>
      <c r="AB384" s="66"/>
      <c r="AC384" s="1" t="s">
        <v>887</v>
      </c>
      <c r="AD384" s="62" t="str">
        <f>VLOOKUP(X384,'Customer List'!B:C,2,)</f>
        <v>Mumbai</v>
      </c>
      <c r="AE384" s="67"/>
      <c r="AF384" s="6">
        <v>46121</v>
      </c>
      <c r="AG384" s="62">
        <f t="shared" si="109"/>
        <v>1</v>
      </c>
      <c r="AH384" s="62" t="str">
        <f t="shared" si="110"/>
        <v>Tuesday</v>
      </c>
      <c r="AI384" s="62" t="str">
        <f t="shared" si="113"/>
        <v>Thursday</v>
      </c>
      <c r="AJ384" s="62" t="str">
        <f>VLOOKUP(AC384,'Currency Sheet'!A:C,3,)</f>
        <v>DOLLAR</v>
      </c>
      <c r="AK384" s="62" t="str">
        <f>VLOOKUP(X384,'Customer List'!B:D,3,)</f>
        <v>OutStation</v>
      </c>
    </row>
    <row r="385" spans="1:37" hidden="1" x14ac:dyDescent="0.25">
      <c r="A385" s="62">
        <f t="shared" si="103"/>
        <v>371</v>
      </c>
      <c r="B385" s="62" t="s">
        <v>887</v>
      </c>
      <c r="C385" s="62" t="s">
        <v>1127</v>
      </c>
      <c r="D385" s="6">
        <v>46111</v>
      </c>
      <c r="E385" s="6">
        <v>46120</v>
      </c>
      <c r="F385" s="63">
        <v>63</v>
      </c>
      <c r="G385" s="64">
        <f t="shared" si="105"/>
        <v>5544</v>
      </c>
      <c r="H385" s="64">
        <f t="shared" si="106"/>
        <v>11088</v>
      </c>
      <c r="I385" s="70" t="s">
        <v>1128</v>
      </c>
      <c r="J385" s="62" t="s">
        <v>1138</v>
      </c>
      <c r="K385" s="8">
        <v>251623</v>
      </c>
      <c r="L385" s="10" t="s">
        <v>848</v>
      </c>
      <c r="M385" s="62">
        <v>2</v>
      </c>
      <c r="N385" s="8">
        <v>2</v>
      </c>
      <c r="O385" s="62">
        <f t="shared" si="107"/>
        <v>0</v>
      </c>
      <c r="P385" s="70">
        <v>128</v>
      </c>
      <c r="Q385" s="71">
        <v>46129</v>
      </c>
      <c r="R385" s="6">
        <v>46130</v>
      </c>
      <c r="S385" s="64">
        <v>21315</v>
      </c>
      <c r="T385" s="22">
        <v>5</v>
      </c>
      <c r="U385" s="64">
        <f t="shared" si="108"/>
        <v>1065.75</v>
      </c>
      <c r="V385" s="22">
        <v>1800.25</v>
      </c>
      <c r="W385" s="22">
        <v>24271</v>
      </c>
      <c r="X385" s="62" t="s">
        <v>1134</v>
      </c>
      <c r="Y385" s="62">
        <v>58164464956</v>
      </c>
      <c r="Z385" s="62" t="s">
        <v>1112</v>
      </c>
      <c r="AA385" s="65">
        <v>-20</v>
      </c>
      <c r="AB385" s="66"/>
      <c r="AC385" s="1" t="s">
        <v>887</v>
      </c>
      <c r="AD385" s="62" t="str">
        <f>VLOOKUP(X385,'Customer List'!B:C,2,)</f>
        <v>MOHALI</v>
      </c>
      <c r="AE385" s="67" t="s">
        <v>1428</v>
      </c>
      <c r="AF385" s="6">
        <v>46133</v>
      </c>
      <c r="AG385" s="62">
        <f t="shared" si="109"/>
        <v>3</v>
      </c>
      <c r="AH385" s="62" t="str">
        <f t="shared" si="110"/>
        <v>Saturday</v>
      </c>
      <c r="AI385" s="62" t="str">
        <f t="shared" si="113"/>
        <v>Tuesday</v>
      </c>
      <c r="AJ385" s="62" t="str">
        <f>VLOOKUP(AC385,'Currency Sheet'!A:C,3,)</f>
        <v>DOLLAR</v>
      </c>
      <c r="AK385" s="62" t="str">
        <f>VLOOKUP(X385,'Customer List'!B:D,3,)</f>
        <v>OutStation</v>
      </c>
    </row>
    <row r="386" spans="1:37" hidden="1" x14ac:dyDescent="0.25">
      <c r="A386" s="62">
        <f t="shared" ref="A386:A449" si="114">A385+1</f>
        <v>372</v>
      </c>
      <c r="B386" s="62" t="s">
        <v>887</v>
      </c>
      <c r="C386" s="62" t="s">
        <v>1129</v>
      </c>
      <c r="D386" s="6">
        <v>46113</v>
      </c>
      <c r="E386" s="6">
        <v>46120</v>
      </c>
      <c r="F386" s="63">
        <v>5</v>
      </c>
      <c r="G386" s="64">
        <f t="shared" si="105"/>
        <v>440</v>
      </c>
      <c r="H386" s="64">
        <f t="shared" si="106"/>
        <v>440</v>
      </c>
      <c r="I386" s="70" t="s">
        <v>1130</v>
      </c>
      <c r="J386" s="62" t="s">
        <v>1139</v>
      </c>
      <c r="K386" s="8">
        <v>132020</v>
      </c>
      <c r="L386" s="10" t="s">
        <v>848</v>
      </c>
      <c r="M386" s="62">
        <v>1</v>
      </c>
      <c r="N386" s="8">
        <v>1</v>
      </c>
      <c r="O386" s="62">
        <f t="shared" si="107"/>
        <v>0</v>
      </c>
      <c r="P386" s="70" t="s">
        <v>1665</v>
      </c>
      <c r="Q386" s="71">
        <v>46129</v>
      </c>
      <c r="R386" s="6">
        <v>46129</v>
      </c>
      <c r="S386" s="64">
        <v>0</v>
      </c>
      <c r="T386" s="22">
        <v>5</v>
      </c>
      <c r="U386" s="64">
        <f t="shared" si="108"/>
        <v>0</v>
      </c>
      <c r="V386" s="22">
        <v>0</v>
      </c>
      <c r="W386" s="22">
        <v>0</v>
      </c>
      <c r="X386" s="62" t="s">
        <v>432</v>
      </c>
      <c r="Y386" s="62" t="s">
        <v>896</v>
      </c>
      <c r="Z386" s="62" t="s">
        <v>1120</v>
      </c>
      <c r="AA386" s="65">
        <v>-20</v>
      </c>
      <c r="AB386" s="66" t="s">
        <v>1666</v>
      </c>
      <c r="AC386" s="1" t="s">
        <v>887</v>
      </c>
      <c r="AD386" s="62" t="str">
        <f>VLOOKUP(X386,'Customer List'!B:C,2,)</f>
        <v>DELHI</v>
      </c>
      <c r="AE386" s="67"/>
      <c r="AF386" s="6"/>
      <c r="AG386" s="62" t="str">
        <f t="shared" si="109"/>
        <v/>
      </c>
      <c r="AH386" s="62" t="str">
        <f t="shared" si="110"/>
        <v>Saturday</v>
      </c>
      <c r="AI386" s="62" t="str">
        <f t="shared" si="113"/>
        <v/>
      </c>
      <c r="AJ386" s="62" t="str">
        <f>VLOOKUP(AC386,'Currency Sheet'!A:C,3,)</f>
        <v>DOLLAR</v>
      </c>
      <c r="AK386" s="62" t="str">
        <f>VLOOKUP(X386,'Customer List'!B:D,3,)</f>
        <v>Local</v>
      </c>
    </row>
    <row r="387" spans="1:37" hidden="1" x14ac:dyDescent="0.25">
      <c r="A387" s="62">
        <f t="shared" si="114"/>
        <v>373</v>
      </c>
      <c r="B387" s="62" t="s">
        <v>887</v>
      </c>
      <c r="C387" s="62" t="s">
        <v>1129</v>
      </c>
      <c r="D387" s="6">
        <v>46113</v>
      </c>
      <c r="E387" s="6">
        <v>46120</v>
      </c>
      <c r="F387" s="63">
        <v>5</v>
      </c>
      <c r="G387" s="64">
        <f t="shared" si="105"/>
        <v>440</v>
      </c>
      <c r="H387" s="64">
        <f t="shared" si="106"/>
        <v>440</v>
      </c>
      <c r="I387" s="70" t="s">
        <v>1131</v>
      </c>
      <c r="J387" s="62" t="s">
        <v>1140</v>
      </c>
      <c r="K387" s="8" t="s">
        <v>1141</v>
      </c>
      <c r="L387" s="10" t="s">
        <v>848</v>
      </c>
      <c r="M387" s="62">
        <v>1</v>
      </c>
      <c r="N387" s="8">
        <v>1</v>
      </c>
      <c r="O387" s="62">
        <f t="shared" si="107"/>
        <v>0</v>
      </c>
      <c r="P387" s="70" t="s">
        <v>1612</v>
      </c>
      <c r="Q387" s="71">
        <v>46128</v>
      </c>
      <c r="R387" s="6">
        <v>46128</v>
      </c>
      <c r="S387" s="64">
        <v>0</v>
      </c>
      <c r="T387" s="22">
        <v>5</v>
      </c>
      <c r="U387" s="64">
        <f t="shared" si="108"/>
        <v>0</v>
      </c>
      <c r="V387" s="22">
        <v>0</v>
      </c>
      <c r="W387" s="22">
        <v>0</v>
      </c>
      <c r="X387" s="62" t="s">
        <v>792</v>
      </c>
      <c r="Y387" s="62" t="s">
        <v>1120</v>
      </c>
      <c r="Z387" s="62" t="s">
        <v>1863</v>
      </c>
      <c r="AA387" s="65">
        <v>-20</v>
      </c>
      <c r="AB387" s="66"/>
      <c r="AC387" s="1" t="s">
        <v>887</v>
      </c>
      <c r="AD387" s="62" t="str">
        <f>VLOOKUP(X387,'Customer List'!B:C,2,)</f>
        <v>Delhi</v>
      </c>
      <c r="AE387" s="67" t="s">
        <v>821</v>
      </c>
      <c r="AF387" s="6"/>
      <c r="AG387" s="62" t="str">
        <f t="shared" si="109"/>
        <v/>
      </c>
      <c r="AH387" s="62" t="str">
        <f t="shared" si="110"/>
        <v>Saturday</v>
      </c>
      <c r="AI387" s="62" t="str">
        <f t="shared" si="113"/>
        <v/>
      </c>
      <c r="AJ387" s="62" t="str">
        <f>VLOOKUP(AC387,'Currency Sheet'!A:C,3,)</f>
        <v>DOLLAR</v>
      </c>
      <c r="AK387" s="62" t="str">
        <f>VLOOKUP(X387,'Customer List'!B:D,3,)</f>
        <v>Local</v>
      </c>
    </row>
    <row r="388" spans="1:37" hidden="1" x14ac:dyDescent="0.25">
      <c r="A388" s="62">
        <f t="shared" si="114"/>
        <v>374</v>
      </c>
      <c r="B388" s="62" t="s">
        <v>47</v>
      </c>
      <c r="C388" s="62">
        <v>926124</v>
      </c>
      <c r="D388" s="6">
        <v>46115</v>
      </c>
      <c r="E388" s="6">
        <v>46121</v>
      </c>
      <c r="F388" s="63">
        <v>522.75</v>
      </c>
      <c r="G388" s="64">
        <f t="shared" si="105"/>
        <v>46002</v>
      </c>
      <c r="H388" s="64">
        <f t="shared" si="106"/>
        <v>46002</v>
      </c>
      <c r="I388" s="70" t="s">
        <v>1151</v>
      </c>
      <c r="J388" s="62" t="s">
        <v>1159</v>
      </c>
      <c r="K388" s="8" t="s">
        <v>1169</v>
      </c>
      <c r="L388" s="10">
        <v>46295</v>
      </c>
      <c r="M388" s="62">
        <v>1</v>
      </c>
      <c r="N388" s="8">
        <v>1</v>
      </c>
      <c r="O388" s="62">
        <f t="shared" si="107"/>
        <v>0</v>
      </c>
      <c r="P388" s="70">
        <v>58</v>
      </c>
      <c r="Q388" s="71">
        <v>46122</v>
      </c>
      <c r="R388" s="6">
        <v>46123</v>
      </c>
      <c r="S388" s="64">
        <v>58117.5</v>
      </c>
      <c r="T388" s="22">
        <v>5</v>
      </c>
      <c r="U388" s="64">
        <f t="shared" si="108"/>
        <v>2905.875</v>
      </c>
      <c r="V388" s="22">
        <v>0.16</v>
      </c>
      <c r="W388" s="22">
        <v>413272</v>
      </c>
      <c r="X388" s="62" t="s">
        <v>1150</v>
      </c>
      <c r="Y388" s="62">
        <v>58164183943</v>
      </c>
      <c r="Z388" s="62" t="s">
        <v>1112</v>
      </c>
      <c r="AA388" s="65">
        <v>4</v>
      </c>
      <c r="AB388" s="66"/>
      <c r="AC388" s="1" t="s">
        <v>47</v>
      </c>
      <c r="AD388" s="62" t="str">
        <f>VLOOKUP(X388,'Customer List'!B:C,2,)</f>
        <v>JAIPUR</v>
      </c>
      <c r="AE388" s="67"/>
      <c r="AF388" s="6">
        <v>46125</v>
      </c>
      <c r="AG388" s="62">
        <f t="shared" si="109"/>
        <v>2</v>
      </c>
      <c r="AH388" s="62" t="str">
        <f t="shared" si="110"/>
        <v>Tuesday</v>
      </c>
      <c r="AI388" s="62" t="str">
        <f t="shared" si="113"/>
        <v>Monday</v>
      </c>
      <c r="AJ388" s="62" t="str">
        <f>VLOOKUP(AC388,'Currency Sheet'!A:C,3,)</f>
        <v>DOLLAR</v>
      </c>
      <c r="AK388" s="62" t="str">
        <f>VLOOKUP(X388,'Customer List'!B:D,3,)</f>
        <v>OutStation</v>
      </c>
    </row>
    <row r="389" spans="1:37" hidden="1" x14ac:dyDescent="0.25">
      <c r="A389" s="62">
        <f t="shared" si="114"/>
        <v>375</v>
      </c>
      <c r="B389" s="62" t="s">
        <v>47</v>
      </c>
      <c r="C389" s="62">
        <v>926124</v>
      </c>
      <c r="D389" s="6">
        <v>46115</v>
      </c>
      <c r="E389" s="6">
        <v>46121</v>
      </c>
      <c r="F389" s="63">
        <v>522.75</v>
      </c>
      <c r="G389" s="64">
        <f t="shared" si="105"/>
        <v>46002</v>
      </c>
      <c r="H389" s="64">
        <f t="shared" si="106"/>
        <v>46002</v>
      </c>
      <c r="I389" s="70" t="s">
        <v>1152</v>
      </c>
      <c r="J389" s="62" t="s">
        <v>1160</v>
      </c>
      <c r="K389" s="8" t="s">
        <v>1171</v>
      </c>
      <c r="L389" s="10">
        <v>46295</v>
      </c>
      <c r="M389" s="62">
        <v>1</v>
      </c>
      <c r="N389" s="8">
        <v>1</v>
      </c>
      <c r="O389" s="62">
        <f t="shared" si="107"/>
        <v>0</v>
      </c>
      <c r="P389" s="70">
        <v>58</v>
      </c>
      <c r="Q389" s="71">
        <v>46122</v>
      </c>
      <c r="R389" s="6">
        <v>46123</v>
      </c>
      <c r="S389" s="64">
        <v>58117.5</v>
      </c>
      <c r="T389" s="22">
        <v>5</v>
      </c>
      <c r="U389" s="64">
        <f t="shared" si="108"/>
        <v>2905.875</v>
      </c>
      <c r="V389" s="22">
        <v>0</v>
      </c>
      <c r="W389" s="22">
        <v>413272</v>
      </c>
      <c r="X389" s="62" t="s">
        <v>1150</v>
      </c>
      <c r="Y389" s="62">
        <v>58164183943</v>
      </c>
      <c r="Z389" s="62" t="s">
        <v>1112</v>
      </c>
      <c r="AA389" s="65">
        <v>4</v>
      </c>
      <c r="AB389" s="66"/>
      <c r="AC389" s="1" t="s">
        <v>47</v>
      </c>
      <c r="AD389" s="62" t="str">
        <f>VLOOKUP(X389,'Customer List'!B:C,2,)</f>
        <v>JAIPUR</v>
      </c>
      <c r="AE389" s="67"/>
      <c r="AF389" s="6">
        <v>46125</v>
      </c>
      <c r="AG389" s="62">
        <f t="shared" si="109"/>
        <v>2</v>
      </c>
      <c r="AH389" s="62" t="str">
        <f t="shared" si="110"/>
        <v>Tuesday</v>
      </c>
      <c r="AI389" s="62" t="str">
        <f t="shared" si="113"/>
        <v>Monday</v>
      </c>
      <c r="AJ389" s="62" t="str">
        <f>VLOOKUP(AC389,'Currency Sheet'!A:C,3,)</f>
        <v>DOLLAR</v>
      </c>
      <c r="AK389" s="62" t="str">
        <f>VLOOKUP(X389,'Customer List'!B:D,3,)</f>
        <v>OutStation</v>
      </c>
    </row>
    <row r="390" spans="1:37" hidden="1" x14ac:dyDescent="0.25">
      <c r="A390" s="62">
        <f t="shared" si="114"/>
        <v>376</v>
      </c>
      <c r="B390" s="62" t="s">
        <v>47</v>
      </c>
      <c r="C390" s="62">
        <v>926124</v>
      </c>
      <c r="D390" s="6">
        <v>46115</v>
      </c>
      <c r="E390" s="6">
        <v>46121</v>
      </c>
      <c r="F390" s="63">
        <v>440.1</v>
      </c>
      <c r="G390" s="64">
        <f t="shared" si="105"/>
        <v>38728.800000000003</v>
      </c>
      <c r="H390" s="64">
        <f t="shared" si="106"/>
        <v>38728.800000000003</v>
      </c>
      <c r="I390" s="70" t="s">
        <v>1153</v>
      </c>
      <c r="J390" s="62" t="s">
        <v>1161</v>
      </c>
      <c r="K390" s="8" t="s">
        <v>1168</v>
      </c>
      <c r="L390" s="10">
        <v>46295</v>
      </c>
      <c r="M390" s="62">
        <v>1</v>
      </c>
      <c r="N390" s="8">
        <v>1</v>
      </c>
      <c r="O390" s="62">
        <f t="shared" si="107"/>
        <v>0</v>
      </c>
      <c r="P390" s="70">
        <v>58</v>
      </c>
      <c r="Q390" s="71">
        <v>46122</v>
      </c>
      <c r="R390" s="6">
        <v>46123</v>
      </c>
      <c r="S390" s="64">
        <v>51502.5</v>
      </c>
      <c r="T390" s="22">
        <v>5</v>
      </c>
      <c r="U390" s="64">
        <f t="shared" si="108"/>
        <v>2575.125</v>
      </c>
      <c r="V390" s="22">
        <v>0</v>
      </c>
      <c r="W390" s="22">
        <v>413272</v>
      </c>
      <c r="X390" s="62" t="s">
        <v>1150</v>
      </c>
      <c r="Y390" s="62">
        <v>58164183943</v>
      </c>
      <c r="Z390" s="62" t="s">
        <v>1112</v>
      </c>
      <c r="AA390" s="65">
        <v>4</v>
      </c>
      <c r="AB390" s="66"/>
      <c r="AC390" s="1" t="s">
        <v>47</v>
      </c>
      <c r="AD390" s="62" t="str">
        <f>VLOOKUP(X390,'Customer List'!B:C,2,)</f>
        <v>JAIPUR</v>
      </c>
      <c r="AE390" s="67"/>
      <c r="AF390" s="6">
        <v>46125</v>
      </c>
      <c r="AG390" s="62">
        <f t="shared" si="109"/>
        <v>2</v>
      </c>
      <c r="AH390" s="62" t="str">
        <f t="shared" si="110"/>
        <v>Tuesday</v>
      </c>
      <c r="AI390" s="62" t="str">
        <f t="shared" si="113"/>
        <v>Monday</v>
      </c>
      <c r="AJ390" s="62" t="str">
        <f>VLOOKUP(AC390,'Currency Sheet'!A:C,3,)</f>
        <v>DOLLAR</v>
      </c>
      <c r="AK390" s="62" t="str">
        <f>VLOOKUP(X390,'Customer List'!B:D,3,)</f>
        <v>OutStation</v>
      </c>
    </row>
    <row r="391" spans="1:37" hidden="1" x14ac:dyDescent="0.25">
      <c r="A391" s="62">
        <f t="shared" si="114"/>
        <v>377</v>
      </c>
      <c r="B391" s="62" t="s">
        <v>47</v>
      </c>
      <c r="C391" s="62">
        <v>926124</v>
      </c>
      <c r="D391" s="6">
        <v>46115</v>
      </c>
      <c r="E391" s="6">
        <v>46121</v>
      </c>
      <c r="F391" s="63">
        <v>522.75</v>
      </c>
      <c r="G391" s="64">
        <f t="shared" si="105"/>
        <v>46002</v>
      </c>
      <c r="H391" s="64">
        <f t="shared" si="106"/>
        <v>46002</v>
      </c>
      <c r="I391" s="70" t="s">
        <v>1154</v>
      </c>
      <c r="J391" s="62" t="s">
        <v>1162</v>
      </c>
      <c r="K391" s="8" t="s">
        <v>1167</v>
      </c>
      <c r="L391" s="10">
        <v>46295</v>
      </c>
      <c r="M391" s="62">
        <v>1</v>
      </c>
      <c r="N391" s="8">
        <v>1</v>
      </c>
      <c r="O391" s="62">
        <f t="shared" si="107"/>
        <v>0</v>
      </c>
      <c r="P391" s="70">
        <v>58</v>
      </c>
      <c r="Q391" s="71">
        <v>46122</v>
      </c>
      <c r="R391" s="6">
        <v>46123</v>
      </c>
      <c r="S391" s="64">
        <v>58117.5</v>
      </c>
      <c r="T391" s="22">
        <v>5</v>
      </c>
      <c r="U391" s="64">
        <f t="shared" si="108"/>
        <v>2905.875</v>
      </c>
      <c r="V391" s="22">
        <v>0</v>
      </c>
      <c r="W391" s="22">
        <v>413272</v>
      </c>
      <c r="X391" s="62" t="s">
        <v>1150</v>
      </c>
      <c r="Y391" s="62">
        <v>58164183943</v>
      </c>
      <c r="Z391" s="62" t="s">
        <v>1112</v>
      </c>
      <c r="AA391" s="65">
        <v>4</v>
      </c>
      <c r="AB391" s="66"/>
      <c r="AC391" s="1" t="s">
        <v>47</v>
      </c>
      <c r="AD391" s="62" t="str">
        <f>VLOOKUP(X391,'Customer List'!B:C,2,)</f>
        <v>JAIPUR</v>
      </c>
      <c r="AE391" s="67"/>
      <c r="AF391" s="6">
        <v>46125</v>
      </c>
      <c r="AG391" s="62">
        <f t="shared" si="109"/>
        <v>2</v>
      </c>
      <c r="AH391" s="62" t="str">
        <f t="shared" si="110"/>
        <v>Tuesday</v>
      </c>
      <c r="AI391" s="62" t="str">
        <f t="shared" si="113"/>
        <v>Monday</v>
      </c>
      <c r="AJ391" s="62" t="str">
        <f>VLOOKUP(AC391,'Currency Sheet'!A:C,3,)</f>
        <v>DOLLAR</v>
      </c>
      <c r="AK391" s="62" t="str">
        <f>VLOOKUP(X391,'Customer List'!B:D,3,)</f>
        <v>OutStation</v>
      </c>
    </row>
    <row r="392" spans="1:37" hidden="1" x14ac:dyDescent="0.25">
      <c r="A392" s="62">
        <f t="shared" si="114"/>
        <v>378</v>
      </c>
      <c r="B392" s="62" t="s">
        <v>47</v>
      </c>
      <c r="C392" s="62">
        <v>926124</v>
      </c>
      <c r="D392" s="6">
        <v>46115</v>
      </c>
      <c r="E392" s="6">
        <v>46121</v>
      </c>
      <c r="F392" s="63">
        <v>463.25</v>
      </c>
      <c r="G392" s="64">
        <f t="shared" si="105"/>
        <v>40766</v>
      </c>
      <c r="H392" s="64">
        <f t="shared" si="106"/>
        <v>40766</v>
      </c>
      <c r="I392" s="70" t="s">
        <v>1155</v>
      </c>
      <c r="J392" s="62" t="s">
        <v>1163</v>
      </c>
      <c r="K392" s="8">
        <v>32416500</v>
      </c>
      <c r="L392" s="10">
        <v>46446</v>
      </c>
      <c r="M392" s="62">
        <v>1</v>
      </c>
      <c r="N392" s="8">
        <v>1</v>
      </c>
      <c r="O392" s="62">
        <f t="shared" si="107"/>
        <v>0</v>
      </c>
      <c r="P392" s="70">
        <v>58</v>
      </c>
      <c r="Q392" s="71">
        <v>46122</v>
      </c>
      <c r="R392" s="6">
        <v>46123</v>
      </c>
      <c r="S392" s="64">
        <v>51502.5</v>
      </c>
      <c r="T392" s="22">
        <v>5</v>
      </c>
      <c r="U392" s="64">
        <f t="shared" si="108"/>
        <v>2575.125</v>
      </c>
      <c r="V392" s="22">
        <v>0</v>
      </c>
      <c r="W392" s="22">
        <v>413272</v>
      </c>
      <c r="X392" s="62" t="s">
        <v>1150</v>
      </c>
      <c r="Y392" s="62">
        <v>58164183943</v>
      </c>
      <c r="Z392" s="62" t="s">
        <v>1112</v>
      </c>
      <c r="AA392" s="65">
        <v>4</v>
      </c>
      <c r="AB392" s="66"/>
      <c r="AC392" s="1" t="s">
        <v>47</v>
      </c>
      <c r="AD392" s="62" t="str">
        <f>VLOOKUP(X392,'Customer List'!B:C,2,)</f>
        <v>JAIPUR</v>
      </c>
      <c r="AE392" s="67"/>
      <c r="AF392" s="6">
        <v>46125</v>
      </c>
      <c r="AG392" s="62">
        <f t="shared" si="109"/>
        <v>2</v>
      </c>
      <c r="AH392" s="62" t="str">
        <f t="shared" si="110"/>
        <v>Tuesday</v>
      </c>
      <c r="AI392" s="62" t="str">
        <f t="shared" si="113"/>
        <v>Monday</v>
      </c>
      <c r="AJ392" s="62" t="str">
        <f>VLOOKUP(AC392,'Currency Sheet'!A:C,3,)</f>
        <v>DOLLAR</v>
      </c>
      <c r="AK392" s="62" t="str">
        <f>VLOOKUP(X392,'Customer List'!B:D,3,)</f>
        <v>OutStation</v>
      </c>
    </row>
    <row r="393" spans="1:37" hidden="1" x14ac:dyDescent="0.25">
      <c r="A393" s="62">
        <f t="shared" si="114"/>
        <v>379</v>
      </c>
      <c r="B393" s="62" t="s">
        <v>47</v>
      </c>
      <c r="C393" s="62">
        <v>926124</v>
      </c>
      <c r="D393" s="6">
        <v>46115</v>
      </c>
      <c r="E393" s="6">
        <v>46121</v>
      </c>
      <c r="F393" s="63">
        <v>454.75</v>
      </c>
      <c r="G393" s="64">
        <f t="shared" si="105"/>
        <v>40018</v>
      </c>
      <c r="H393" s="64">
        <f t="shared" si="106"/>
        <v>40018</v>
      </c>
      <c r="I393" s="70" t="s">
        <v>1156</v>
      </c>
      <c r="J393" s="62" t="s">
        <v>1164</v>
      </c>
      <c r="K393" s="8" t="s">
        <v>1389</v>
      </c>
      <c r="L393" s="10">
        <v>46283</v>
      </c>
      <c r="M393" s="62">
        <v>1</v>
      </c>
      <c r="N393" s="8">
        <v>1</v>
      </c>
      <c r="O393" s="62">
        <f t="shared" si="107"/>
        <v>0</v>
      </c>
      <c r="P393" s="70">
        <v>58</v>
      </c>
      <c r="Q393" s="71">
        <v>46122</v>
      </c>
      <c r="R393" s="6">
        <v>46123</v>
      </c>
      <c r="S393" s="64">
        <v>50557.5</v>
      </c>
      <c r="T393" s="22">
        <v>5</v>
      </c>
      <c r="U393" s="64">
        <f t="shared" si="108"/>
        <v>2527.875</v>
      </c>
      <c r="V393" s="22">
        <v>0</v>
      </c>
      <c r="W393" s="22">
        <v>413272</v>
      </c>
      <c r="X393" s="62" t="s">
        <v>1150</v>
      </c>
      <c r="Y393" s="62">
        <v>58164183943</v>
      </c>
      <c r="Z393" s="62" t="s">
        <v>1112</v>
      </c>
      <c r="AA393" s="65">
        <v>4</v>
      </c>
      <c r="AB393" s="66"/>
      <c r="AC393" s="1" t="s">
        <v>47</v>
      </c>
      <c r="AD393" s="62" t="str">
        <f>VLOOKUP(X393,'Customer List'!B:C,2,)</f>
        <v>JAIPUR</v>
      </c>
      <c r="AE393" s="67"/>
      <c r="AF393" s="6">
        <v>46125</v>
      </c>
      <c r="AG393" s="62">
        <f t="shared" si="109"/>
        <v>2</v>
      </c>
      <c r="AH393" s="62" t="str">
        <f t="shared" si="110"/>
        <v>Tuesday</v>
      </c>
      <c r="AI393" s="62" t="str">
        <f t="shared" si="113"/>
        <v>Monday</v>
      </c>
      <c r="AJ393" s="62" t="str">
        <f>VLOOKUP(AC393,'Currency Sheet'!A:C,3,)</f>
        <v>DOLLAR</v>
      </c>
      <c r="AK393" s="62" t="str">
        <f>VLOOKUP(X393,'Customer List'!B:D,3,)</f>
        <v>OutStation</v>
      </c>
    </row>
    <row r="394" spans="1:37" hidden="1" x14ac:dyDescent="0.25">
      <c r="A394" s="62">
        <f t="shared" si="114"/>
        <v>380</v>
      </c>
      <c r="B394" s="62" t="s">
        <v>47</v>
      </c>
      <c r="C394" s="62">
        <v>926124</v>
      </c>
      <c r="D394" s="6">
        <v>46115</v>
      </c>
      <c r="E394" s="6">
        <v>46121</v>
      </c>
      <c r="F394" s="63">
        <v>590.75</v>
      </c>
      <c r="G394" s="64">
        <f t="shared" ref="G394:G457" si="115">IF(AJ394="DOLLAR",F394*88,F394)</f>
        <v>51986</v>
      </c>
      <c r="H394" s="64">
        <f t="shared" ref="H394:H457" si="116">G394*M394</f>
        <v>51986</v>
      </c>
      <c r="I394" s="70" t="s">
        <v>1157</v>
      </c>
      <c r="J394" s="62" t="s">
        <v>1165</v>
      </c>
      <c r="K394" s="8">
        <v>34442530</v>
      </c>
      <c r="L394" s="10">
        <v>46446</v>
      </c>
      <c r="M394" s="62">
        <v>1</v>
      </c>
      <c r="N394" s="8">
        <v>1</v>
      </c>
      <c r="O394" s="62">
        <f t="shared" ref="O394:O457" si="117">M394-N394</f>
        <v>0</v>
      </c>
      <c r="P394" s="70" t="s">
        <v>1451</v>
      </c>
      <c r="Q394" s="71">
        <v>46125</v>
      </c>
      <c r="R394" s="6">
        <v>46125</v>
      </c>
      <c r="S394" s="64">
        <v>44887.5</v>
      </c>
      <c r="T394" s="22">
        <v>5</v>
      </c>
      <c r="U394" s="64">
        <f t="shared" ref="U394:U457" si="118">S394*T394%</f>
        <v>2244.375</v>
      </c>
      <c r="V394" s="22">
        <v>0.12</v>
      </c>
      <c r="W394" s="22">
        <v>47132</v>
      </c>
      <c r="X394" s="62" t="s">
        <v>792</v>
      </c>
      <c r="Y394" s="62" t="s">
        <v>1120</v>
      </c>
      <c r="Z394" s="62" t="s">
        <v>821</v>
      </c>
      <c r="AA394" s="65">
        <v>4</v>
      </c>
      <c r="AB394" s="66"/>
      <c r="AC394" s="1" t="s">
        <v>47</v>
      </c>
      <c r="AD394" s="62" t="str">
        <f>VLOOKUP(X394,'Customer List'!B:C,2,)</f>
        <v>Delhi</v>
      </c>
      <c r="AE394" s="67"/>
      <c r="AF394" s="6"/>
      <c r="AG394" s="62" t="str">
        <f t="shared" ref="AG394:AG457" si="119">IF(AF394="", "", AF394-R394)</f>
        <v/>
      </c>
      <c r="AH394" s="62" t="str">
        <f t="shared" ref="AH394:AH457" si="120">IF(S394="", "", TEXT(S394, "dddd"))</f>
        <v>Tuesday</v>
      </c>
      <c r="AI394" s="62" t="str">
        <f t="shared" si="113"/>
        <v/>
      </c>
      <c r="AJ394" s="62" t="str">
        <f>VLOOKUP(AC394,'Currency Sheet'!A:C,3,)</f>
        <v>DOLLAR</v>
      </c>
      <c r="AK394" s="62" t="str">
        <f>VLOOKUP(X394,'Customer List'!B:D,3,)</f>
        <v>Local</v>
      </c>
    </row>
    <row r="395" spans="1:37" hidden="1" x14ac:dyDescent="0.25">
      <c r="A395" s="62">
        <f t="shared" si="114"/>
        <v>381</v>
      </c>
      <c r="B395" s="62" t="s">
        <v>47</v>
      </c>
      <c r="C395" s="62">
        <v>926124</v>
      </c>
      <c r="D395" s="6">
        <v>46115</v>
      </c>
      <c r="E395" s="6">
        <v>46121</v>
      </c>
      <c r="F395" s="63">
        <v>403.75</v>
      </c>
      <c r="G395" s="64">
        <f t="shared" si="115"/>
        <v>35530</v>
      </c>
      <c r="H395" s="64">
        <f t="shared" si="116"/>
        <v>35530</v>
      </c>
      <c r="I395" s="70" t="s">
        <v>1158</v>
      </c>
      <c r="J395" s="62" t="s">
        <v>1166</v>
      </c>
      <c r="K395" s="8" t="s">
        <v>1170</v>
      </c>
      <c r="L395" s="10">
        <v>46465</v>
      </c>
      <c r="M395" s="62">
        <v>1</v>
      </c>
      <c r="N395" s="8">
        <v>1</v>
      </c>
      <c r="O395" s="62">
        <f t="shared" si="117"/>
        <v>0</v>
      </c>
      <c r="P395" s="70">
        <v>58</v>
      </c>
      <c r="Q395" s="71">
        <v>46122</v>
      </c>
      <c r="R395" s="6">
        <v>46123</v>
      </c>
      <c r="S395" s="64">
        <v>65677.5</v>
      </c>
      <c r="T395" s="22">
        <v>5</v>
      </c>
      <c r="U395" s="64">
        <f t="shared" si="118"/>
        <v>3283.875</v>
      </c>
      <c r="V395" s="22">
        <v>0</v>
      </c>
      <c r="W395" s="22">
        <v>413272</v>
      </c>
      <c r="X395" s="62" t="s">
        <v>1150</v>
      </c>
      <c r="Y395" s="62">
        <v>58164183943</v>
      </c>
      <c r="Z395" s="62" t="s">
        <v>1112</v>
      </c>
      <c r="AA395" s="65">
        <v>4</v>
      </c>
      <c r="AB395" s="66"/>
      <c r="AC395" s="1" t="s">
        <v>47</v>
      </c>
      <c r="AD395" s="62" t="str">
        <f>VLOOKUP(X395,'Customer List'!B:C,2,)</f>
        <v>JAIPUR</v>
      </c>
      <c r="AE395" s="67"/>
      <c r="AF395" s="6">
        <v>46125</v>
      </c>
      <c r="AG395" s="62">
        <f t="shared" si="119"/>
        <v>2</v>
      </c>
      <c r="AH395" s="62" t="str">
        <f t="shared" si="120"/>
        <v>Tuesday</v>
      </c>
      <c r="AI395" s="62" t="str">
        <f t="shared" si="113"/>
        <v>Monday</v>
      </c>
      <c r="AJ395" s="62" t="str">
        <f>VLOOKUP(AC395,'Currency Sheet'!A:C,3,)</f>
        <v>DOLLAR</v>
      </c>
      <c r="AK395" s="62" t="str">
        <f>VLOOKUP(X395,'Customer List'!B:D,3,)</f>
        <v>OutStation</v>
      </c>
    </row>
    <row r="396" spans="1:37" hidden="1" x14ac:dyDescent="0.25">
      <c r="A396" s="62">
        <f t="shared" si="114"/>
        <v>382</v>
      </c>
      <c r="B396" s="62" t="s">
        <v>824</v>
      </c>
      <c r="C396" s="62" t="s">
        <v>1172</v>
      </c>
      <c r="D396" s="6">
        <v>46115</v>
      </c>
      <c r="E396" s="6">
        <v>46121</v>
      </c>
      <c r="F396" s="63">
        <v>132</v>
      </c>
      <c r="G396" s="64">
        <f t="shared" si="115"/>
        <v>11616</v>
      </c>
      <c r="H396" s="64">
        <f t="shared" si="116"/>
        <v>11616</v>
      </c>
      <c r="I396" s="70">
        <v>100233</v>
      </c>
      <c r="J396" s="62" t="s">
        <v>759</v>
      </c>
      <c r="K396" s="8" t="s">
        <v>1173</v>
      </c>
      <c r="L396" s="10" t="s">
        <v>1290</v>
      </c>
      <c r="M396" s="62">
        <v>1</v>
      </c>
      <c r="N396" s="8">
        <v>1</v>
      </c>
      <c r="O396" s="62">
        <f t="shared" si="117"/>
        <v>0</v>
      </c>
      <c r="P396" s="70">
        <v>93</v>
      </c>
      <c r="Q396" s="71">
        <v>46128</v>
      </c>
      <c r="R396" s="6">
        <v>46128</v>
      </c>
      <c r="S396" s="64">
        <v>14784</v>
      </c>
      <c r="T396" s="22">
        <v>5</v>
      </c>
      <c r="U396" s="64">
        <f t="shared" si="118"/>
        <v>739.2</v>
      </c>
      <c r="V396" s="22">
        <v>0.4</v>
      </c>
      <c r="W396" s="22">
        <v>852718</v>
      </c>
      <c r="X396" s="62" t="s">
        <v>793</v>
      </c>
      <c r="Y396" s="62" t="s">
        <v>1120</v>
      </c>
      <c r="Z396" s="62" t="s">
        <v>1863</v>
      </c>
      <c r="AA396" s="65">
        <v>4</v>
      </c>
      <c r="AB396" s="66"/>
      <c r="AC396" s="1" t="s">
        <v>13</v>
      </c>
      <c r="AD396" s="62" t="str">
        <f>VLOOKUP(X396,'Customer List'!B:C,2,)</f>
        <v>Delhi</v>
      </c>
      <c r="AE396" s="67"/>
      <c r="AF396" s="6"/>
      <c r="AG396" s="62" t="str">
        <f t="shared" si="119"/>
        <v/>
      </c>
      <c r="AH396" s="62" t="str">
        <f t="shared" si="120"/>
        <v>Saturday</v>
      </c>
      <c r="AI396" s="62" t="str">
        <f t="shared" si="113"/>
        <v/>
      </c>
      <c r="AJ396" s="62" t="str">
        <f>VLOOKUP(AC396,'Currency Sheet'!A:C,3,)</f>
        <v>DOLLAR</v>
      </c>
      <c r="AK396" s="62" t="str">
        <f>VLOOKUP(X396,'Customer List'!B:D,3,)</f>
        <v>Local</v>
      </c>
    </row>
    <row r="397" spans="1:37" hidden="1" x14ac:dyDescent="0.25">
      <c r="A397" s="62">
        <f t="shared" si="114"/>
        <v>383</v>
      </c>
      <c r="B397" s="62" t="s">
        <v>824</v>
      </c>
      <c r="C397" s="62" t="s">
        <v>1172</v>
      </c>
      <c r="D397" s="6">
        <v>46115</v>
      </c>
      <c r="E397" s="6">
        <v>46121</v>
      </c>
      <c r="F397" s="63">
        <v>138.6</v>
      </c>
      <c r="G397" s="64">
        <f t="shared" si="115"/>
        <v>12196.8</v>
      </c>
      <c r="H397" s="64">
        <f t="shared" si="116"/>
        <v>12196.8</v>
      </c>
      <c r="I397" s="70">
        <v>100320</v>
      </c>
      <c r="J397" s="62" t="s">
        <v>1174</v>
      </c>
      <c r="K397" s="8" t="s">
        <v>1175</v>
      </c>
      <c r="L397" s="10" t="s">
        <v>1291</v>
      </c>
      <c r="M397" s="62">
        <v>1</v>
      </c>
      <c r="N397" s="8">
        <v>1</v>
      </c>
      <c r="O397" s="62">
        <f t="shared" si="117"/>
        <v>0</v>
      </c>
      <c r="P397" s="70">
        <v>93</v>
      </c>
      <c r="Q397" s="71">
        <v>46128</v>
      </c>
      <c r="R397" s="6">
        <v>46128</v>
      </c>
      <c r="S397" s="64">
        <v>16632</v>
      </c>
      <c r="T397" s="22">
        <v>5</v>
      </c>
      <c r="U397" s="64">
        <f t="shared" si="118"/>
        <v>831.6</v>
      </c>
      <c r="V397" s="22">
        <v>0</v>
      </c>
      <c r="W397" s="22">
        <v>852718</v>
      </c>
      <c r="X397" s="62" t="s">
        <v>793</v>
      </c>
      <c r="Y397" s="62" t="s">
        <v>1120</v>
      </c>
      <c r="Z397" s="62" t="s">
        <v>1863</v>
      </c>
      <c r="AA397" s="65">
        <v>4</v>
      </c>
      <c r="AB397" s="66"/>
      <c r="AC397" s="1" t="s">
        <v>13</v>
      </c>
      <c r="AD397" s="62" t="str">
        <f>VLOOKUP(X397,'Customer List'!B:C,2,)</f>
        <v>Delhi</v>
      </c>
      <c r="AE397" s="67"/>
      <c r="AF397" s="6"/>
      <c r="AG397" s="62" t="str">
        <f t="shared" si="119"/>
        <v/>
      </c>
      <c r="AH397" s="62" t="str">
        <f t="shared" si="120"/>
        <v>Saturday</v>
      </c>
      <c r="AI397" s="62" t="str">
        <f t="shared" si="113"/>
        <v/>
      </c>
      <c r="AJ397" s="62" t="str">
        <f>VLOOKUP(AC397,'Currency Sheet'!A:C,3,)</f>
        <v>DOLLAR</v>
      </c>
      <c r="AK397" s="62" t="str">
        <f>VLOOKUP(X397,'Customer List'!B:D,3,)</f>
        <v>Local</v>
      </c>
    </row>
    <row r="398" spans="1:37" hidden="1" x14ac:dyDescent="0.25">
      <c r="A398" s="62">
        <f t="shared" si="114"/>
        <v>384</v>
      </c>
      <c r="B398" s="62" t="s">
        <v>824</v>
      </c>
      <c r="C398" s="62" t="s">
        <v>1172</v>
      </c>
      <c r="D398" s="6">
        <v>46115</v>
      </c>
      <c r="E398" s="6">
        <v>46121</v>
      </c>
      <c r="F398" s="63">
        <v>156.75</v>
      </c>
      <c r="G398" s="64">
        <f t="shared" si="115"/>
        <v>13794</v>
      </c>
      <c r="H398" s="64">
        <f t="shared" si="116"/>
        <v>13794</v>
      </c>
      <c r="I398" s="70">
        <v>100547</v>
      </c>
      <c r="J398" s="62" t="s">
        <v>911</v>
      </c>
      <c r="K398" s="8" t="s">
        <v>1176</v>
      </c>
      <c r="L398" s="10" t="s">
        <v>1292</v>
      </c>
      <c r="M398" s="62">
        <v>1</v>
      </c>
      <c r="N398" s="8">
        <v>1</v>
      </c>
      <c r="O398" s="62">
        <f t="shared" si="117"/>
        <v>0</v>
      </c>
      <c r="P398" s="70">
        <v>93</v>
      </c>
      <c r="Q398" s="71">
        <v>46128</v>
      </c>
      <c r="R398" s="6">
        <v>46128</v>
      </c>
      <c r="S398" s="64">
        <v>17556</v>
      </c>
      <c r="T398" s="22">
        <v>5</v>
      </c>
      <c r="U398" s="64">
        <f t="shared" si="118"/>
        <v>877.80000000000007</v>
      </c>
      <c r="V398" s="22">
        <v>0</v>
      </c>
      <c r="W398" s="22">
        <v>852718</v>
      </c>
      <c r="X398" s="62" t="s">
        <v>793</v>
      </c>
      <c r="Y398" s="62" t="s">
        <v>1120</v>
      </c>
      <c r="Z398" s="62" t="s">
        <v>1863</v>
      </c>
      <c r="AA398" s="65">
        <v>4</v>
      </c>
      <c r="AB398" s="66"/>
      <c r="AC398" s="1" t="s">
        <v>13</v>
      </c>
      <c r="AD398" s="62" t="str">
        <f>VLOOKUP(X398,'Customer List'!B:C,2,)</f>
        <v>Delhi</v>
      </c>
      <c r="AE398" s="67"/>
      <c r="AF398" s="6"/>
      <c r="AG398" s="62" t="str">
        <f t="shared" si="119"/>
        <v/>
      </c>
      <c r="AH398" s="62" t="str">
        <f t="shared" si="120"/>
        <v>Saturday</v>
      </c>
      <c r="AI398" s="62" t="str">
        <f t="shared" si="113"/>
        <v/>
      </c>
      <c r="AJ398" s="62" t="str">
        <f>VLOOKUP(AC398,'Currency Sheet'!A:C,3,)</f>
        <v>DOLLAR</v>
      </c>
      <c r="AK398" s="62" t="str">
        <f>VLOOKUP(X398,'Customer List'!B:D,3,)</f>
        <v>Local</v>
      </c>
    </row>
    <row r="399" spans="1:37" hidden="1" x14ac:dyDescent="0.25">
      <c r="A399" s="62">
        <f t="shared" si="114"/>
        <v>385</v>
      </c>
      <c r="B399" s="62" t="s">
        <v>824</v>
      </c>
      <c r="C399" s="62" t="s">
        <v>1172</v>
      </c>
      <c r="D399" s="6">
        <v>46115</v>
      </c>
      <c r="E399" s="6">
        <v>46121</v>
      </c>
      <c r="F399" s="63">
        <v>50.4</v>
      </c>
      <c r="G399" s="64">
        <f t="shared" si="115"/>
        <v>4435.2</v>
      </c>
      <c r="H399" s="64">
        <f t="shared" si="116"/>
        <v>4435.2</v>
      </c>
      <c r="I399" s="70">
        <v>100723</v>
      </c>
      <c r="J399" s="62" t="s">
        <v>915</v>
      </c>
      <c r="K399" s="8" t="s">
        <v>1177</v>
      </c>
      <c r="L399" s="10" t="s">
        <v>1293</v>
      </c>
      <c r="M399" s="62">
        <v>1</v>
      </c>
      <c r="N399" s="8">
        <v>1</v>
      </c>
      <c r="O399" s="62">
        <f t="shared" si="117"/>
        <v>0</v>
      </c>
      <c r="P399" s="70">
        <v>93</v>
      </c>
      <c r="Q399" s="71">
        <v>46128</v>
      </c>
      <c r="R399" s="6">
        <v>46128</v>
      </c>
      <c r="S399" s="64">
        <v>6048</v>
      </c>
      <c r="T399" s="22">
        <v>5</v>
      </c>
      <c r="U399" s="64">
        <f t="shared" si="118"/>
        <v>302.40000000000003</v>
      </c>
      <c r="V399" s="22">
        <v>0</v>
      </c>
      <c r="W399" s="22">
        <v>852718</v>
      </c>
      <c r="X399" s="62" t="s">
        <v>793</v>
      </c>
      <c r="Y399" s="62" t="s">
        <v>1120</v>
      </c>
      <c r="Z399" s="62" t="s">
        <v>1863</v>
      </c>
      <c r="AA399" s="65">
        <v>4</v>
      </c>
      <c r="AB399" s="66"/>
      <c r="AC399" s="1" t="s">
        <v>13</v>
      </c>
      <c r="AD399" s="62" t="str">
        <f>VLOOKUP(X399,'Customer List'!B:C,2,)</f>
        <v>Delhi</v>
      </c>
      <c r="AE399" s="67"/>
      <c r="AF399" s="6"/>
      <c r="AG399" s="62" t="str">
        <f t="shared" si="119"/>
        <v/>
      </c>
      <c r="AH399" s="62" t="str">
        <f t="shared" si="120"/>
        <v>Saturday</v>
      </c>
      <c r="AI399" s="62" t="str">
        <f t="shared" si="113"/>
        <v/>
      </c>
      <c r="AJ399" s="62" t="str">
        <f>VLOOKUP(AC399,'Currency Sheet'!A:C,3,)</f>
        <v>DOLLAR</v>
      </c>
      <c r="AK399" s="62" t="str">
        <f>VLOOKUP(X399,'Customer List'!B:D,3,)</f>
        <v>Local</v>
      </c>
    </row>
    <row r="400" spans="1:37" hidden="1" x14ac:dyDescent="0.25">
      <c r="A400" s="62">
        <f t="shared" si="114"/>
        <v>386</v>
      </c>
      <c r="B400" s="62" t="s">
        <v>824</v>
      </c>
      <c r="C400" s="62" t="s">
        <v>1172</v>
      </c>
      <c r="D400" s="6">
        <v>46115</v>
      </c>
      <c r="E400" s="6">
        <v>46121</v>
      </c>
      <c r="F400" s="63">
        <v>192.75</v>
      </c>
      <c r="G400" s="64">
        <f t="shared" si="115"/>
        <v>16962</v>
      </c>
      <c r="H400" s="64">
        <f t="shared" si="116"/>
        <v>16962</v>
      </c>
      <c r="I400" s="70">
        <v>101263</v>
      </c>
      <c r="J400" s="62" t="s">
        <v>917</v>
      </c>
      <c r="K400" s="8" t="s">
        <v>1178</v>
      </c>
      <c r="L400" s="10" t="s">
        <v>1294</v>
      </c>
      <c r="M400" s="62">
        <v>1</v>
      </c>
      <c r="N400" s="8">
        <v>1</v>
      </c>
      <c r="O400" s="62">
        <f t="shared" si="117"/>
        <v>0</v>
      </c>
      <c r="P400" s="70">
        <v>93</v>
      </c>
      <c r="Q400" s="71">
        <v>46128</v>
      </c>
      <c r="R400" s="6">
        <v>46128</v>
      </c>
      <c r="S400" s="64">
        <v>21588</v>
      </c>
      <c r="T400" s="22">
        <v>5</v>
      </c>
      <c r="U400" s="64">
        <f t="shared" si="118"/>
        <v>1079.4000000000001</v>
      </c>
      <c r="V400" s="22">
        <v>0</v>
      </c>
      <c r="W400" s="22">
        <v>852718</v>
      </c>
      <c r="X400" s="62" t="s">
        <v>793</v>
      </c>
      <c r="Y400" s="62" t="s">
        <v>1120</v>
      </c>
      <c r="Z400" s="62" t="s">
        <v>1863</v>
      </c>
      <c r="AA400" s="65">
        <v>4</v>
      </c>
      <c r="AB400" s="66"/>
      <c r="AC400" s="1" t="s">
        <v>13</v>
      </c>
      <c r="AD400" s="62" t="str">
        <f>VLOOKUP(X400,'Customer List'!B:C,2,)</f>
        <v>Delhi</v>
      </c>
      <c r="AE400" s="67"/>
      <c r="AF400" s="6"/>
      <c r="AG400" s="62" t="str">
        <f t="shared" si="119"/>
        <v/>
      </c>
      <c r="AH400" s="62" t="str">
        <f t="shared" si="120"/>
        <v>Saturday</v>
      </c>
      <c r="AI400" s="62" t="str">
        <f t="shared" si="113"/>
        <v/>
      </c>
      <c r="AJ400" s="62" t="str">
        <f>VLOOKUP(AC400,'Currency Sheet'!A:C,3,)</f>
        <v>DOLLAR</v>
      </c>
      <c r="AK400" s="62" t="str">
        <f>VLOOKUP(X400,'Customer List'!B:D,3,)</f>
        <v>Local</v>
      </c>
    </row>
    <row r="401" spans="1:37" hidden="1" x14ac:dyDescent="0.25">
      <c r="A401" s="62">
        <f t="shared" si="114"/>
        <v>387</v>
      </c>
      <c r="B401" s="62" t="s">
        <v>824</v>
      </c>
      <c r="C401" s="62" t="s">
        <v>1172</v>
      </c>
      <c r="D401" s="6">
        <v>46115</v>
      </c>
      <c r="E401" s="6">
        <v>46121</v>
      </c>
      <c r="F401" s="63">
        <v>242.9</v>
      </c>
      <c r="G401" s="64">
        <f t="shared" si="115"/>
        <v>21375.200000000001</v>
      </c>
      <c r="H401" s="64">
        <f t="shared" si="116"/>
        <v>21375.200000000001</v>
      </c>
      <c r="I401" s="70">
        <v>101324</v>
      </c>
      <c r="J401" s="62" t="s">
        <v>1179</v>
      </c>
      <c r="K401" s="8" t="s">
        <v>1180</v>
      </c>
      <c r="L401" s="10" t="s">
        <v>1295</v>
      </c>
      <c r="M401" s="62">
        <v>1</v>
      </c>
      <c r="N401" s="8">
        <v>1</v>
      </c>
      <c r="O401" s="62">
        <f t="shared" si="117"/>
        <v>0</v>
      </c>
      <c r="P401" s="70">
        <v>93</v>
      </c>
      <c r="Q401" s="71">
        <v>46128</v>
      </c>
      <c r="R401" s="6">
        <v>46128</v>
      </c>
      <c r="S401" s="64">
        <v>29148</v>
      </c>
      <c r="T401" s="22">
        <v>5</v>
      </c>
      <c r="U401" s="64">
        <f t="shared" si="118"/>
        <v>1457.4</v>
      </c>
      <c r="V401" s="22">
        <v>0</v>
      </c>
      <c r="W401" s="22">
        <v>852718</v>
      </c>
      <c r="X401" s="62" t="s">
        <v>793</v>
      </c>
      <c r="Y401" s="62" t="s">
        <v>1120</v>
      </c>
      <c r="Z401" s="62" t="s">
        <v>1863</v>
      </c>
      <c r="AA401" s="65">
        <v>4</v>
      </c>
      <c r="AB401" s="66"/>
      <c r="AC401" s="1" t="s">
        <v>13</v>
      </c>
      <c r="AD401" s="62" t="str">
        <f>VLOOKUP(X401,'Customer List'!B:C,2,)</f>
        <v>Delhi</v>
      </c>
      <c r="AE401" s="67"/>
      <c r="AF401" s="6"/>
      <c r="AG401" s="62" t="str">
        <f t="shared" si="119"/>
        <v/>
      </c>
      <c r="AH401" s="62" t="str">
        <f t="shared" si="120"/>
        <v>Saturday</v>
      </c>
      <c r="AI401" s="62" t="str">
        <f t="shared" si="113"/>
        <v/>
      </c>
      <c r="AJ401" s="62" t="str">
        <f>VLOOKUP(AC401,'Currency Sheet'!A:C,3,)</f>
        <v>DOLLAR</v>
      </c>
      <c r="AK401" s="62" t="str">
        <f>VLOOKUP(X401,'Customer List'!B:D,3,)</f>
        <v>Local</v>
      </c>
    </row>
    <row r="402" spans="1:37" hidden="1" x14ac:dyDescent="0.25">
      <c r="A402" s="62">
        <f t="shared" si="114"/>
        <v>388</v>
      </c>
      <c r="B402" s="62" t="s">
        <v>824</v>
      </c>
      <c r="C402" s="62" t="s">
        <v>1172</v>
      </c>
      <c r="D402" s="6">
        <v>46115</v>
      </c>
      <c r="E402" s="6">
        <v>46121</v>
      </c>
      <c r="F402" s="63">
        <v>219.8</v>
      </c>
      <c r="G402" s="64">
        <f t="shared" si="115"/>
        <v>19342.400000000001</v>
      </c>
      <c r="H402" s="64">
        <f t="shared" si="116"/>
        <v>19342.400000000001</v>
      </c>
      <c r="I402" s="70">
        <v>102612</v>
      </c>
      <c r="J402" s="62" t="s">
        <v>1181</v>
      </c>
      <c r="K402" s="8" t="s">
        <v>1182</v>
      </c>
      <c r="L402" s="10" t="s">
        <v>1296</v>
      </c>
      <c r="M402" s="62">
        <v>1</v>
      </c>
      <c r="N402" s="8">
        <v>1</v>
      </c>
      <c r="O402" s="62">
        <f t="shared" si="117"/>
        <v>0</v>
      </c>
      <c r="P402" s="70">
        <v>59</v>
      </c>
      <c r="Q402" s="71">
        <v>46122</v>
      </c>
      <c r="R402" s="6">
        <v>46123</v>
      </c>
      <c r="S402" s="64">
        <v>32028</v>
      </c>
      <c r="T402" s="22">
        <v>5</v>
      </c>
      <c r="U402" s="64">
        <f t="shared" si="118"/>
        <v>1601.4</v>
      </c>
      <c r="V402" s="22">
        <v>0.5</v>
      </c>
      <c r="W402" s="22">
        <v>152618</v>
      </c>
      <c r="X402" s="62" t="s">
        <v>902</v>
      </c>
      <c r="Y402" s="62">
        <v>58164183140</v>
      </c>
      <c r="Z402" s="62" t="s">
        <v>1112</v>
      </c>
      <c r="AA402" s="65">
        <v>4</v>
      </c>
      <c r="AB402" s="66"/>
      <c r="AC402" s="1" t="s">
        <v>13</v>
      </c>
      <c r="AD402" s="62" t="str">
        <f>VLOOKUP(X402,'Customer List'!B:C,2,)</f>
        <v>Hyderabad</v>
      </c>
      <c r="AE402" s="67"/>
      <c r="AF402" s="6">
        <v>46125</v>
      </c>
      <c r="AG402" s="62">
        <f t="shared" si="119"/>
        <v>2</v>
      </c>
      <c r="AH402" s="62" t="str">
        <f t="shared" si="120"/>
        <v>Tuesday</v>
      </c>
      <c r="AI402" s="62" t="str">
        <f t="shared" si="113"/>
        <v>Monday</v>
      </c>
      <c r="AJ402" s="62" t="str">
        <f>VLOOKUP(AC402,'Currency Sheet'!A:C,3,)</f>
        <v>DOLLAR</v>
      </c>
      <c r="AK402" s="62" t="str">
        <f>VLOOKUP(X402,'Customer List'!B:D,3,)</f>
        <v>OutStation</v>
      </c>
    </row>
    <row r="403" spans="1:37" hidden="1" x14ac:dyDescent="0.25">
      <c r="A403" s="62">
        <f t="shared" si="114"/>
        <v>389</v>
      </c>
      <c r="B403" s="62" t="s">
        <v>824</v>
      </c>
      <c r="C403" s="62" t="s">
        <v>1172</v>
      </c>
      <c r="D403" s="6">
        <v>46115</v>
      </c>
      <c r="E403" s="6">
        <v>46121</v>
      </c>
      <c r="F403" s="63">
        <v>138.6</v>
      </c>
      <c r="G403" s="64">
        <f t="shared" si="115"/>
        <v>12196.8</v>
      </c>
      <c r="H403" s="64">
        <f t="shared" si="116"/>
        <v>12196.8</v>
      </c>
      <c r="I403" s="70">
        <v>103222</v>
      </c>
      <c r="J403" s="62" t="s">
        <v>1183</v>
      </c>
      <c r="K403" s="8" t="s">
        <v>1184</v>
      </c>
      <c r="L403" s="10" t="s">
        <v>1297</v>
      </c>
      <c r="M403" s="62">
        <v>1</v>
      </c>
      <c r="N403" s="8">
        <v>1</v>
      </c>
      <c r="O403" s="62">
        <f t="shared" si="117"/>
        <v>0</v>
      </c>
      <c r="P403" s="70">
        <v>93</v>
      </c>
      <c r="Q403" s="71">
        <v>46128</v>
      </c>
      <c r="R403" s="6">
        <v>46128</v>
      </c>
      <c r="S403" s="64">
        <v>16632</v>
      </c>
      <c r="T403" s="22">
        <v>5</v>
      </c>
      <c r="U403" s="64">
        <f t="shared" si="118"/>
        <v>831.6</v>
      </c>
      <c r="V403" s="22">
        <v>0</v>
      </c>
      <c r="W403" s="22">
        <v>852718</v>
      </c>
      <c r="X403" s="62" t="s">
        <v>793</v>
      </c>
      <c r="Y403" s="62" t="s">
        <v>1120</v>
      </c>
      <c r="Z403" s="62" t="s">
        <v>1863</v>
      </c>
      <c r="AA403" s="65">
        <v>4</v>
      </c>
      <c r="AB403" s="66"/>
      <c r="AC403" s="1" t="s">
        <v>13</v>
      </c>
      <c r="AD403" s="62" t="str">
        <f>VLOOKUP(X403,'Customer List'!B:C,2,)</f>
        <v>Delhi</v>
      </c>
      <c r="AE403" s="67"/>
      <c r="AF403" s="6"/>
      <c r="AG403" s="62" t="str">
        <f t="shared" si="119"/>
        <v/>
      </c>
      <c r="AH403" s="62" t="str">
        <f t="shared" si="120"/>
        <v>Saturday</v>
      </c>
      <c r="AI403" s="62" t="str">
        <f t="shared" si="113"/>
        <v/>
      </c>
      <c r="AJ403" s="62" t="str">
        <f>VLOOKUP(AC403,'Currency Sheet'!A:C,3,)</f>
        <v>DOLLAR</v>
      </c>
      <c r="AK403" s="62" t="str">
        <f>VLOOKUP(X403,'Customer List'!B:D,3,)</f>
        <v>Local</v>
      </c>
    </row>
    <row r="404" spans="1:37" hidden="1" x14ac:dyDescent="0.25">
      <c r="A404" s="62">
        <f t="shared" si="114"/>
        <v>390</v>
      </c>
      <c r="B404" s="62" t="s">
        <v>824</v>
      </c>
      <c r="C404" s="62" t="s">
        <v>1172</v>
      </c>
      <c r="D404" s="6">
        <v>46115</v>
      </c>
      <c r="E404" s="6">
        <v>46121</v>
      </c>
      <c r="F404" s="63">
        <v>196.5</v>
      </c>
      <c r="G404" s="64">
        <f t="shared" si="115"/>
        <v>17292</v>
      </c>
      <c r="H404" s="64">
        <f t="shared" si="116"/>
        <v>17292</v>
      </c>
      <c r="I404" s="70">
        <v>103443</v>
      </c>
      <c r="J404" s="62" t="s">
        <v>1185</v>
      </c>
      <c r="K404" s="8" t="s">
        <v>1186</v>
      </c>
      <c r="L404" s="10" t="s">
        <v>1298</v>
      </c>
      <c r="M404" s="62">
        <v>1</v>
      </c>
      <c r="N404" s="8">
        <v>1</v>
      </c>
      <c r="O404" s="62">
        <f t="shared" si="117"/>
        <v>0</v>
      </c>
      <c r="P404" s="70">
        <v>93</v>
      </c>
      <c r="Q404" s="71">
        <v>46128</v>
      </c>
      <c r="R404" s="6">
        <v>46128</v>
      </c>
      <c r="S404" s="64">
        <v>22008</v>
      </c>
      <c r="T404" s="22">
        <v>5</v>
      </c>
      <c r="U404" s="64">
        <f t="shared" si="118"/>
        <v>1100.4000000000001</v>
      </c>
      <c r="V404" s="22">
        <v>0</v>
      </c>
      <c r="W404" s="22">
        <v>852718</v>
      </c>
      <c r="X404" s="62" t="s">
        <v>793</v>
      </c>
      <c r="Y404" s="62" t="s">
        <v>1120</v>
      </c>
      <c r="Z404" s="62" t="s">
        <v>1863</v>
      </c>
      <c r="AA404" s="65">
        <v>4</v>
      </c>
      <c r="AB404" s="66"/>
      <c r="AC404" s="1" t="s">
        <v>13</v>
      </c>
      <c r="AD404" s="62" t="str">
        <f>VLOOKUP(X404,'Customer List'!B:C,2,)</f>
        <v>Delhi</v>
      </c>
      <c r="AE404" s="67"/>
      <c r="AF404" s="6"/>
      <c r="AG404" s="62" t="str">
        <f t="shared" si="119"/>
        <v/>
      </c>
      <c r="AH404" s="62" t="str">
        <f t="shared" si="120"/>
        <v>Saturday</v>
      </c>
      <c r="AI404" s="62" t="str">
        <f t="shared" si="113"/>
        <v/>
      </c>
      <c r="AJ404" s="62" t="str">
        <f>VLOOKUP(AC404,'Currency Sheet'!A:C,3,)</f>
        <v>DOLLAR</v>
      </c>
      <c r="AK404" s="62" t="str">
        <f>VLOOKUP(X404,'Customer List'!B:D,3,)</f>
        <v>Local</v>
      </c>
    </row>
    <row r="405" spans="1:37" hidden="1" x14ac:dyDescent="0.25">
      <c r="A405" s="62">
        <f t="shared" si="114"/>
        <v>391</v>
      </c>
      <c r="B405" s="62" t="s">
        <v>824</v>
      </c>
      <c r="C405" s="62" t="s">
        <v>1172</v>
      </c>
      <c r="D405" s="6">
        <v>46115</v>
      </c>
      <c r="E405" s="6">
        <v>46121</v>
      </c>
      <c r="F405" s="63">
        <v>204.75</v>
      </c>
      <c r="G405" s="64">
        <f t="shared" si="115"/>
        <v>18018</v>
      </c>
      <c r="H405" s="64">
        <f t="shared" si="116"/>
        <v>18018</v>
      </c>
      <c r="I405" s="70">
        <v>104438</v>
      </c>
      <c r="J405" s="62" t="s">
        <v>1187</v>
      </c>
      <c r="K405" s="8" t="s">
        <v>1188</v>
      </c>
      <c r="L405" s="10" t="s">
        <v>1299</v>
      </c>
      <c r="M405" s="62">
        <v>1</v>
      </c>
      <c r="N405" s="8">
        <v>1</v>
      </c>
      <c r="O405" s="62">
        <f t="shared" si="117"/>
        <v>0</v>
      </c>
      <c r="P405" s="70">
        <v>93</v>
      </c>
      <c r="Q405" s="71">
        <v>46128</v>
      </c>
      <c r="R405" s="6">
        <v>46128</v>
      </c>
      <c r="S405" s="64">
        <v>22932</v>
      </c>
      <c r="T405" s="22">
        <v>5</v>
      </c>
      <c r="U405" s="64">
        <f t="shared" si="118"/>
        <v>1146.6000000000001</v>
      </c>
      <c r="V405" s="22">
        <v>0</v>
      </c>
      <c r="W405" s="22">
        <v>852718</v>
      </c>
      <c r="X405" s="62" t="s">
        <v>793</v>
      </c>
      <c r="Y405" s="62" t="s">
        <v>1120</v>
      </c>
      <c r="Z405" s="62" t="s">
        <v>1863</v>
      </c>
      <c r="AA405" s="65">
        <v>4</v>
      </c>
      <c r="AB405" s="66"/>
      <c r="AC405" s="1" t="s">
        <v>13</v>
      </c>
      <c r="AD405" s="62" t="str">
        <f>VLOOKUP(X405,'Customer List'!B:C,2,)</f>
        <v>Delhi</v>
      </c>
      <c r="AE405" s="67"/>
      <c r="AF405" s="6"/>
      <c r="AG405" s="62" t="str">
        <f t="shared" si="119"/>
        <v/>
      </c>
      <c r="AH405" s="62" t="str">
        <f t="shared" si="120"/>
        <v>Saturday</v>
      </c>
      <c r="AI405" s="62" t="str">
        <f t="shared" si="113"/>
        <v/>
      </c>
      <c r="AJ405" s="62" t="str">
        <f>VLOOKUP(AC405,'Currency Sheet'!A:C,3,)</f>
        <v>DOLLAR</v>
      </c>
      <c r="AK405" s="62" t="str">
        <f>VLOOKUP(X405,'Customer List'!B:D,3,)</f>
        <v>Local</v>
      </c>
    </row>
    <row r="406" spans="1:37" hidden="1" x14ac:dyDescent="0.25">
      <c r="A406" s="62">
        <f t="shared" si="114"/>
        <v>392</v>
      </c>
      <c r="B406" s="62" t="s">
        <v>824</v>
      </c>
      <c r="C406" s="62" t="s">
        <v>1172</v>
      </c>
      <c r="D406" s="6">
        <v>46115</v>
      </c>
      <c r="E406" s="6">
        <v>46121</v>
      </c>
      <c r="F406" s="63">
        <v>288.75</v>
      </c>
      <c r="G406" s="64">
        <f t="shared" si="115"/>
        <v>25410</v>
      </c>
      <c r="H406" s="64">
        <f t="shared" si="116"/>
        <v>25410</v>
      </c>
      <c r="I406" s="70">
        <v>105828</v>
      </c>
      <c r="J406" s="62" t="s">
        <v>1189</v>
      </c>
      <c r="K406" s="8" t="s">
        <v>1190</v>
      </c>
      <c r="L406" s="10" t="s">
        <v>1300</v>
      </c>
      <c r="M406" s="62">
        <v>1</v>
      </c>
      <c r="N406" s="8">
        <v>1</v>
      </c>
      <c r="O406" s="62">
        <f t="shared" si="117"/>
        <v>0</v>
      </c>
      <c r="P406" s="70">
        <v>93</v>
      </c>
      <c r="Q406" s="71">
        <v>46128</v>
      </c>
      <c r="R406" s="6">
        <v>46128</v>
      </c>
      <c r="S406" s="64">
        <v>32340</v>
      </c>
      <c r="T406" s="22">
        <v>5</v>
      </c>
      <c r="U406" s="64">
        <f t="shared" si="118"/>
        <v>1617</v>
      </c>
      <c r="V406" s="22">
        <v>0</v>
      </c>
      <c r="W406" s="22">
        <v>852718</v>
      </c>
      <c r="X406" s="62" t="s">
        <v>793</v>
      </c>
      <c r="Y406" s="62" t="s">
        <v>1120</v>
      </c>
      <c r="Z406" s="62" t="s">
        <v>1863</v>
      </c>
      <c r="AA406" s="65">
        <v>4</v>
      </c>
      <c r="AB406" s="66"/>
      <c r="AC406" s="1" t="s">
        <v>13</v>
      </c>
      <c r="AD406" s="62" t="str">
        <f>VLOOKUP(X406,'Customer List'!B:C,2,)</f>
        <v>Delhi</v>
      </c>
      <c r="AE406" s="67"/>
      <c r="AF406" s="6"/>
      <c r="AG406" s="62" t="str">
        <f t="shared" si="119"/>
        <v/>
      </c>
      <c r="AH406" s="62" t="str">
        <f t="shared" si="120"/>
        <v>Saturday</v>
      </c>
      <c r="AI406" s="62" t="str">
        <f t="shared" si="113"/>
        <v/>
      </c>
      <c r="AJ406" s="62" t="str">
        <f>VLOOKUP(AC406,'Currency Sheet'!A:C,3,)</f>
        <v>DOLLAR</v>
      </c>
      <c r="AK406" s="62" t="str">
        <f>VLOOKUP(X406,'Customer List'!B:D,3,)</f>
        <v>Local</v>
      </c>
    </row>
    <row r="407" spans="1:37" hidden="1" x14ac:dyDescent="0.25">
      <c r="A407" s="62">
        <f t="shared" si="114"/>
        <v>393</v>
      </c>
      <c r="B407" s="62" t="s">
        <v>824</v>
      </c>
      <c r="C407" s="62" t="s">
        <v>1172</v>
      </c>
      <c r="D407" s="6">
        <v>46115</v>
      </c>
      <c r="E407" s="6">
        <v>46121</v>
      </c>
      <c r="F407" s="63">
        <v>231</v>
      </c>
      <c r="G407" s="64">
        <f t="shared" si="115"/>
        <v>20328</v>
      </c>
      <c r="H407" s="64">
        <f t="shared" si="116"/>
        <v>20328</v>
      </c>
      <c r="I407" s="70">
        <v>106904</v>
      </c>
      <c r="J407" s="62" t="s">
        <v>1191</v>
      </c>
      <c r="K407" s="8" t="s">
        <v>1192</v>
      </c>
      <c r="L407" s="10" t="s">
        <v>1301</v>
      </c>
      <c r="M407" s="62">
        <v>1</v>
      </c>
      <c r="N407" s="8">
        <v>1</v>
      </c>
      <c r="O407" s="62">
        <f t="shared" si="117"/>
        <v>0</v>
      </c>
      <c r="P407" s="70">
        <v>93</v>
      </c>
      <c r="Q407" s="71">
        <v>46128</v>
      </c>
      <c r="R407" s="6">
        <v>46128</v>
      </c>
      <c r="S407" s="64">
        <v>27720</v>
      </c>
      <c r="T407" s="22">
        <v>5</v>
      </c>
      <c r="U407" s="64">
        <f t="shared" si="118"/>
        <v>1386</v>
      </c>
      <c r="V407" s="22">
        <v>0</v>
      </c>
      <c r="W407" s="22">
        <v>852718</v>
      </c>
      <c r="X407" s="62" t="s">
        <v>793</v>
      </c>
      <c r="Y407" s="62" t="s">
        <v>1120</v>
      </c>
      <c r="Z407" s="62" t="s">
        <v>1863</v>
      </c>
      <c r="AA407" s="65">
        <v>4</v>
      </c>
      <c r="AB407" s="66"/>
      <c r="AC407" s="1" t="s">
        <v>13</v>
      </c>
      <c r="AD407" s="62" t="str">
        <f>VLOOKUP(X407,'Customer List'!B:C,2,)</f>
        <v>Delhi</v>
      </c>
      <c r="AE407" s="67"/>
      <c r="AF407" s="6"/>
      <c r="AG407" s="62" t="str">
        <f t="shared" si="119"/>
        <v/>
      </c>
      <c r="AH407" s="62" t="str">
        <f t="shared" si="120"/>
        <v>Saturday</v>
      </c>
      <c r="AI407" s="62" t="str">
        <f t="shared" si="113"/>
        <v/>
      </c>
      <c r="AJ407" s="62" t="str">
        <f>VLOOKUP(AC407,'Currency Sheet'!A:C,3,)</f>
        <v>DOLLAR</v>
      </c>
      <c r="AK407" s="62" t="str">
        <f>VLOOKUP(X407,'Customer List'!B:D,3,)</f>
        <v>Local</v>
      </c>
    </row>
    <row r="408" spans="1:37" hidden="1" x14ac:dyDescent="0.25">
      <c r="A408" s="62">
        <f t="shared" si="114"/>
        <v>394</v>
      </c>
      <c r="B408" s="62" t="s">
        <v>824</v>
      </c>
      <c r="C408" s="62" t="s">
        <v>1172</v>
      </c>
      <c r="D408" s="6">
        <v>46115</v>
      </c>
      <c r="E408" s="6">
        <v>46121</v>
      </c>
      <c r="F408" s="63">
        <v>221.2</v>
      </c>
      <c r="G408" s="64">
        <f t="shared" si="115"/>
        <v>19465.599999999999</v>
      </c>
      <c r="H408" s="64">
        <f t="shared" si="116"/>
        <v>19465.599999999999</v>
      </c>
      <c r="I408" s="70">
        <v>108114</v>
      </c>
      <c r="J408" s="62" t="s">
        <v>1193</v>
      </c>
      <c r="K408" s="8" t="s">
        <v>1194</v>
      </c>
      <c r="L408" s="10" t="s">
        <v>1302</v>
      </c>
      <c r="M408" s="62">
        <v>1</v>
      </c>
      <c r="N408" s="8">
        <v>1</v>
      </c>
      <c r="O408" s="62">
        <f t="shared" si="117"/>
        <v>0</v>
      </c>
      <c r="P408" s="70">
        <v>93</v>
      </c>
      <c r="Q408" s="71">
        <v>46128</v>
      </c>
      <c r="R408" s="6">
        <v>46128</v>
      </c>
      <c r="S408" s="64">
        <v>26544</v>
      </c>
      <c r="T408" s="22">
        <v>5</v>
      </c>
      <c r="U408" s="64">
        <f t="shared" si="118"/>
        <v>1327.2</v>
      </c>
      <c r="V408" s="22">
        <v>0</v>
      </c>
      <c r="W408" s="22">
        <v>852718</v>
      </c>
      <c r="X408" s="62" t="s">
        <v>793</v>
      </c>
      <c r="Y408" s="62" t="s">
        <v>1120</v>
      </c>
      <c r="Z408" s="62" t="s">
        <v>1863</v>
      </c>
      <c r="AA408" s="65">
        <v>4</v>
      </c>
      <c r="AB408" s="66"/>
      <c r="AC408" s="1" t="s">
        <v>13</v>
      </c>
      <c r="AD408" s="62" t="str">
        <f>VLOOKUP(X408,'Customer List'!B:C,2,)</f>
        <v>Delhi</v>
      </c>
      <c r="AE408" s="67"/>
      <c r="AF408" s="6"/>
      <c r="AG408" s="62" t="str">
        <f t="shared" si="119"/>
        <v/>
      </c>
      <c r="AH408" s="62" t="str">
        <f t="shared" si="120"/>
        <v>Saturday</v>
      </c>
      <c r="AI408" s="62" t="str">
        <f t="shared" si="113"/>
        <v/>
      </c>
      <c r="AJ408" s="62" t="str">
        <f>VLOOKUP(AC408,'Currency Sheet'!A:C,3,)</f>
        <v>DOLLAR</v>
      </c>
      <c r="AK408" s="62" t="str">
        <f>VLOOKUP(X408,'Customer List'!B:D,3,)</f>
        <v>Local</v>
      </c>
    </row>
    <row r="409" spans="1:37" hidden="1" x14ac:dyDescent="0.25">
      <c r="A409" s="62">
        <f t="shared" si="114"/>
        <v>395</v>
      </c>
      <c r="B409" s="62" t="s">
        <v>824</v>
      </c>
      <c r="C409" s="62" t="s">
        <v>1172</v>
      </c>
      <c r="D409" s="6">
        <v>46115</v>
      </c>
      <c r="E409" s="6">
        <v>46121</v>
      </c>
      <c r="F409" s="63">
        <v>147.69999999999999</v>
      </c>
      <c r="G409" s="64">
        <f t="shared" si="115"/>
        <v>12997.599999999999</v>
      </c>
      <c r="H409" s="64">
        <f t="shared" si="116"/>
        <v>12997.599999999999</v>
      </c>
      <c r="I409" s="70">
        <v>108428</v>
      </c>
      <c r="J409" s="62" t="s">
        <v>1195</v>
      </c>
      <c r="K409" s="8" t="s">
        <v>1196</v>
      </c>
      <c r="L409" s="10" t="s">
        <v>1303</v>
      </c>
      <c r="M409" s="62">
        <v>1</v>
      </c>
      <c r="N409" s="8">
        <v>1</v>
      </c>
      <c r="O409" s="62">
        <f t="shared" si="117"/>
        <v>0</v>
      </c>
      <c r="P409" s="70">
        <v>93</v>
      </c>
      <c r="Q409" s="71">
        <v>46128</v>
      </c>
      <c r="R409" s="6">
        <v>46128</v>
      </c>
      <c r="S409" s="64">
        <v>17724</v>
      </c>
      <c r="T409" s="22">
        <v>5</v>
      </c>
      <c r="U409" s="64">
        <f t="shared" si="118"/>
        <v>886.2</v>
      </c>
      <c r="V409" s="22">
        <v>0</v>
      </c>
      <c r="W409" s="22">
        <v>852718</v>
      </c>
      <c r="X409" s="62" t="s">
        <v>793</v>
      </c>
      <c r="Y409" s="62" t="s">
        <v>1120</v>
      </c>
      <c r="Z409" s="62" t="s">
        <v>1863</v>
      </c>
      <c r="AA409" s="65">
        <v>4</v>
      </c>
      <c r="AB409" s="66"/>
      <c r="AC409" s="1" t="s">
        <v>13</v>
      </c>
      <c r="AD409" s="62" t="str">
        <f>VLOOKUP(X409,'Customer List'!B:C,2,)</f>
        <v>Delhi</v>
      </c>
      <c r="AE409" s="67"/>
      <c r="AF409" s="6"/>
      <c r="AG409" s="62" t="str">
        <f t="shared" si="119"/>
        <v/>
      </c>
      <c r="AH409" s="62" t="str">
        <f t="shared" si="120"/>
        <v>Saturday</v>
      </c>
      <c r="AI409" s="62" t="str">
        <f t="shared" si="113"/>
        <v/>
      </c>
      <c r="AJ409" s="62" t="str">
        <f>VLOOKUP(AC409,'Currency Sheet'!A:C,3,)</f>
        <v>DOLLAR</v>
      </c>
      <c r="AK409" s="62" t="str">
        <f>VLOOKUP(X409,'Customer List'!B:D,3,)</f>
        <v>Local</v>
      </c>
    </row>
    <row r="410" spans="1:37" hidden="1" x14ac:dyDescent="0.25">
      <c r="A410" s="62">
        <f t="shared" si="114"/>
        <v>396</v>
      </c>
      <c r="B410" s="62" t="s">
        <v>824</v>
      </c>
      <c r="C410" s="62" t="s">
        <v>1172</v>
      </c>
      <c r="D410" s="6">
        <v>46115</v>
      </c>
      <c r="E410" s="6">
        <v>46121</v>
      </c>
      <c r="F410" s="63">
        <v>138.6</v>
      </c>
      <c r="G410" s="64">
        <f t="shared" si="115"/>
        <v>12196.8</v>
      </c>
      <c r="H410" s="64">
        <f t="shared" si="116"/>
        <v>12196.8</v>
      </c>
      <c r="I410" s="70">
        <v>108714</v>
      </c>
      <c r="J410" s="62" t="s">
        <v>1197</v>
      </c>
      <c r="K410" s="8" t="s">
        <v>1198</v>
      </c>
      <c r="L410" s="10" t="s">
        <v>1304</v>
      </c>
      <c r="M410" s="62">
        <v>1</v>
      </c>
      <c r="N410" s="8">
        <v>1</v>
      </c>
      <c r="O410" s="62">
        <f t="shared" si="117"/>
        <v>0</v>
      </c>
      <c r="P410" s="70">
        <v>93</v>
      </c>
      <c r="Q410" s="71">
        <v>46128</v>
      </c>
      <c r="R410" s="6">
        <v>46128</v>
      </c>
      <c r="S410" s="64">
        <v>16632</v>
      </c>
      <c r="T410" s="22">
        <v>5</v>
      </c>
      <c r="U410" s="64">
        <f t="shared" si="118"/>
        <v>831.6</v>
      </c>
      <c r="V410" s="22">
        <v>0</v>
      </c>
      <c r="W410" s="22">
        <v>852718</v>
      </c>
      <c r="X410" s="62" t="s">
        <v>793</v>
      </c>
      <c r="Y410" s="62" t="s">
        <v>1120</v>
      </c>
      <c r="Z410" s="62" t="s">
        <v>1863</v>
      </c>
      <c r="AA410" s="65">
        <v>4</v>
      </c>
      <c r="AB410" s="66"/>
      <c r="AC410" s="1" t="s">
        <v>13</v>
      </c>
      <c r="AD410" s="62" t="str">
        <f>VLOOKUP(X410,'Customer List'!B:C,2,)</f>
        <v>Delhi</v>
      </c>
      <c r="AE410" s="67"/>
      <c r="AF410" s="6"/>
      <c r="AG410" s="62" t="str">
        <f t="shared" si="119"/>
        <v/>
      </c>
      <c r="AH410" s="62" t="str">
        <f t="shared" si="120"/>
        <v>Saturday</v>
      </c>
      <c r="AI410" s="62" t="str">
        <f t="shared" si="113"/>
        <v/>
      </c>
      <c r="AJ410" s="62" t="str">
        <f>VLOOKUP(AC410,'Currency Sheet'!A:C,3,)</f>
        <v>DOLLAR</v>
      </c>
      <c r="AK410" s="62" t="str">
        <f>VLOOKUP(X410,'Customer List'!B:D,3,)</f>
        <v>Local</v>
      </c>
    </row>
    <row r="411" spans="1:37" hidden="1" x14ac:dyDescent="0.25">
      <c r="A411" s="62">
        <f t="shared" si="114"/>
        <v>397</v>
      </c>
      <c r="B411" s="62" t="s">
        <v>824</v>
      </c>
      <c r="C411" s="62" t="s">
        <v>1172</v>
      </c>
      <c r="D411" s="6">
        <v>46115</v>
      </c>
      <c r="E411" s="6">
        <v>46121</v>
      </c>
      <c r="F411" s="63">
        <v>144.75</v>
      </c>
      <c r="G411" s="64">
        <f t="shared" si="115"/>
        <v>12738</v>
      </c>
      <c r="H411" s="64">
        <f t="shared" si="116"/>
        <v>12738</v>
      </c>
      <c r="I411" s="70">
        <v>108731</v>
      </c>
      <c r="J411" s="62" t="s">
        <v>1197</v>
      </c>
      <c r="K411" s="8" t="s">
        <v>1199</v>
      </c>
      <c r="L411" s="10" t="s">
        <v>1305</v>
      </c>
      <c r="M411" s="62">
        <v>1</v>
      </c>
      <c r="N411" s="8">
        <v>1</v>
      </c>
      <c r="O411" s="62">
        <f t="shared" si="117"/>
        <v>0</v>
      </c>
      <c r="P411" s="70">
        <v>93</v>
      </c>
      <c r="Q411" s="71">
        <v>46128</v>
      </c>
      <c r="R411" s="6">
        <v>46128</v>
      </c>
      <c r="S411" s="64">
        <v>16212</v>
      </c>
      <c r="T411" s="22">
        <v>5</v>
      </c>
      <c r="U411" s="64">
        <f t="shared" si="118"/>
        <v>810.6</v>
      </c>
      <c r="V411" s="22">
        <v>0</v>
      </c>
      <c r="W411" s="22">
        <v>852718</v>
      </c>
      <c r="X411" s="62" t="s">
        <v>793</v>
      </c>
      <c r="Y411" s="62" t="s">
        <v>1120</v>
      </c>
      <c r="Z411" s="62" t="s">
        <v>1863</v>
      </c>
      <c r="AA411" s="65">
        <v>4</v>
      </c>
      <c r="AB411" s="66"/>
      <c r="AC411" s="1" t="s">
        <v>13</v>
      </c>
      <c r="AD411" s="62" t="str">
        <f>VLOOKUP(X411,'Customer List'!B:C,2,)</f>
        <v>Delhi</v>
      </c>
      <c r="AE411" s="67"/>
      <c r="AF411" s="6"/>
      <c r="AG411" s="62" t="str">
        <f t="shared" si="119"/>
        <v/>
      </c>
      <c r="AH411" s="62" t="str">
        <f t="shared" si="120"/>
        <v>Saturday</v>
      </c>
      <c r="AI411" s="62" t="str">
        <f t="shared" si="113"/>
        <v/>
      </c>
      <c r="AJ411" s="62" t="str">
        <f>VLOOKUP(AC411,'Currency Sheet'!A:C,3,)</f>
        <v>DOLLAR</v>
      </c>
      <c r="AK411" s="62" t="str">
        <f>VLOOKUP(X411,'Customer List'!B:D,3,)</f>
        <v>Local</v>
      </c>
    </row>
    <row r="412" spans="1:37" hidden="1" x14ac:dyDescent="0.25">
      <c r="A412" s="62">
        <f t="shared" si="114"/>
        <v>398</v>
      </c>
      <c r="B412" s="62" t="s">
        <v>824</v>
      </c>
      <c r="C412" s="62" t="s">
        <v>1172</v>
      </c>
      <c r="D412" s="6">
        <v>46115</v>
      </c>
      <c r="E412" s="6">
        <v>46121</v>
      </c>
      <c r="F412" s="63">
        <v>181.5</v>
      </c>
      <c r="G412" s="64">
        <f t="shared" si="115"/>
        <v>15972</v>
      </c>
      <c r="H412" s="64">
        <f t="shared" si="116"/>
        <v>15972</v>
      </c>
      <c r="I412" s="70">
        <v>109832</v>
      </c>
      <c r="J412" s="62" t="s">
        <v>1200</v>
      </c>
      <c r="K412" s="8" t="s">
        <v>1201</v>
      </c>
      <c r="L412" s="10" t="s">
        <v>1306</v>
      </c>
      <c r="M412" s="62">
        <v>1</v>
      </c>
      <c r="N412" s="8">
        <v>1</v>
      </c>
      <c r="O412" s="62">
        <f t="shared" si="117"/>
        <v>0</v>
      </c>
      <c r="P412" s="70">
        <v>93</v>
      </c>
      <c r="Q412" s="71">
        <v>46128</v>
      </c>
      <c r="R412" s="6">
        <v>46128</v>
      </c>
      <c r="S412" s="64">
        <v>20328</v>
      </c>
      <c r="T412" s="22">
        <v>5</v>
      </c>
      <c r="U412" s="64">
        <f t="shared" si="118"/>
        <v>1016.4000000000001</v>
      </c>
      <c r="V412" s="22">
        <v>0</v>
      </c>
      <c r="W412" s="22">
        <v>852718</v>
      </c>
      <c r="X412" s="62" t="s">
        <v>793</v>
      </c>
      <c r="Y412" s="62" t="s">
        <v>1120</v>
      </c>
      <c r="Z412" s="62" t="s">
        <v>1863</v>
      </c>
      <c r="AA412" s="65">
        <v>4</v>
      </c>
      <c r="AB412" s="66"/>
      <c r="AC412" s="1" t="s">
        <v>13</v>
      </c>
      <c r="AD412" s="62" t="str">
        <f>VLOOKUP(X412,'Customer List'!B:C,2,)</f>
        <v>Delhi</v>
      </c>
      <c r="AE412" s="67"/>
      <c r="AF412" s="6"/>
      <c r="AG412" s="62" t="str">
        <f t="shared" si="119"/>
        <v/>
      </c>
      <c r="AH412" s="62" t="str">
        <f t="shared" si="120"/>
        <v>Saturday</v>
      </c>
      <c r="AI412" s="62" t="str">
        <f t="shared" si="113"/>
        <v/>
      </c>
      <c r="AJ412" s="62" t="str">
        <f>VLOOKUP(AC412,'Currency Sheet'!A:C,3,)</f>
        <v>DOLLAR</v>
      </c>
      <c r="AK412" s="62" t="str">
        <f>VLOOKUP(X412,'Customer List'!B:D,3,)</f>
        <v>Local</v>
      </c>
    </row>
    <row r="413" spans="1:37" hidden="1" x14ac:dyDescent="0.25">
      <c r="A413" s="62">
        <f t="shared" si="114"/>
        <v>399</v>
      </c>
      <c r="B413" s="62" t="s">
        <v>824</v>
      </c>
      <c r="C413" s="62" t="s">
        <v>1172</v>
      </c>
      <c r="D413" s="6">
        <v>46115</v>
      </c>
      <c r="E413" s="6">
        <v>46121</v>
      </c>
      <c r="F413" s="63">
        <v>203.7</v>
      </c>
      <c r="G413" s="64">
        <f t="shared" si="115"/>
        <v>17925.599999999999</v>
      </c>
      <c r="H413" s="64">
        <f t="shared" si="116"/>
        <v>17925.599999999999</v>
      </c>
      <c r="I413" s="70">
        <v>115910</v>
      </c>
      <c r="J413" s="62" t="s">
        <v>1202</v>
      </c>
      <c r="K413" s="8" t="s">
        <v>1203</v>
      </c>
      <c r="L413" s="10" t="s">
        <v>1307</v>
      </c>
      <c r="M413" s="62">
        <v>1</v>
      </c>
      <c r="N413" s="8">
        <v>1</v>
      </c>
      <c r="O413" s="62">
        <f t="shared" si="117"/>
        <v>0</v>
      </c>
      <c r="P413" s="70">
        <v>93</v>
      </c>
      <c r="Q413" s="71">
        <v>46128</v>
      </c>
      <c r="R413" s="6">
        <v>46128</v>
      </c>
      <c r="S413" s="64">
        <v>24444</v>
      </c>
      <c r="T413" s="22">
        <v>5</v>
      </c>
      <c r="U413" s="64">
        <f t="shared" si="118"/>
        <v>1222.2</v>
      </c>
      <c r="V413" s="22">
        <v>0</v>
      </c>
      <c r="W413" s="22">
        <v>852718</v>
      </c>
      <c r="X413" s="62" t="s">
        <v>793</v>
      </c>
      <c r="Y413" s="62" t="s">
        <v>1120</v>
      </c>
      <c r="Z413" s="62" t="s">
        <v>1863</v>
      </c>
      <c r="AA413" s="65">
        <v>4</v>
      </c>
      <c r="AB413" s="66"/>
      <c r="AC413" s="1" t="s">
        <v>13</v>
      </c>
      <c r="AD413" s="62" t="str">
        <f>VLOOKUP(X413,'Customer List'!B:C,2,)</f>
        <v>Delhi</v>
      </c>
      <c r="AE413" s="67"/>
      <c r="AF413" s="6"/>
      <c r="AG413" s="62" t="str">
        <f t="shared" si="119"/>
        <v/>
      </c>
      <c r="AH413" s="62" t="str">
        <f t="shared" si="120"/>
        <v>Saturday</v>
      </c>
      <c r="AI413" s="62" t="str">
        <f t="shared" si="113"/>
        <v/>
      </c>
      <c r="AJ413" s="62" t="str">
        <f>VLOOKUP(AC413,'Currency Sheet'!A:C,3,)</f>
        <v>DOLLAR</v>
      </c>
      <c r="AK413" s="62" t="str">
        <f>VLOOKUP(X413,'Customer List'!B:D,3,)</f>
        <v>Local</v>
      </c>
    </row>
    <row r="414" spans="1:37" hidden="1" x14ac:dyDescent="0.25">
      <c r="A414" s="62">
        <f t="shared" si="114"/>
        <v>400</v>
      </c>
      <c r="B414" s="62" t="s">
        <v>824</v>
      </c>
      <c r="C414" s="62" t="s">
        <v>1172</v>
      </c>
      <c r="D414" s="6">
        <v>46115</v>
      </c>
      <c r="E414" s="6">
        <v>46121</v>
      </c>
      <c r="F414" s="63">
        <v>141.4</v>
      </c>
      <c r="G414" s="64">
        <f t="shared" si="115"/>
        <v>12443.2</v>
      </c>
      <c r="H414" s="64">
        <f t="shared" si="116"/>
        <v>12443.2</v>
      </c>
      <c r="I414" s="70">
        <v>126403</v>
      </c>
      <c r="J414" s="62" t="s">
        <v>1204</v>
      </c>
      <c r="K414" s="8" t="s">
        <v>1205</v>
      </c>
      <c r="L414" s="10" t="s">
        <v>1308</v>
      </c>
      <c r="M414" s="62">
        <v>1</v>
      </c>
      <c r="N414" s="8">
        <v>1</v>
      </c>
      <c r="O414" s="62">
        <f t="shared" si="117"/>
        <v>0</v>
      </c>
      <c r="P414" s="70">
        <v>56</v>
      </c>
      <c r="Q414" s="71">
        <v>46122</v>
      </c>
      <c r="R414" s="6">
        <v>46122</v>
      </c>
      <c r="S414" s="64">
        <v>19796</v>
      </c>
      <c r="T414" s="22">
        <v>5</v>
      </c>
      <c r="U414" s="64">
        <f t="shared" si="118"/>
        <v>989.80000000000007</v>
      </c>
      <c r="V414" s="22">
        <v>0.44</v>
      </c>
      <c r="W414" s="22">
        <v>32310</v>
      </c>
      <c r="X414" s="62" t="s">
        <v>895</v>
      </c>
      <c r="Y414" s="62" t="s">
        <v>1391</v>
      </c>
      <c r="Z414" s="62" t="s">
        <v>1391</v>
      </c>
      <c r="AA414" s="65">
        <v>4</v>
      </c>
      <c r="AB414" s="66"/>
      <c r="AC414" s="1" t="s">
        <v>13</v>
      </c>
      <c r="AD414" s="62" t="str">
        <f>VLOOKUP(X414,'Customer List'!B:C,2,)</f>
        <v>Delhi</v>
      </c>
      <c r="AE414" s="67"/>
      <c r="AF414" s="6"/>
      <c r="AG414" s="62" t="str">
        <f t="shared" si="119"/>
        <v/>
      </c>
      <c r="AH414" s="62" t="str">
        <f t="shared" si="120"/>
        <v>Saturday</v>
      </c>
      <c r="AI414" s="62" t="str">
        <f t="shared" si="113"/>
        <v/>
      </c>
      <c r="AJ414" s="62" t="str">
        <f>VLOOKUP(AC414,'Currency Sheet'!A:C,3,)</f>
        <v>DOLLAR</v>
      </c>
      <c r="AK414" s="62" t="str">
        <f>VLOOKUP(X414,'Customer List'!B:D,3,)</f>
        <v>Local</v>
      </c>
    </row>
    <row r="415" spans="1:37" hidden="1" x14ac:dyDescent="0.25">
      <c r="A415" s="62">
        <f t="shared" si="114"/>
        <v>401</v>
      </c>
      <c r="B415" s="62" t="s">
        <v>824</v>
      </c>
      <c r="C415" s="62" t="s">
        <v>1172</v>
      </c>
      <c r="D415" s="6">
        <v>46115</v>
      </c>
      <c r="E415" s="6">
        <v>46121</v>
      </c>
      <c r="F415" s="63">
        <v>173.6</v>
      </c>
      <c r="G415" s="64">
        <f t="shared" si="115"/>
        <v>15276.8</v>
      </c>
      <c r="H415" s="64">
        <f t="shared" si="116"/>
        <v>15276.8</v>
      </c>
      <c r="I415" s="70">
        <v>127622</v>
      </c>
      <c r="J415" s="62" t="s">
        <v>1206</v>
      </c>
      <c r="K415" s="8" t="s">
        <v>1207</v>
      </c>
      <c r="L415" s="10" t="s">
        <v>1309</v>
      </c>
      <c r="M415" s="62">
        <v>1</v>
      </c>
      <c r="N415" s="8">
        <v>1</v>
      </c>
      <c r="O415" s="62">
        <f t="shared" si="117"/>
        <v>0</v>
      </c>
      <c r="P415" s="70">
        <v>93</v>
      </c>
      <c r="Q415" s="71">
        <v>46128</v>
      </c>
      <c r="R415" s="6">
        <v>46128</v>
      </c>
      <c r="S415" s="64">
        <v>20832</v>
      </c>
      <c r="T415" s="22">
        <v>5</v>
      </c>
      <c r="U415" s="64">
        <f t="shared" si="118"/>
        <v>1041.6000000000001</v>
      </c>
      <c r="V415" s="22">
        <v>0</v>
      </c>
      <c r="W415" s="22">
        <v>852718</v>
      </c>
      <c r="X415" s="62" t="s">
        <v>793</v>
      </c>
      <c r="Y415" s="62" t="s">
        <v>1120</v>
      </c>
      <c r="Z415" s="62" t="s">
        <v>1863</v>
      </c>
      <c r="AA415" s="65">
        <v>4</v>
      </c>
      <c r="AB415" s="66"/>
      <c r="AC415" s="1" t="s">
        <v>13</v>
      </c>
      <c r="AD415" s="62" t="str">
        <f>VLOOKUP(X415,'Customer List'!B:C,2,)</f>
        <v>Delhi</v>
      </c>
      <c r="AE415" s="67"/>
      <c r="AF415" s="6"/>
      <c r="AG415" s="62" t="str">
        <f t="shared" si="119"/>
        <v/>
      </c>
      <c r="AH415" s="62" t="str">
        <f t="shared" si="120"/>
        <v>Saturday</v>
      </c>
      <c r="AI415" s="62" t="str">
        <f t="shared" si="113"/>
        <v/>
      </c>
      <c r="AJ415" s="62" t="str">
        <f>VLOOKUP(AC415,'Currency Sheet'!A:C,3,)</f>
        <v>DOLLAR</v>
      </c>
      <c r="AK415" s="62" t="str">
        <f>VLOOKUP(X415,'Customer List'!B:D,3,)</f>
        <v>Local</v>
      </c>
    </row>
    <row r="416" spans="1:37" hidden="1" x14ac:dyDescent="0.25">
      <c r="A416" s="62">
        <f t="shared" si="114"/>
        <v>402</v>
      </c>
      <c r="B416" s="62" t="s">
        <v>824</v>
      </c>
      <c r="C416" s="62" t="s">
        <v>1172</v>
      </c>
      <c r="D416" s="6">
        <v>46115</v>
      </c>
      <c r="E416" s="6">
        <v>46121</v>
      </c>
      <c r="F416" s="63">
        <v>185.5</v>
      </c>
      <c r="G416" s="64">
        <f t="shared" si="115"/>
        <v>16324</v>
      </c>
      <c r="H416" s="64">
        <f t="shared" si="116"/>
        <v>16324</v>
      </c>
      <c r="I416" s="70">
        <v>128024</v>
      </c>
      <c r="J416" s="62" t="s">
        <v>748</v>
      </c>
      <c r="K416" s="8" t="s">
        <v>1208</v>
      </c>
      <c r="L416" s="10" t="s">
        <v>1310</v>
      </c>
      <c r="M416" s="62">
        <v>1</v>
      </c>
      <c r="N416" s="8">
        <v>1</v>
      </c>
      <c r="O416" s="62">
        <f t="shared" si="117"/>
        <v>0</v>
      </c>
      <c r="P416" s="70">
        <v>93</v>
      </c>
      <c r="Q416" s="71">
        <v>46128</v>
      </c>
      <c r="R416" s="6">
        <v>46128</v>
      </c>
      <c r="S416" s="64">
        <v>22260</v>
      </c>
      <c r="T416" s="22">
        <v>5</v>
      </c>
      <c r="U416" s="64">
        <f t="shared" si="118"/>
        <v>1113</v>
      </c>
      <c r="V416" s="22">
        <v>0</v>
      </c>
      <c r="W416" s="22">
        <v>852718</v>
      </c>
      <c r="X416" s="62" t="s">
        <v>793</v>
      </c>
      <c r="Y416" s="62" t="s">
        <v>1120</v>
      </c>
      <c r="Z416" s="62" t="s">
        <v>1863</v>
      </c>
      <c r="AA416" s="65">
        <v>4</v>
      </c>
      <c r="AB416" s="66"/>
      <c r="AC416" s="1" t="s">
        <v>13</v>
      </c>
      <c r="AD416" s="62" t="str">
        <f>VLOOKUP(X416,'Customer List'!B:C,2,)</f>
        <v>Delhi</v>
      </c>
      <c r="AE416" s="67"/>
      <c r="AF416" s="6"/>
      <c r="AG416" s="62" t="str">
        <f t="shared" si="119"/>
        <v/>
      </c>
      <c r="AH416" s="62" t="str">
        <f t="shared" si="120"/>
        <v>Saturday</v>
      </c>
      <c r="AI416" s="62" t="str">
        <f t="shared" si="113"/>
        <v/>
      </c>
      <c r="AJ416" s="62" t="str">
        <f>VLOOKUP(AC416,'Currency Sheet'!A:C,3,)</f>
        <v>DOLLAR</v>
      </c>
      <c r="AK416" s="62" t="str">
        <f>VLOOKUP(X416,'Customer List'!B:D,3,)</f>
        <v>Local</v>
      </c>
    </row>
    <row r="417" spans="1:37" hidden="1" x14ac:dyDescent="0.25">
      <c r="A417" s="62">
        <f t="shared" si="114"/>
        <v>403</v>
      </c>
      <c r="B417" s="62" t="s">
        <v>824</v>
      </c>
      <c r="C417" s="62" t="s">
        <v>1172</v>
      </c>
      <c r="D417" s="6">
        <v>46115</v>
      </c>
      <c r="E417" s="6">
        <v>46121</v>
      </c>
      <c r="F417" s="63">
        <v>321.75</v>
      </c>
      <c r="G417" s="64">
        <f t="shared" si="115"/>
        <v>28314</v>
      </c>
      <c r="H417" s="64">
        <f t="shared" si="116"/>
        <v>28314</v>
      </c>
      <c r="I417" s="70">
        <v>128036</v>
      </c>
      <c r="J417" s="62" t="s">
        <v>748</v>
      </c>
      <c r="K417" s="8" t="s">
        <v>1209</v>
      </c>
      <c r="L417" s="10" t="s">
        <v>1311</v>
      </c>
      <c r="M417" s="62">
        <v>1</v>
      </c>
      <c r="N417" s="8">
        <v>1</v>
      </c>
      <c r="O417" s="62">
        <f t="shared" si="117"/>
        <v>0</v>
      </c>
      <c r="P417" s="70">
        <v>93</v>
      </c>
      <c r="Q417" s="71">
        <v>46128</v>
      </c>
      <c r="R417" s="6">
        <v>46128</v>
      </c>
      <c r="S417" s="64">
        <v>36036</v>
      </c>
      <c r="T417" s="22">
        <v>5</v>
      </c>
      <c r="U417" s="64">
        <f t="shared" si="118"/>
        <v>1801.8000000000002</v>
      </c>
      <c r="V417" s="22">
        <v>0</v>
      </c>
      <c r="W417" s="22">
        <v>852718</v>
      </c>
      <c r="X417" s="62" t="s">
        <v>793</v>
      </c>
      <c r="Y417" s="62" t="s">
        <v>1120</v>
      </c>
      <c r="Z417" s="62" t="s">
        <v>1863</v>
      </c>
      <c r="AA417" s="65">
        <v>4</v>
      </c>
      <c r="AB417" s="66"/>
      <c r="AC417" s="1" t="s">
        <v>13</v>
      </c>
      <c r="AD417" s="62" t="str">
        <f>VLOOKUP(X417,'Customer List'!B:C,2,)</f>
        <v>Delhi</v>
      </c>
      <c r="AE417" s="67"/>
      <c r="AF417" s="6"/>
      <c r="AG417" s="62" t="str">
        <f t="shared" si="119"/>
        <v/>
      </c>
      <c r="AH417" s="62" t="str">
        <f t="shared" si="120"/>
        <v>Saturday</v>
      </c>
      <c r="AI417" s="62" t="str">
        <f t="shared" si="113"/>
        <v/>
      </c>
      <c r="AJ417" s="62" t="str">
        <f>VLOOKUP(AC417,'Currency Sheet'!A:C,3,)</f>
        <v>DOLLAR</v>
      </c>
      <c r="AK417" s="62" t="str">
        <f>VLOOKUP(X417,'Customer List'!B:D,3,)</f>
        <v>Local</v>
      </c>
    </row>
    <row r="418" spans="1:37" hidden="1" x14ac:dyDescent="0.25">
      <c r="A418" s="62">
        <f t="shared" si="114"/>
        <v>404</v>
      </c>
      <c r="B418" s="62" t="s">
        <v>824</v>
      </c>
      <c r="C418" s="62" t="s">
        <v>1172</v>
      </c>
      <c r="D418" s="6">
        <v>46115</v>
      </c>
      <c r="E418" s="6">
        <v>46121</v>
      </c>
      <c r="F418" s="63">
        <v>262.5</v>
      </c>
      <c r="G418" s="64">
        <f t="shared" si="115"/>
        <v>23100</v>
      </c>
      <c r="H418" s="64">
        <f t="shared" si="116"/>
        <v>23100</v>
      </c>
      <c r="I418" s="70">
        <v>128616</v>
      </c>
      <c r="J418" s="62" t="s">
        <v>1210</v>
      </c>
      <c r="K418" s="8" t="s">
        <v>1211</v>
      </c>
      <c r="L418" s="10" t="s">
        <v>1312</v>
      </c>
      <c r="M418" s="62">
        <v>1</v>
      </c>
      <c r="N418" s="8">
        <v>1</v>
      </c>
      <c r="O418" s="62">
        <f t="shared" si="117"/>
        <v>0</v>
      </c>
      <c r="P418" s="70">
        <v>93</v>
      </c>
      <c r="Q418" s="71">
        <v>46128</v>
      </c>
      <c r="R418" s="6">
        <v>46128</v>
      </c>
      <c r="S418" s="64">
        <v>31500</v>
      </c>
      <c r="T418" s="22">
        <v>5</v>
      </c>
      <c r="U418" s="64">
        <f t="shared" si="118"/>
        <v>1575</v>
      </c>
      <c r="V418" s="22">
        <v>0</v>
      </c>
      <c r="W418" s="22">
        <v>852718</v>
      </c>
      <c r="X418" s="62" t="s">
        <v>793</v>
      </c>
      <c r="Y418" s="62" t="s">
        <v>1120</v>
      </c>
      <c r="Z418" s="62" t="s">
        <v>1863</v>
      </c>
      <c r="AA418" s="65">
        <v>4</v>
      </c>
      <c r="AB418" s="66"/>
      <c r="AC418" s="1" t="s">
        <v>13</v>
      </c>
      <c r="AD418" s="62" t="str">
        <f>VLOOKUP(X418,'Customer List'!B:C,2,)</f>
        <v>Delhi</v>
      </c>
      <c r="AE418" s="67"/>
      <c r="AF418" s="6"/>
      <c r="AG418" s="62" t="str">
        <f t="shared" si="119"/>
        <v/>
      </c>
      <c r="AH418" s="62" t="str">
        <f t="shared" si="120"/>
        <v>Saturday</v>
      </c>
      <c r="AI418" s="62" t="str">
        <f t="shared" si="113"/>
        <v/>
      </c>
      <c r="AJ418" s="62" t="str">
        <f>VLOOKUP(AC418,'Currency Sheet'!A:C,3,)</f>
        <v>DOLLAR</v>
      </c>
      <c r="AK418" s="62" t="str">
        <f>VLOOKUP(X418,'Customer List'!B:D,3,)</f>
        <v>Local</v>
      </c>
    </row>
    <row r="419" spans="1:37" hidden="1" x14ac:dyDescent="0.25">
      <c r="A419" s="62">
        <f t="shared" si="114"/>
        <v>405</v>
      </c>
      <c r="B419" s="62" t="s">
        <v>824</v>
      </c>
      <c r="C419" s="62" t="s">
        <v>1172</v>
      </c>
      <c r="D419" s="6">
        <v>46115</v>
      </c>
      <c r="E419" s="6">
        <v>46121</v>
      </c>
      <c r="F419" s="63">
        <v>78.400000000000006</v>
      </c>
      <c r="G419" s="64">
        <f t="shared" si="115"/>
        <v>6899.2000000000007</v>
      </c>
      <c r="H419" s="64">
        <f t="shared" si="116"/>
        <v>6899.2000000000007</v>
      </c>
      <c r="I419" s="70">
        <v>134009</v>
      </c>
      <c r="J419" s="62" t="s">
        <v>932</v>
      </c>
      <c r="K419" s="8" t="s">
        <v>1212</v>
      </c>
      <c r="L419" s="10" t="s">
        <v>1313</v>
      </c>
      <c r="M419" s="62">
        <v>1</v>
      </c>
      <c r="N419" s="8">
        <v>1</v>
      </c>
      <c r="O419" s="62">
        <f t="shared" si="117"/>
        <v>0</v>
      </c>
      <c r="P419" s="70">
        <v>56</v>
      </c>
      <c r="Q419" s="71">
        <v>46122</v>
      </c>
      <c r="R419" s="6">
        <v>46122</v>
      </c>
      <c r="S419" s="64">
        <v>10975</v>
      </c>
      <c r="T419" s="22">
        <v>5</v>
      </c>
      <c r="U419" s="64">
        <f t="shared" si="118"/>
        <v>548.75</v>
      </c>
      <c r="V419" s="22">
        <v>0</v>
      </c>
      <c r="W419" s="22">
        <v>32310</v>
      </c>
      <c r="X419" s="62" t="s">
        <v>895</v>
      </c>
      <c r="Y419" s="62" t="s">
        <v>1391</v>
      </c>
      <c r="Z419" s="62" t="s">
        <v>1391</v>
      </c>
      <c r="AA419" s="65">
        <v>4</v>
      </c>
      <c r="AB419" s="66"/>
      <c r="AC419" s="1" t="s">
        <v>13</v>
      </c>
      <c r="AD419" s="62" t="str">
        <f>VLOOKUP(X419,'Customer List'!B:C,2,)</f>
        <v>Delhi</v>
      </c>
      <c r="AE419" s="67"/>
      <c r="AF419" s="6"/>
      <c r="AG419" s="62" t="str">
        <f t="shared" si="119"/>
        <v/>
      </c>
      <c r="AH419" s="62" t="str">
        <f t="shared" si="120"/>
        <v>Friday</v>
      </c>
      <c r="AI419" s="62" t="str">
        <f t="shared" si="113"/>
        <v/>
      </c>
      <c r="AJ419" s="62" t="str">
        <f>VLOOKUP(AC419,'Currency Sheet'!A:C,3,)</f>
        <v>DOLLAR</v>
      </c>
      <c r="AK419" s="62" t="str">
        <f>VLOOKUP(X419,'Customer List'!B:D,3,)</f>
        <v>Local</v>
      </c>
    </row>
    <row r="420" spans="1:37" hidden="1" x14ac:dyDescent="0.25">
      <c r="A420" s="62">
        <f t="shared" si="114"/>
        <v>406</v>
      </c>
      <c r="B420" s="62" t="s">
        <v>824</v>
      </c>
      <c r="C420" s="62" t="s">
        <v>1172</v>
      </c>
      <c r="D420" s="6">
        <v>46115</v>
      </c>
      <c r="E420" s="6">
        <v>46121</v>
      </c>
      <c r="F420" s="63">
        <v>234.5</v>
      </c>
      <c r="G420" s="64">
        <f t="shared" si="115"/>
        <v>20636</v>
      </c>
      <c r="H420" s="64">
        <f t="shared" si="116"/>
        <v>20636</v>
      </c>
      <c r="I420" s="70">
        <v>135306</v>
      </c>
      <c r="J420" s="62" t="s">
        <v>1213</v>
      </c>
      <c r="K420" s="8" t="s">
        <v>1214</v>
      </c>
      <c r="L420" s="10" t="s">
        <v>1314</v>
      </c>
      <c r="M420" s="62">
        <v>1</v>
      </c>
      <c r="N420" s="8">
        <v>1</v>
      </c>
      <c r="O420" s="62">
        <f t="shared" si="117"/>
        <v>0</v>
      </c>
      <c r="P420" s="70">
        <v>93</v>
      </c>
      <c r="Q420" s="71">
        <v>46128</v>
      </c>
      <c r="R420" s="6">
        <v>46128</v>
      </c>
      <c r="S420" s="64">
        <v>28140</v>
      </c>
      <c r="T420" s="22">
        <v>5</v>
      </c>
      <c r="U420" s="64">
        <f t="shared" si="118"/>
        <v>1407</v>
      </c>
      <c r="V420" s="22">
        <v>0</v>
      </c>
      <c r="W420" s="22">
        <v>852718</v>
      </c>
      <c r="X420" s="62" t="s">
        <v>793</v>
      </c>
      <c r="Y420" s="62" t="s">
        <v>1120</v>
      </c>
      <c r="Z420" s="62" t="s">
        <v>1863</v>
      </c>
      <c r="AA420" s="65">
        <v>4</v>
      </c>
      <c r="AB420" s="66"/>
      <c r="AC420" s="1" t="s">
        <v>13</v>
      </c>
      <c r="AD420" s="62" t="str">
        <f>VLOOKUP(X420,'Customer List'!B:C,2,)</f>
        <v>Delhi</v>
      </c>
      <c r="AE420" s="67"/>
      <c r="AF420" s="6"/>
      <c r="AG420" s="62" t="str">
        <f t="shared" si="119"/>
        <v/>
      </c>
      <c r="AH420" s="62" t="str">
        <f t="shared" si="120"/>
        <v>Saturday</v>
      </c>
      <c r="AI420" s="62" t="str">
        <f t="shared" si="113"/>
        <v/>
      </c>
      <c r="AJ420" s="62" t="str">
        <f>VLOOKUP(AC420,'Currency Sheet'!A:C,3,)</f>
        <v>DOLLAR</v>
      </c>
      <c r="AK420" s="62" t="str">
        <f>VLOOKUP(X420,'Customer List'!B:D,3,)</f>
        <v>Local</v>
      </c>
    </row>
    <row r="421" spans="1:37" hidden="1" x14ac:dyDescent="0.25">
      <c r="A421" s="62">
        <f t="shared" si="114"/>
        <v>407</v>
      </c>
      <c r="B421" s="62" t="s">
        <v>824</v>
      </c>
      <c r="C421" s="62" t="s">
        <v>1172</v>
      </c>
      <c r="D421" s="6">
        <v>46115</v>
      </c>
      <c r="E421" s="6">
        <v>46121</v>
      </c>
      <c r="F421" s="63">
        <v>69.3</v>
      </c>
      <c r="G421" s="64">
        <f t="shared" si="115"/>
        <v>6098.4</v>
      </c>
      <c r="H421" s="64">
        <f t="shared" si="116"/>
        <v>6098.4</v>
      </c>
      <c r="I421" s="70">
        <v>135509</v>
      </c>
      <c r="J421" s="62" t="s">
        <v>1215</v>
      </c>
      <c r="K421" s="8" t="s">
        <v>1216</v>
      </c>
      <c r="L421" s="10" t="s">
        <v>1315</v>
      </c>
      <c r="M421" s="62">
        <v>1</v>
      </c>
      <c r="N421" s="8">
        <v>1</v>
      </c>
      <c r="O421" s="62">
        <f t="shared" si="117"/>
        <v>0</v>
      </c>
      <c r="P421" s="70">
        <v>93</v>
      </c>
      <c r="Q421" s="71">
        <v>46128</v>
      </c>
      <c r="R421" s="6">
        <v>46128</v>
      </c>
      <c r="S421" s="64">
        <v>8316</v>
      </c>
      <c r="T421" s="22">
        <v>5</v>
      </c>
      <c r="U421" s="64">
        <f t="shared" si="118"/>
        <v>415.8</v>
      </c>
      <c r="V421" s="22">
        <v>0</v>
      </c>
      <c r="W421" s="22">
        <v>852718</v>
      </c>
      <c r="X421" s="62" t="s">
        <v>793</v>
      </c>
      <c r="Y421" s="62" t="s">
        <v>1120</v>
      </c>
      <c r="Z421" s="62" t="s">
        <v>1863</v>
      </c>
      <c r="AA421" s="65">
        <v>4</v>
      </c>
      <c r="AB421" s="66"/>
      <c r="AC421" s="1" t="s">
        <v>13</v>
      </c>
      <c r="AD421" s="62" t="str">
        <f>VLOOKUP(X421,'Customer List'!B:C,2,)</f>
        <v>Delhi</v>
      </c>
      <c r="AE421" s="67"/>
      <c r="AF421" s="6"/>
      <c r="AG421" s="62" t="str">
        <f t="shared" si="119"/>
        <v/>
      </c>
      <c r="AH421" s="62" t="str">
        <f t="shared" si="120"/>
        <v>Saturday</v>
      </c>
      <c r="AI421" s="62" t="str">
        <f t="shared" si="113"/>
        <v/>
      </c>
      <c r="AJ421" s="62" t="str">
        <f>VLOOKUP(AC421,'Currency Sheet'!A:C,3,)</f>
        <v>DOLLAR</v>
      </c>
      <c r="AK421" s="62" t="str">
        <f>VLOOKUP(X421,'Customer List'!B:D,3,)</f>
        <v>Local</v>
      </c>
    </row>
    <row r="422" spans="1:37" hidden="1" x14ac:dyDescent="0.25">
      <c r="A422" s="62">
        <f t="shared" si="114"/>
        <v>408</v>
      </c>
      <c r="B422" s="62" t="s">
        <v>824</v>
      </c>
      <c r="C422" s="62" t="s">
        <v>1172</v>
      </c>
      <c r="D422" s="6">
        <v>46115</v>
      </c>
      <c r="E422" s="6">
        <v>46121</v>
      </c>
      <c r="F422" s="63">
        <v>185.5</v>
      </c>
      <c r="G422" s="64">
        <f t="shared" si="115"/>
        <v>16324</v>
      </c>
      <c r="H422" s="64">
        <f t="shared" si="116"/>
        <v>16324</v>
      </c>
      <c r="I422" s="70">
        <v>135512</v>
      </c>
      <c r="J422" s="62" t="s">
        <v>1215</v>
      </c>
      <c r="K422" s="8" t="s">
        <v>1217</v>
      </c>
      <c r="L422" s="10" t="s">
        <v>1316</v>
      </c>
      <c r="M422" s="62">
        <v>1</v>
      </c>
      <c r="N422" s="8">
        <v>1</v>
      </c>
      <c r="O422" s="62">
        <f t="shared" si="117"/>
        <v>0</v>
      </c>
      <c r="P422" s="70">
        <v>93</v>
      </c>
      <c r="Q422" s="71">
        <v>46128</v>
      </c>
      <c r="R422" s="6">
        <v>46128</v>
      </c>
      <c r="S422" s="64">
        <v>22260</v>
      </c>
      <c r="T422" s="22">
        <v>5</v>
      </c>
      <c r="U422" s="64">
        <f t="shared" si="118"/>
        <v>1113</v>
      </c>
      <c r="V422" s="22">
        <v>0</v>
      </c>
      <c r="W422" s="22">
        <v>852718</v>
      </c>
      <c r="X422" s="62" t="s">
        <v>793</v>
      </c>
      <c r="Y422" s="62" t="s">
        <v>1120</v>
      </c>
      <c r="Z422" s="62" t="s">
        <v>1863</v>
      </c>
      <c r="AA422" s="65">
        <v>4</v>
      </c>
      <c r="AB422" s="66"/>
      <c r="AC422" s="1" t="s">
        <v>13</v>
      </c>
      <c r="AD422" s="62" t="str">
        <f>VLOOKUP(X422,'Customer List'!B:C,2,)</f>
        <v>Delhi</v>
      </c>
      <c r="AE422" s="67"/>
      <c r="AF422" s="6"/>
      <c r="AG422" s="62" t="str">
        <f t="shared" si="119"/>
        <v/>
      </c>
      <c r="AH422" s="62" t="str">
        <f t="shared" si="120"/>
        <v>Saturday</v>
      </c>
      <c r="AI422" s="62" t="str">
        <f t="shared" si="113"/>
        <v/>
      </c>
      <c r="AJ422" s="62" t="str">
        <f>VLOOKUP(AC422,'Currency Sheet'!A:C,3,)</f>
        <v>DOLLAR</v>
      </c>
      <c r="AK422" s="62" t="str">
        <f>VLOOKUP(X422,'Customer List'!B:D,3,)</f>
        <v>Local</v>
      </c>
    </row>
    <row r="423" spans="1:37" hidden="1" x14ac:dyDescent="0.25">
      <c r="A423" s="62">
        <f t="shared" si="114"/>
        <v>409</v>
      </c>
      <c r="B423" s="62" t="s">
        <v>824</v>
      </c>
      <c r="C423" s="62" t="s">
        <v>1172</v>
      </c>
      <c r="D423" s="6">
        <v>46115</v>
      </c>
      <c r="E423" s="6">
        <v>46121</v>
      </c>
      <c r="F423" s="63">
        <v>234.5</v>
      </c>
      <c r="G423" s="64">
        <f t="shared" si="115"/>
        <v>20636</v>
      </c>
      <c r="H423" s="64">
        <f t="shared" si="116"/>
        <v>20636</v>
      </c>
      <c r="I423" s="70">
        <v>140310</v>
      </c>
      <c r="J423" s="62" t="s">
        <v>1218</v>
      </c>
      <c r="K423" s="8" t="s">
        <v>1219</v>
      </c>
      <c r="L423" s="10" t="s">
        <v>1317</v>
      </c>
      <c r="M423" s="62">
        <v>1</v>
      </c>
      <c r="N423" s="8">
        <v>1</v>
      </c>
      <c r="O423" s="62">
        <f t="shared" si="117"/>
        <v>0</v>
      </c>
      <c r="P423" s="70">
        <v>93</v>
      </c>
      <c r="Q423" s="71">
        <v>46128</v>
      </c>
      <c r="R423" s="6">
        <v>46128</v>
      </c>
      <c r="S423" s="64">
        <v>28140</v>
      </c>
      <c r="T423" s="22">
        <v>5</v>
      </c>
      <c r="U423" s="64">
        <f t="shared" si="118"/>
        <v>1407</v>
      </c>
      <c r="V423" s="22">
        <v>0</v>
      </c>
      <c r="W423" s="22">
        <v>852718</v>
      </c>
      <c r="X423" s="62" t="s">
        <v>793</v>
      </c>
      <c r="Y423" s="62" t="s">
        <v>1120</v>
      </c>
      <c r="Z423" s="62" t="s">
        <v>1863</v>
      </c>
      <c r="AA423" s="65">
        <v>4</v>
      </c>
      <c r="AB423" s="66"/>
      <c r="AC423" s="1" t="s">
        <v>13</v>
      </c>
      <c r="AD423" s="62" t="str">
        <f>VLOOKUP(X423,'Customer List'!B:C,2,)</f>
        <v>Delhi</v>
      </c>
      <c r="AE423" s="67"/>
      <c r="AF423" s="6"/>
      <c r="AG423" s="62" t="str">
        <f t="shared" si="119"/>
        <v/>
      </c>
      <c r="AH423" s="62" t="str">
        <f t="shared" si="120"/>
        <v>Saturday</v>
      </c>
      <c r="AI423" s="62" t="str">
        <f t="shared" si="113"/>
        <v/>
      </c>
      <c r="AJ423" s="62" t="str">
        <f>VLOOKUP(AC423,'Currency Sheet'!A:C,3,)</f>
        <v>DOLLAR</v>
      </c>
      <c r="AK423" s="62" t="str">
        <f>VLOOKUP(X423,'Customer List'!B:D,3,)</f>
        <v>Local</v>
      </c>
    </row>
    <row r="424" spans="1:37" hidden="1" x14ac:dyDescent="0.25">
      <c r="A424" s="62">
        <f t="shared" si="114"/>
        <v>410</v>
      </c>
      <c r="B424" s="62" t="s">
        <v>824</v>
      </c>
      <c r="C424" s="62" t="s">
        <v>1172</v>
      </c>
      <c r="D424" s="6">
        <v>46115</v>
      </c>
      <c r="E424" s="6">
        <v>46121</v>
      </c>
      <c r="F424" s="63">
        <v>245</v>
      </c>
      <c r="G424" s="64">
        <f t="shared" si="115"/>
        <v>21560</v>
      </c>
      <c r="H424" s="64">
        <f t="shared" si="116"/>
        <v>21560</v>
      </c>
      <c r="I424" s="70">
        <v>146508</v>
      </c>
      <c r="J424" s="62" t="s">
        <v>1220</v>
      </c>
      <c r="K424" s="8" t="s">
        <v>1221</v>
      </c>
      <c r="L424" s="10" t="s">
        <v>1318</v>
      </c>
      <c r="M424" s="62">
        <v>1</v>
      </c>
      <c r="N424" s="8">
        <v>1</v>
      </c>
      <c r="O424" s="62">
        <f t="shared" si="117"/>
        <v>0</v>
      </c>
      <c r="P424" s="70">
        <v>93</v>
      </c>
      <c r="Q424" s="71">
        <v>46128</v>
      </c>
      <c r="R424" s="6">
        <v>46128</v>
      </c>
      <c r="S424" s="64">
        <v>29400</v>
      </c>
      <c r="T424" s="22">
        <v>5</v>
      </c>
      <c r="U424" s="64">
        <f t="shared" si="118"/>
        <v>1470</v>
      </c>
      <c r="V424" s="22">
        <v>0</v>
      </c>
      <c r="W424" s="22">
        <v>852718</v>
      </c>
      <c r="X424" s="62" t="s">
        <v>793</v>
      </c>
      <c r="Y424" s="62" t="s">
        <v>1120</v>
      </c>
      <c r="Z424" s="62" t="s">
        <v>1863</v>
      </c>
      <c r="AA424" s="65">
        <v>4</v>
      </c>
      <c r="AB424" s="66"/>
      <c r="AC424" s="1" t="s">
        <v>13</v>
      </c>
      <c r="AD424" s="62" t="str">
        <f>VLOOKUP(X424,'Customer List'!B:C,2,)</f>
        <v>Delhi</v>
      </c>
      <c r="AE424" s="67"/>
      <c r="AF424" s="6"/>
      <c r="AG424" s="62" t="str">
        <f t="shared" si="119"/>
        <v/>
      </c>
      <c r="AH424" s="62" t="str">
        <f t="shared" si="120"/>
        <v>Saturday</v>
      </c>
      <c r="AI424" s="62" t="str">
        <f t="shared" si="113"/>
        <v/>
      </c>
      <c r="AJ424" s="62" t="str">
        <f>VLOOKUP(AC424,'Currency Sheet'!A:C,3,)</f>
        <v>DOLLAR</v>
      </c>
      <c r="AK424" s="62" t="str">
        <f>VLOOKUP(X424,'Customer List'!B:D,3,)</f>
        <v>Local</v>
      </c>
    </row>
    <row r="425" spans="1:37" hidden="1" x14ac:dyDescent="0.25">
      <c r="A425" s="62">
        <f t="shared" si="114"/>
        <v>411</v>
      </c>
      <c r="B425" s="62" t="s">
        <v>824</v>
      </c>
      <c r="C425" s="62" t="s">
        <v>1172</v>
      </c>
      <c r="D425" s="6">
        <v>46115</v>
      </c>
      <c r="E425" s="6">
        <v>46121</v>
      </c>
      <c r="F425" s="63">
        <v>234.5</v>
      </c>
      <c r="G425" s="64">
        <f t="shared" si="115"/>
        <v>20636</v>
      </c>
      <c r="H425" s="64">
        <f t="shared" si="116"/>
        <v>20636</v>
      </c>
      <c r="I425" s="70">
        <v>149304</v>
      </c>
      <c r="J425" s="62" t="s">
        <v>1222</v>
      </c>
      <c r="K425" s="8" t="s">
        <v>1223</v>
      </c>
      <c r="L425" s="10" t="s">
        <v>1319</v>
      </c>
      <c r="M425" s="62">
        <v>1</v>
      </c>
      <c r="N425" s="8">
        <v>1</v>
      </c>
      <c r="O425" s="62">
        <f t="shared" si="117"/>
        <v>0</v>
      </c>
      <c r="P425" s="70">
        <v>93</v>
      </c>
      <c r="Q425" s="71">
        <v>46128</v>
      </c>
      <c r="R425" s="6">
        <v>46128</v>
      </c>
      <c r="S425" s="64">
        <v>28140</v>
      </c>
      <c r="T425" s="22">
        <v>5</v>
      </c>
      <c r="U425" s="64">
        <f t="shared" si="118"/>
        <v>1407</v>
      </c>
      <c r="V425" s="22">
        <v>0</v>
      </c>
      <c r="W425" s="22">
        <v>852718</v>
      </c>
      <c r="X425" s="62" t="s">
        <v>793</v>
      </c>
      <c r="Y425" s="62" t="s">
        <v>1120</v>
      </c>
      <c r="Z425" s="62" t="s">
        <v>1863</v>
      </c>
      <c r="AA425" s="65">
        <v>4</v>
      </c>
      <c r="AB425" s="66"/>
      <c r="AC425" s="1" t="s">
        <v>13</v>
      </c>
      <c r="AD425" s="62" t="str">
        <f>VLOOKUP(X425,'Customer List'!B:C,2,)</f>
        <v>Delhi</v>
      </c>
      <c r="AE425" s="67"/>
      <c r="AF425" s="6"/>
      <c r="AG425" s="62" t="str">
        <f t="shared" si="119"/>
        <v/>
      </c>
      <c r="AH425" s="62" t="str">
        <f t="shared" si="120"/>
        <v>Saturday</v>
      </c>
      <c r="AI425" s="62" t="str">
        <f t="shared" si="113"/>
        <v/>
      </c>
      <c r="AJ425" s="62" t="str">
        <f>VLOOKUP(AC425,'Currency Sheet'!A:C,3,)</f>
        <v>DOLLAR</v>
      </c>
      <c r="AK425" s="62" t="str">
        <f>VLOOKUP(X425,'Customer List'!B:D,3,)</f>
        <v>Local</v>
      </c>
    </row>
    <row r="426" spans="1:37" hidden="1" x14ac:dyDescent="0.25">
      <c r="A426" s="62">
        <f t="shared" si="114"/>
        <v>412</v>
      </c>
      <c r="B426" s="62" t="s">
        <v>824</v>
      </c>
      <c r="C426" s="62" t="s">
        <v>1172</v>
      </c>
      <c r="D426" s="6">
        <v>46115</v>
      </c>
      <c r="E426" s="6">
        <v>46121</v>
      </c>
      <c r="F426" s="63">
        <v>236.6</v>
      </c>
      <c r="G426" s="64">
        <f t="shared" si="115"/>
        <v>20820.8</v>
      </c>
      <c r="H426" s="64">
        <f t="shared" si="116"/>
        <v>20820.8</v>
      </c>
      <c r="I426" s="70">
        <v>149312</v>
      </c>
      <c r="J426" s="62" t="s">
        <v>1222</v>
      </c>
      <c r="K426" s="8" t="s">
        <v>1224</v>
      </c>
      <c r="L426" s="10" t="s">
        <v>1320</v>
      </c>
      <c r="M426" s="62">
        <v>1</v>
      </c>
      <c r="N426" s="8">
        <v>1</v>
      </c>
      <c r="O426" s="62">
        <f t="shared" si="117"/>
        <v>0</v>
      </c>
      <c r="P426" s="70">
        <v>93</v>
      </c>
      <c r="Q426" s="71">
        <v>46128</v>
      </c>
      <c r="R426" s="6">
        <v>46128</v>
      </c>
      <c r="S426" s="64">
        <v>28392</v>
      </c>
      <c r="T426" s="22">
        <v>5</v>
      </c>
      <c r="U426" s="64">
        <f t="shared" si="118"/>
        <v>1419.6000000000001</v>
      </c>
      <c r="V426" s="22">
        <v>0</v>
      </c>
      <c r="W426" s="22">
        <v>852718</v>
      </c>
      <c r="X426" s="62" t="s">
        <v>793</v>
      </c>
      <c r="Y426" s="62" t="s">
        <v>1120</v>
      </c>
      <c r="Z426" s="62" t="s">
        <v>1863</v>
      </c>
      <c r="AA426" s="65">
        <v>4</v>
      </c>
      <c r="AB426" s="66"/>
      <c r="AC426" s="1" t="s">
        <v>13</v>
      </c>
      <c r="AD426" s="62" t="str">
        <f>VLOOKUP(X426,'Customer List'!B:C,2,)</f>
        <v>Delhi</v>
      </c>
      <c r="AE426" s="67"/>
      <c r="AF426" s="6"/>
      <c r="AG426" s="62" t="str">
        <f t="shared" si="119"/>
        <v/>
      </c>
      <c r="AH426" s="62" t="str">
        <f t="shared" si="120"/>
        <v>Saturday</v>
      </c>
      <c r="AI426" s="62" t="str">
        <f t="shared" si="113"/>
        <v/>
      </c>
      <c r="AJ426" s="62" t="str">
        <f>VLOOKUP(AC426,'Currency Sheet'!A:C,3,)</f>
        <v>DOLLAR</v>
      </c>
      <c r="AK426" s="62" t="str">
        <f>VLOOKUP(X426,'Customer List'!B:D,3,)</f>
        <v>Local</v>
      </c>
    </row>
    <row r="427" spans="1:37" hidden="1" x14ac:dyDescent="0.25">
      <c r="A427" s="62">
        <f t="shared" si="114"/>
        <v>413</v>
      </c>
      <c r="B427" s="62" t="s">
        <v>824</v>
      </c>
      <c r="C427" s="62" t="s">
        <v>1172</v>
      </c>
      <c r="D427" s="6">
        <v>46115</v>
      </c>
      <c r="E427" s="6">
        <v>46121</v>
      </c>
      <c r="F427" s="63">
        <v>262.5</v>
      </c>
      <c r="G427" s="64">
        <f t="shared" si="115"/>
        <v>23100</v>
      </c>
      <c r="H427" s="64">
        <f t="shared" si="116"/>
        <v>23100</v>
      </c>
      <c r="I427" s="70">
        <v>155530</v>
      </c>
      <c r="J427" s="62" t="s">
        <v>1225</v>
      </c>
      <c r="K427" s="8" t="s">
        <v>1226</v>
      </c>
      <c r="L427" s="10" t="s">
        <v>1321</v>
      </c>
      <c r="M427" s="62">
        <v>1</v>
      </c>
      <c r="N427" s="8">
        <v>1</v>
      </c>
      <c r="O427" s="62">
        <f t="shared" si="117"/>
        <v>0</v>
      </c>
      <c r="P427" s="70">
        <v>93</v>
      </c>
      <c r="Q427" s="71">
        <v>46128</v>
      </c>
      <c r="R427" s="6">
        <v>46128</v>
      </c>
      <c r="S427" s="64">
        <v>31500</v>
      </c>
      <c r="T427" s="22">
        <v>5</v>
      </c>
      <c r="U427" s="64">
        <f t="shared" si="118"/>
        <v>1575</v>
      </c>
      <c r="V427" s="22">
        <v>0</v>
      </c>
      <c r="W427" s="22">
        <v>852718</v>
      </c>
      <c r="X427" s="62" t="s">
        <v>793</v>
      </c>
      <c r="Y427" s="62" t="s">
        <v>1120</v>
      </c>
      <c r="Z427" s="62" t="s">
        <v>1863</v>
      </c>
      <c r="AA427" s="65">
        <v>4</v>
      </c>
      <c r="AB427" s="66"/>
      <c r="AC427" s="1" t="s">
        <v>13</v>
      </c>
      <c r="AD427" s="62" t="str">
        <f>VLOOKUP(X427,'Customer List'!B:C,2,)</f>
        <v>Delhi</v>
      </c>
      <c r="AE427" s="67"/>
      <c r="AF427" s="6"/>
      <c r="AG427" s="62" t="str">
        <f t="shared" si="119"/>
        <v/>
      </c>
      <c r="AH427" s="62" t="str">
        <f t="shared" si="120"/>
        <v>Saturday</v>
      </c>
      <c r="AI427" s="62" t="str">
        <f t="shared" si="113"/>
        <v/>
      </c>
      <c r="AJ427" s="62" t="str">
        <f>VLOOKUP(AC427,'Currency Sheet'!A:C,3,)</f>
        <v>DOLLAR</v>
      </c>
      <c r="AK427" s="62" t="str">
        <f>VLOOKUP(X427,'Customer List'!B:D,3,)</f>
        <v>Local</v>
      </c>
    </row>
    <row r="428" spans="1:37" hidden="1" x14ac:dyDescent="0.25">
      <c r="A428" s="62">
        <f t="shared" si="114"/>
        <v>414</v>
      </c>
      <c r="B428" s="62" t="s">
        <v>824</v>
      </c>
      <c r="C428" s="62" t="s">
        <v>1172</v>
      </c>
      <c r="D428" s="6">
        <v>46115</v>
      </c>
      <c r="E428" s="6">
        <v>46121</v>
      </c>
      <c r="F428" s="63">
        <v>219</v>
      </c>
      <c r="G428" s="64">
        <f t="shared" si="115"/>
        <v>19272</v>
      </c>
      <c r="H428" s="64">
        <f t="shared" si="116"/>
        <v>19272</v>
      </c>
      <c r="I428" s="70">
        <v>155547</v>
      </c>
      <c r="J428" s="62" t="s">
        <v>1225</v>
      </c>
      <c r="K428" s="8" t="s">
        <v>1227</v>
      </c>
      <c r="L428" s="10" t="s">
        <v>1322</v>
      </c>
      <c r="M428" s="62">
        <v>1</v>
      </c>
      <c r="N428" s="8">
        <v>1</v>
      </c>
      <c r="O428" s="62">
        <f t="shared" si="117"/>
        <v>0</v>
      </c>
      <c r="P428" s="70">
        <v>93</v>
      </c>
      <c r="Q428" s="71">
        <v>46128</v>
      </c>
      <c r="R428" s="6">
        <v>46128</v>
      </c>
      <c r="S428" s="64">
        <v>24528</v>
      </c>
      <c r="T428" s="22">
        <v>5</v>
      </c>
      <c r="U428" s="64">
        <f t="shared" si="118"/>
        <v>1226.4000000000001</v>
      </c>
      <c r="V428" s="22">
        <v>0</v>
      </c>
      <c r="W428" s="22">
        <v>852718</v>
      </c>
      <c r="X428" s="62" t="s">
        <v>793</v>
      </c>
      <c r="Y428" s="62" t="s">
        <v>1120</v>
      </c>
      <c r="Z428" s="62" t="s">
        <v>1863</v>
      </c>
      <c r="AA428" s="65">
        <v>4</v>
      </c>
      <c r="AB428" s="66"/>
      <c r="AC428" s="1" t="s">
        <v>13</v>
      </c>
      <c r="AD428" s="62" t="str">
        <f>VLOOKUP(X428,'Customer List'!B:C,2,)</f>
        <v>Delhi</v>
      </c>
      <c r="AE428" s="67"/>
      <c r="AF428" s="6"/>
      <c r="AG428" s="62" t="str">
        <f t="shared" si="119"/>
        <v/>
      </c>
      <c r="AH428" s="62" t="str">
        <f t="shared" si="120"/>
        <v>Saturday</v>
      </c>
      <c r="AI428" s="62" t="str">
        <f t="shared" si="113"/>
        <v/>
      </c>
      <c r="AJ428" s="62" t="str">
        <f>VLOOKUP(AC428,'Currency Sheet'!A:C,3,)</f>
        <v>DOLLAR</v>
      </c>
      <c r="AK428" s="62" t="str">
        <f>VLOOKUP(X428,'Customer List'!B:D,3,)</f>
        <v>Local</v>
      </c>
    </row>
    <row r="429" spans="1:37" hidden="1" x14ac:dyDescent="0.25">
      <c r="A429" s="62">
        <f t="shared" si="114"/>
        <v>415</v>
      </c>
      <c r="B429" s="62" t="s">
        <v>824</v>
      </c>
      <c r="C429" s="62" t="s">
        <v>1172</v>
      </c>
      <c r="D429" s="6">
        <v>46115</v>
      </c>
      <c r="E429" s="6">
        <v>46121</v>
      </c>
      <c r="F429" s="63">
        <v>321.75</v>
      </c>
      <c r="G429" s="64">
        <f t="shared" si="115"/>
        <v>28314</v>
      </c>
      <c r="H429" s="64">
        <f t="shared" si="116"/>
        <v>28314</v>
      </c>
      <c r="I429" s="70">
        <v>300534</v>
      </c>
      <c r="J429" s="62" t="s">
        <v>744</v>
      </c>
      <c r="K429" s="8" t="s">
        <v>1228</v>
      </c>
      <c r="L429" s="10" t="s">
        <v>1305</v>
      </c>
      <c r="M429" s="62">
        <v>1</v>
      </c>
      <c r="N429" s="8">
        <v>1</v>
      </c>
      <c r="O429" s="62">
        <f t="shared" si="117"/>
        <v>0</v>
      </c>
      <c r="P429" s="70">
        <v>92</v>
      </c>
      <c r="Q429" s="71">
        <v>46128</v>
      </c>
      <c r="R429" s="6">
        <v>46128</v>
      </c>
      <c r="S429" s="64">
        <v>48541.35</v>
      </c>
      <c r="T429" s="22">
        <v>5</v>
      </c>
      <c r="U429" s="64">
        <f t="shared" si="118"/>
        <v>2427.0675000000001</v>
      </c>
      <c r="V429" s="22">
        <v>0.16</v>
      </c>
      <c r="W429" s="22">
        <v>229061</v>
      </c>
      <c r="X429" s="62" t="s">
        <v>1360</v>
      </c>
      <c r="Y429" s="62" t="s">
        <v>1120</v>
      </c>
      <c r="Z429" s="62" t="s">
        <v>1116</v>
      </c>
      <c r="AA429" s="65">
        <v>4</v>
      </c>
      <c r="AB429" s="66"/>
      <c r="AC429" s="1" t="s">
        <v>13</v>
      </c>
      <c r="AD429" s="62" t="str">
        <f>VLOOKUP(X429,'Customer List'!B:C,2,)</f>
        <v>Manesar</v>
      </c>
      <c r="AE429" s="67"/>
      <c r="AF429" s="6"/>
      <c r="AG429" s="62" t="str">
        <f t="shared" si="119"/>
        <v/>
      </c>
      <c r="AH429" s="62" t="str">
        <f t="shared" si="120"/>
        <v>Tuesday</v>
      </c>
      <c r="AI429" s="62" t="str">
        <f t="shared" si="113"/>
        <v/>
      </c>
      <c r="AJ429" s="62" t="str">
        <f>VLOOKUP(AC429,'Currency Sheet'!A:C,3,)</f>
        <v>DOLLAR</v>
      </c>
      <c r="AK429" s="62" t="str">
        <f>VLOOKUP(X429,'Customer List'!B:D,3,)</f>
        <v>Local</v>
      </c>
    </row>
    <row r="430" spans="1:37" hidden="1" x14ac:dyDescent="0.25">
      <c r="A430" s="62">
        <f t="shared" si="114"/>
        <v>416</v>
      </c>
      <c r="B430" s="62" t="s">
        <v>824</v>
      </c>
      <c r="C430" s="62" t="s">
        <v>1172</v>
      </c>
      <c r="D430" s="6">
        <v>46115</v>
      </c>
      <c r="E430" s="6">
        <v>46121</v>
      </c>
      <c r="F430" s="63">
        <v>207.9</v>
      </c>
      <c r="G430" s="64">
        <f t="shared" si="115"/>
        <v>18295.2</v>
      </c>
      <c r="H430" s="64">
        <f t="shared" si="116"/>
        <v>18295.2</v>
      </c>
      <c r="I430" s="70">
        <v>302010</v>
      </c>
      <c r="J430" s="62" t="s">
        <v>750</v>
      </c>
      <c r="K430" s="8" t="s">
        <v>1229</v>
      </c>
      <c r="L430" s="10" t="s">
        <v>1323</v>
      </c>
      <c r="M430" s="62">
        <v>1</v>
      </c>
      <c r="N430" s="8">
        <v>1</v>
      </c>
      <c r="O430" s="62">
        <f t="shared" si="117"/>
        <v>0</v>
      </c>
      <c r="P430" s="70">
        <v>55</v>
      </c>
      <c r="Q430" s="71">
        <v>46121</v>
      </c>
      <c r="R430" s="6">
        <v>46121</v>
      </c>
      <c r="S430" s="64">
        <v>32224.5</v>
      </c>
      <c r="T430" s="22">
        <v>5</v>
      </c>
      <c r="U430" s="64">
        <f t="shared" si="118"/>
        <v>1611.2250000000001</v>
      </c>
      <c r="V430" s="22"/>
      <c r="W430" s="22"/>
      <c r="X430" s="62" t="s">
        <v>1361</v>
      </c>
      <c r="Y430" s="62" t="s">
        <v>1387</v>
      </c>
      <c r="Z430" s="62" t="s">
        <v>1112</v>
      </c>
      <c r="AA430" s="65">
        <v>4</v>
      </c>
      <c r="AB430" s="66"/>
      <c r="AC430" s="1" t="s">
        <v>13</v>
      </c>
      <c r="AD430" s="62" t="str">
        <f>VLOOKUP(X430,'Customer List'!B:C,2,)</f>
        <v>Chandigarh</v>
      </c>
      <c r="AE430" s="67"/>
      <c r="AF430" s="6">
        <v>46122</v>
      </c>
      <c r="AG430" s="62">
        <f t="shared" si="119"/>
        <v>1</v>
      </c>
      <c r="AH430" s="62" t="str">
        <f t="shared" si="120"/>
        <v>Tuesday</v>
      </c>
      <c r="AI430" s="62" t="str">
        <f t="shared" si="113"/>
        <v>Friday</v>
      </c>
      <c r="AJ430" s="62" t="str">
        <f>VLOOKUP(AC430,'Currency Sheet'!A:C,3,)</f>
        <v>DOLLAR</v>
      </c>
      <c r="AK430" s="62" t="str">
        <f>VLOOKUP(X430,'Customer List'!B:D,3,)</f>
        <v>OutStation</v>
      </c>
    </row>
    <row r="431" spans="1:37" hidden="1" x14ac:dyDescent="0.25">
      <c r="A431" s="62">
        <f t="shared" si="114"/>
        <v>417</v>
      </c>
      <c r="B431" s="62" t="s">
        <v>824</v>
      </c>
      <c r="C431" s="62" t="s">
        <v>1172</v>
      </c>
      <c r="D431" s="6">
        <v>46115</v>
      </c>
      <c r="E431" s="6">
        <v>46121</v>
      </c>
      <c r="F431" s="63">
        <v>92.4</v>
      </c>
      <c r="G431" s="64">
        <f t="shared" si="115"/>
        <v>8131.2000000000007</v>
      </c>
      <c r="H431" s="64">
        <f t="shared" si="116"/>
        <v>8131.2000000000007</v>
      </c>
      <c r="I431" s="70">
        <v>302011</v>
      </c>
      <c r="J431" s="62" t="s">
        <v>750</v>
      </c>
      <c r="K431" s="8" t="s">
        <v>1230</v>
      </c>
      <c r="L431" s="10" t="s">
        <v>1324</v>
      </c>
      <c r="M431" s="62">
        <v>1</v>
      </c>
      <c r="N431" s="8">
        <v>1</v>
      </c>
      <c r="O431" s="62">
        <f t="shared" si="117"/>
        <v>0</v>
      </c>
      <c r="P431" s="70">
        <v>85</v>
      </c>
      <c r="Q431" s="71">
        <v>46125</v>
      </c>
      <c r="R431" s="6">
        <v>46125</v>
      </c>
      <c r="S431" s="64">
        <v>13299</v>
      </c>
      <c r="T431" s="22">
        <v>5</v>
      </c>
      <c r="U431" s="64">
        <f t="shared" si="118"/>
        <v>664.95</v>
      </c>
      <c r="V431" s="22">
        <v>-0.17</v>
      </c>
      <c r="W431" s="22">
        <v>56173</v>
      </c>
      <c r="X431" s="62" t="s">
        <v>792</v>
      </c>
      <c r="Y431" s="62" t="s">
        <v>1120</v>
      </c>
      <c r="Z431" s="62" t="s">
        <v>821</v>
      </c>
      <c r="AA431" s="65">
        <v>4</v>
      </c>
      <c r="AB431" s="66"/>
      <c r="AC431" s="1" t="s">
        <v>13</v>
      </c>
      <c r="AD431" s="62" t="str">
        <f>VLOOKUP(X431,'Customer List'!B:C,2,)</f>
        <v>Delhi</v>
      </c>
      <c r="AE431" s="67"/>
      <c r="AF431" s="6"/>
      <c r="AG431" s="62" t="str">
        <f t="shared" si="119"/>
        <v/>
      </c>
      <c r="AH431" s="62" t="str">
        <f t="shared" si="120"/>
        <v>Friday</v>
      </c>
      <c r="AI431" s="62" t="str">
        <f t="shared" si="113"/>
        <v/>
      </c>
      <c r="AJ431" s="62" t="str">
        <f>VLOOKUP(AC431,'Currency Sheet'!A:C,3,)</f>
        <v>DOLLAR</v>
      </c>
      <c r="AK431" s="62" t="str">
        <f>VLOOKUP(X431,'Customer List'!B:D,3,)</f>
        <v>Local</v>
      </c>
    </row>
    <row r="432" spans="1:37" hidden="1" x14ac:dyDescent="0.25">
      <c r="A432" s="62">
        <f t="shared" si="114"/>
        <v>418</v>
      </c>
      <c r="B432" s="62" t="s">
        <v>824</v>
      </c>
      <c r="C432" s="62" t="s">
        <v>1172</v>
      </c>
      <c r="D432" s="6">
        <v>46115</v>
      </c>
      <c r="E432" s="6">
        <v>46121</v>
      </c>
      <c r="F432" s="63">
        <v>104.3</v>
      </c>
      <c r="G432" s="64">
        <f t="shared" si="115"/>
        <v>9178.4</v>
      </c>
      <c r="H432" s="64">
        <f t="shared" si="116"/>
        <v>9178.4</v>
      </c>
      <c r="I432" s="70">
        <v>302306</v>
      </c>
      <c r="J432" s="62" t="s">
        <v>765</v>
      </c>
      <c r="K432" s="8" t="s">
        <v>953</v>
      </c>
      <c r="L432" s="10" t="s">
        <v>1325</v>
      </c>
      <c r="M432" s="62">
        <v>1</v>
      </c>
      <c r="N432" s="8">
        <v>1</v>
      </c>
      <c r="O432" s="62">
        <f t="shared" si="117"/>
        <v>0</v>
      </c>
      <c r="P432" s="70">
        <v>60</v>
      </c>
      <c r="Q432" s="71">
        <v>46122</v>
      </c>
      <c r="R432" s="6">
        <v>46123</v>
      </c>
      <c r="S432" s="64">
        <v>13857</v>
      </c>
      <c r="T432" s="22">
        <v>5</v>
      </c>
      <c r="U432" s="64">
        <f t="shared" si="118"/>
        <v>692.85</v>
      </c>
      <c r="V432" s="22">
        <v>0.05</v>
      </c>
      <c r="W432" s="22">
        <v>85639</v>
      </c>
      <c r="X432" s="62" t="s">
        <v>1110</v>
      </c>
      <c r="Y432" s="62">
        <v>58164183582</v>
      </c>
      <c r="Z432" s="62" t="s">
        <v>1112</v>
      </c>
      <c r="AA432" s="65">
        <v>4</v>
      </c>
      <c r="AB432" s="66"/>
      <c r="AC432" s="1" t="s">
        <v>13</v>
      </c>
      <c r="AD432" s="62" t="str">
        <f>VLOOKUP(X432,'Customer List'!B:C,2,)</f>
        <v>Banglore</v>
      </c>
      <c r="AE432" s="67"/>
      <c r="AF432" s="6">
        <v>46125</v>
      </c>
      <c r="AG432" s="62">
        <f t="shared" si="119"/>
        <v>2</v>
      </c>
      <c r="AH432" s="62" t="str">
        <f t="shared" si="120"/>
        <v>Wednesday</v>
      </c>
      <c r="AI432" s="62" t="str">
        <f t="shared" si="113"/>
        <v>Monday</v>
      </c>
      <c r="AJ432" s="62" t="str">
        <f>VLOOKUP(AC432,'Currency Sheet'!A:C,3,)</f>
        <v>DOLLAR</v>
      </c>
      <c r="AK432" s="62" t="str">
        <f>VLOOKUP(X432,'Customer List'!B:D,3,)</f>
        <v>OutStation</v>
      </c>
    </row>
    <row r="433" spans="1:37" hidden="1" x14ac:dyDescent="0.25">
      <c r="A433" s="62">
        <f t="shared" si="114"/>
        <v>419</v>
      </c>
      <c r="B433" s="62" t="s">
        <v>824</v>
      </c>
      <c r="C433" s="62" t="s">
        <v>1172</v>
      </c>
      <c r="D433" s="6">
        <v>46115</v>
      </c>
      <c r="E433" s="6">
        <v>46121</v>
      </c>
      <c r="F433" s="63">
        <v>254.8</v>
      </c>
      <c r="G433" s="64">
        <f t="shared" si="115"/>
        <v>22422.400000000001</v>
      </c>
      <c r="H433" s="64">
        <f t="shared" si="116"/>
        <v>44844.800000000003</v>
      </c>
      <c r="I433" s="70">
        <v>302528</v>
      </c>
      <c r="J433" s="62" t="s">
        <v>1231</v>
      </c>
      <c r="K433" s="8" t="s">
        <v>1232</v>
      </c>
      <c r="L433" s="10" t="s">
        <v>1326</v>
      </c>
      <c r="M433" s="62">
        <v>2</v>
      </c>
      <c r="N433" s="8">
        <v>2</v>
      </c>
      <c r="O433" s="62">
        <f t="shared" si="117"/>
        <v>0</v>
      </c>
      <c r="P433" s="70">
        <v>60</v>
      </c>
      <c r="Q433" s="71">
        <v>46122</v>
      </c>
      <c r="R433" s="6">
        <v>46123</v>
      </c>
      <c r="S433" s="64">
        <v>67704</v>
      </c>
      <c r="T433" s="22">
        <v>5</v>
      </c>
      <c r="U433" s="64">
        <f t="shared" si="118"/>
        <v>3385.2000000000003</v>
      </c>
      <c r="V433" s="22">
        <v>0</v>
      </c>
      <c r="W433" s="22">
        <v>85639</v>
      </c>
      <c r="X433" s="62" t="s">
        <v>1110</v>
      </c>
      <c r="Y433" s="62">
        <v>58164183582</v>
      </c>
      <c r="Z433" s="62" t="s">
        <v>1112</v>
      </c>
      <c r="AA433" s="65">
        <v>4</v>
      </c>
      <c r="AB433" s="66"/>
      <c r="AC433" s="1" t="s">
        <v>13</v>
      </c>
      <c r="AD433" s="62" t="str">
        <f>VLOOKUP(X433,'Customer List'!B:C,2,)</f>
        <v>Banglore</v>
      </c>
      <c r="AE433" s="67"/>
      <c r="AF433" s="6">
        <v>46125</v>
      </c>
      <c r="AG433" s="62">
        <f t="shared" si="119"/>
        <v>2</v>
      </c>
      <c r="AH433" s="62" t="str">
        <f t="shared" si="120"/>
        <v>Saturday</v>
      </c>
      <c r="AI433" s="62" t="str">
        <f t="shared" si="113"/>
        <v>Monday</v>
      </c>
      <c r="AJ433" s="62" t="str">
        <f>VLOOKUP(AC433,'Currency Sheet'!A:C,3,)</f>
        <v>DOLLAR</v>
      </c>
      <c r="AK433" s="62" t="str">
        <f>VLOOKUP(X433,'Customer List'!B:D,3,)</f>
        <v>OutStation</v>
      </c>
    </row>
    <row r="434" spans="1:37" hidden="1" x14ac:dyDescent="0.25">
      <c r="A434" s="62">
        <f t="shared" si="114"/>
        <v>420</v>
      </c>
      <c r="B434" s="62" t="s">
        <v>824</v>
      </c>
      <c r="C434" s="62" t="s">
        <v>1172</v>
      </c>
      <c r="D434" s="6">
        <v>46115</v>
      </c>
      <c r="E434" s="6">
        <v>46121</v>
      </c>
      <c r="F434" s="63">
        <v>254.8</v>
      </c>
      <c r="G434" s="64">
        <f t="shared" si="115"/>
        <v>22422.400000000001</v>
      </c>
      <c r="H434" s="64">
        <f t="shared" si="116"/>
        <v>44844.800000000003</v>
      </c>
      <c r="I434" s="70">
        <v>302528</v>
      </c>
      <c r="J434" s="62" t="s">
        <v>1231</v>
      </c>
      <c r="K434" s="8" t="s">
        <v>1232</v>
      </c>
      <c r="L434" s="10" t="s">
        <v>1326</v>
      </c>
      <c r="M434" s="62">
        <v>2</v>
      </c>
      <c r="N434" s="8">
        <v>2</v>
      </c>
      <c r="O434" s="62">
        <f t="shared" si="117"/>
        <v>0</v>
      </c>
      <c r="P434" s="70">
        <v>61</v>
      </c>
      <c r="Q434" s="71">
        <v>46122</v>
      </c>
      <c r="R434" s="6">
        <v>46123</v>
      </c>
      <c r="S434" s="64">
        <v>67704</v>
      </c>
      <c r="T434" s="22">
        <v>5</v>
      </c>
      <c r="U434" s="64">
        <f t="shared" si="118"/>
        <v>3385.2000000000003</v>
      </c>
      <c r="V434" s="22">
        <v>-0.2</v>
      </c>
      <c r="W434" s="22">
        <v>71089</v>
      </c>
      <c r="X434" s="62" t="s">
        <v>1110</v>
      </c>
      <c r="Y434" s="62">
        <v>58164183582</v>
      </c>
      <c r="Z434" s="62" t="s">
        <v>1112</v>
      </c>
      <c r="AA434" s="65">
        <v>4</v>
      </c>
      <c r="AB434" s="66"/>
      <c r="AC434" s="1" t="s">
        <v>13</v>
      </c>
      <c r="AD434" s="62" t="str">
        <f>VLOOKUP(X434,'Customer List'!B:C,2,)</f>
        <v>Banglore</v>
      </c>
      <c r="AE434" s="67"/>
      <c r="AF434" s="6">
        <v>46125</v>
      </c>
      <c r="AG434" s="62">
        <f t="shared" si="119"/>
        <v>2</v>
      </c>
      <c r="AH434" s="62" t="str">
        <f t="shared" si="120"/>
        <v>Saturday</v>
      </c>
      <c r="AI434" s="62" t="str">
        <f t="shared" si="113"/>
        <v>Monday</v>
      </c>
      <c r="AJ434" s="62" t="str">
        <f>VLOOKUP(AC434,'Currency Sheet'!A:C,3,)</f>
        <v>DOLLAR</v>
      </c>
      <c r="AK434" s="62" t="str">
        <f>VLOOKUP(X434,'Customer List'!B:D,3,)</f>
        <v>OutStation</v>
      </c>
    </row>
    <row r="435" spans="1:37" hidden="1" x14ac:dyDescent="0.25">
      <c r="A435" s="62">
        <f t="shared" si="114"/>
        <v>421</v>
      </c>
      <c r="B435" s="62" t="s">
        <v>824</v>
      </c>
      <c r="C435" s="62" t="s">
        <v>1172</v>
      </c>
      <c r="D435" s="6">
        <v>46115</v>
      </c>
      <c r="E435" s="6">
        <v>46121</v>
      </c>
      <c r="F435" s="63">
        <v>35</v>
      </c>
      <c r="G435" s="64">
        <f t="shared" si="115"/>
        <v>3080</v>
      </c>
      <c r="H435" s="64">
        <f t="shared" si="116"/>
        <v>3080</v>
      </c>
      <c r="I435" s="70">
        <v>302902</v>
      </c>
      <c r="J435" s="62" t="s">
        <v>957</v>
      </c>
      <c r="K435" s="8" t="s">
        <v>958</v>
      </c>
      <c r="L435" s="10" t="s">
        <v>1327</v>
      </c>
      <c r="M435" s="62">
        <v>1</v>
      </c>
      <c r="N435" s="8">
        <v>1</v>
      </c>
      <c r="O435" s="62">
        <f t="shared" si="117"/>
        <v>0</v>
      </c>
      <c r="P435" s="70">
        <v>62</v>
      </c>
      <c r="Q435" s="71">
        <v>46122</v>
      </c>
      <c r="R435" s="6">
        <v>46123</v>
      </c>
      <c r="S435" s="64">
        <v>5425</v>
      </c>
      <c r="T435" s="22">
        <v>5</v>
      </c>
      <c r="U435" s="64">
        <f t="shared" si="118"/>
        <v>271.25</v>
      </c>
      <c r="V435" s="22">
        <v>-0.13</v>
      </c>
      <c r="W435" s="22">
        <v>11962</v>
      </c>
      <c r="X435" s="62" t="s">
        <v>1362</v>
      </c>
      <c r="Y435" s="62">
        <v>58164178833</v>
      </c>
      <c r="Z435" s="62" t="s">
        <v>1112</v>
      </c>
      <c r="AA435" s="65">
        <v>4</v>
      </c>
      <c r="AB435" s="66"/>
      <c r="AC435" s="1" t="s">
        <v>13</v>
      </c>
      <c r="AD435" s="62" t="str">
        <f>VLOOKUP(X435,'Customer List'!B:C,2,)</f>
        <v>Jammu</v>
      </c>
      <c r="AE435" s="67"/>
      <c r="AF435" s="6">
        <v>46126</v>
      </c>
      <c r="AG435" s="62">
        <f t="shared" si="119"/>
        <v>3</v>
      </c>
      <c r="AH435" s="62" t="str">
        <f t="shared" si="120"/>
        <v>Saturday</v>
      </c>
      <c r="AI435" s="62" t="str">
        <f t="shared" si="113"/>
        <v>Tuesday</v>
      </c>
      <c r="AJ435" s="62" t="str">
        <f>VLOOKUP(AC435,'Currency Sheet'!A:C,3,)</f>
        <v>DOLLAR</v>
      </c>
      <c r="AK435" s="62" t="str">
        <f>VLOOKUP(X435,'Customer List'!B:D,3,)</f>
        <v>OutStation</v>
      </c>
    </row>
    <row r="436" spans="1:37" hidden="1" x14ac:dyDescent="0.25">
      <c r="A436" s="62">
        <f t="shared" si="114"/>
        <v>422</v>
      </c>
      <c r="B436" s="62" t="s">
        <v>824</v>
      </c>
      <c r="C436" s="62" t="s">
        <v>1172</v>
      </c>
      <c r="D436" s="6">
        <v>46115</v>
      </c>
      <c r="E436" s="6">
        <v>46121</v>
      </c>
      <c r="F436" s="63">
        <v>96.6</v>
      </c>
      <c r="G436" s="64">
        <f t="shared" si="115"/>
        <v>8500.7999999999993</v>
      </c>
      <c r="H436" s="64">
        <f t="shared" si="116"/>
        <v>8500.7999999999993</v>
      </c>
      <c r="I436" s="70">
        <v>307604</v>
      </c>
      <c r="J436" s="62" t="s">
        <v>752</v>
      </c>
      <c r="K436" s="8" t="s">
        <v>1233</v>
      </c>
      <c r="L436" s="10" t="s">
        <v>1328</v>
      </c>
      <c r="M436" s="62">
        <v>1</v>
      </c>
      <c r="N436" s="8">
        <v>1</v>
      </c>
      <c r="O436" s="62">
        <f t="shared" si="117"/>
        <v>0</v>
      </c>
      <c r="P436" s="70">
        <v>55</v>
      </c>
      <c r="Q436" s="71">
        <v>46121</v>
      </c>
      <c r="R436" s="6">
        <v>46121</v>
      </c>
      <c r="S436" s="64">
        <v>14973</v>
      </c>
      <c r="T436" s="22">
        <v>5</v>
      </c>
      <c r="U436" s="64">
        <f t="shared" si="118"/>
        <v>748.65000000000009</v>
      </c>
      <c r="V436" s="22"/>
      <c r="W436" s="22"/>
      <c r="X436" s="62" t="s">
        <v>1361</v>
      </c>
      <c r="Y436" s="62" t="s">
        <v>1387</v>
      </c>
      <c r="Z436" s="62" t="s">
        <v>1112</v>
      </c>
      <c r="AA436" s="65">
        <v>4</v>
      </c>
      <c r="AB436" s="66"/>
      <c r="AC436" s="1" t="s">
        <v>13</v>
      </c>
      <c r="AD436" s="62" t="str">
        <f>VLOOKUP(X436,'Customer List'!B:C,2,)</f>
        <v>Chandigarh</v>
      </c>
      <c r="AE436" s="67"/>
      <c r="AF436" s="6">
        <v>46122</v>
      </c>
      <c r="AG436" s="62">
        <f t="shared" si="119"/>
        <v>1</v>
      </c>
      <c r="AH436" s="62" t="str">
        <f t="shared" si="120"/>
        <v>Saturday</v>
      </c>
      <c r="AI436" s="62" t="str">
        <f t="shared" si="113"/>
        <v>Friday</v>
      </c>
      <c r="AJ436" s="62" t="str">
        <f>VLOOKUP(AC436,'Currency Sheet'!A:C,3,)</f>
        <v>DOLLAR</v>
      </c>
      <c r="AK436" s="62" t="str">
        <f>VLOOKUP(X436,'Customer List'!B:D,3,)</f>
        <v>OutStation</v>
      </c>
    </row>
    <row r="437" spans="1:37" hidden="1" x14ac:dyDescent="0.25">
      <c r="A437" s="62">
        <f t="shared" si="114"/>
        <v>423</v>
      </c>
      <c r="B437" s="62" t="s">
        <v>824</v>
      </c>
      <c r="C437" s="62" t="s">
        <v>1172</v>
      </c>
      <c r="D437" s="6">
        <v>46115</v>
      </c>
      <c r="E437" s="6">
        <v>46121</v>
      </c>
      <c r="F437" s="63">
        <v>318</v>
      </c>
      <c r="G437" s="64">
        <f t="shared" si="115"/>
        <v>27984</v>
      </c>
      <c r="H437" s="64">
        <f t="shared" si="116"/>
        <v>27984</v>
      </c>
      <c r="I437" s="70">
        <v>309832</v>
      </c>
      <c r="J437" s="62" t="s">
        <v>1234</v>
      </c>
      <c r="K437" s="8" t="s">
        <v>1235</v>
      </c>
      <c r="L437" s="10" t="s">
        <v>1329</v>
      </c>
      <c r="M437" s="62">
        <v>1</v>
      </c>
      <c r="N437" s="8">
        <v>1</v>
      </c>
      <c r="O437" s="62">
        <f t="shared" si="117"/>
        <v>0</v>
      </c>
      <c r="P437" s="70">
        <v>92</v>
      </c>
      <c r="Q437" s="71">
        <v>46128</v>
      </c>
      <c r="R437" s="6">
        <v>46128</v>
      </c>
      <c r="S437" s="64">
        <v>47975.6</v>
      </c>
      <c r="T437" s="22">
        <v>5</v>
      </c>
      <c r="U437" s="64">
        <f t="shared" si="118"/>
        <v>2398.7800000000002</v>
      </c>
      <c r="V437" s="22">
        <v>0</v>
      </c>
      <c r="W437" s="22">
        <v>229061</v>
      </c>
      <c r="X437" s="62" t="s">
        <v>1360</v>
      </c>
      <c r="Y437" s="62" t="s">
        <v>1120</v>
      </c>
      <c r="Z437" s="62" t="s">
        <v>1116</v>
      </c>
      <c r="AA437" s="65">
        <v>4</v>
      </c>
      <c r="AB437" s="66"/>
      <c r="AC437" s="1" t="s">
        <v>13</v>
      </c>
      <c r="AD437" s="62" t="str">
        <f>VLOOKUP(X437,'Customer List'!B:C,2,)</f>
        <v>Manesar</v>
      </c>
      <c r="AE437" s="67"/>
      <c r="AF437" s="6"/>
      <c r="AG437" s="62" t="str">
        <f t="shared" si="119"/>
        <v/>
      </c>
      <c r="AH437" s="62" t="str">
        <f t="shared" si="120"/>
        <v>Wednesday</v>
      </c>
      <c r="AI437" s="62" t="str">
        <f t="shared" si="113"/>
        <v/>
      </c>
      <c r="AJ437" s="62" t="str">
        <f>VLOOKUP(AC437,'Currency Sheet'!A:C,3,)</f>
        <v>DOLLAR</v>
      </c>
      <c r="AK437" s="62" t="str">
        <f>VLOOKUP(X437,'Customer List'!B:D,3,)</f>
        <v>Local</v>
      </c>
    </row>
    <row r="438" spans="1:37" hidden="1" x14ac:dyDescent="0.25">
      <c r="A438" s="62">
        <f t="shared" si="114"/>
        <v>424</v>
      </c>
      <c r="B438" s="62" t="s">
        <v>824</v>
      </c>
      <c r="C438" s="62" t="s">
        <v>1172</v>
      </c>
      <c r="D438" s="6">
        <v>46115</v>
      </c>
      <c r="E438" s="6">
        <v>46121</v>
      </c>
      <c r="F438" s="63">
        <v>252</v>
      </c>
      <c r="G438" s="64">
        <f t="shared" si="115"/>
        <v>22176</v>
      </c>
      <c r="H438" s="64">
        <f t="shared" si="116"/>
        <v>44352</v>
      </c>
      <c r="I438" s="70">
        <v>310942</v>
      </c>
      <c r="J438" s="62" t="s">
        <v>747</v>
      </c>
      <c r="K438" s="8" t="s">
        <v>975</v>
      </c>
      <c r="L438" s="10" t="s">
        <v>1330</v>
      </c>
      <c r="M438" s="62">
        <v>2</v>
      </c>
      <c r="N438" s="8">
        <v>2</v>
      </c>
      <c r="O438" s="62">
        <f t="shared" si="117"/>
        <v>0</v>
      </c>
      <c r="P438" s="70">
        <v>63</v>
      </c>
      <c r="Q438" s="71">
        <v>46122</v>
      </c>
      <c r="R438" s="6">
        <v>46123</v>
      </c>
      <c r="S438" s="64">
        <v>83700</v>
      </c>
      <c r="T438" s="22">
        <v>5</v>
      </c>
      <c r="U438" s="64">
        <f t="shared" si="118"/>
        <v>4185</v>
      </c>
      <c r="V438" s="22">
        <v>0.5</v>
      </c>
      <c r="W438" s="22">
        <v>133781</v>
      </c>
      <c r="X438" s="62" t="s">
        <v>1390</v>
      </c>
      <c r="Y438" s="62">
        <v>58164184201</v>
      </c>
      <c r="Z438" s="62" t="s">
        <v>1112</v>
      </c>
      <c r="AA438" s="65">
        <v>4</v>
      </c>
      <c r="AB438" s="66"/>
      <c r="AC438" s="1" t="s">
        <v>13</v>
      </c>
      <c r="AD438" s="62" t="str">
        <f>VLOOKUP(X438,'Customer List'!B:C,2,)</f>
        <v>Gujrat</v>
      </c>
      <c r="AE438" s="67"/>
      <c r="AF438" s="6">
        <v>46125</v>
      </c>
      <c r="AG438" s="62">
        <f t="shared" si="119"/>
        <v>2</v>
      </c>
      <c r="AH438" s="62" t="str">
        <f t="shared" si="120"/>
        <v>Sunday</v>
      </c>
      <c r="AI438" s="62" t="str">
        <f t="shared" si="113"/>
        <v>Monday</v>
      </c>
      <c r="AJ438" s="62" t="str">
        <f>VLOOKUP(AC438,'Currency Sheet'!A:C,3,)</f>
        <v>DOLLAR</v>
      </c>
      <c r="AK438" s="62" t="str">
        <f>VLOOKUP(X438,'Customer List'!B:D,3,)</f>
        <v>OutStation</v>
      </c>
    </row>
    <row r="439" spans="1:37" hidden="1" x14ac:dyDescent="0.25">
      <c r="A439" s="62">
        <f t="shared" si="114"/>
        <v>425</v>
      </c>
      <c r="B439" s="62" t="s">
        <v>824</v>
      </c>
      <c r="C439" s="62" t="s">
        <v>1172</v>
      </c>
      <c r="D439" s="6">
        <v>46115</v>
      </c>
      <c r="E439" s="6">
        <v>46121</v>
      </c>
      <c r="F439" s="63">
        <v>187.6</v>
      </c>
      <c r="G439" s="64">
        <f t="shared" si="115"/>
        <v>16508.8</v>
      </c>
      <c r="H439" s="64">
        <f t="shared" si="116"/>
        <v>16508.8</v>
      </c>
      <c r="I439" s="70">
        <v>312106</v>
      </c>
      <c r="J439" s="62" t="s">
        <v>1236</v>
      </c>
      <c r="K439" s="8" t="s">
        <v>1237</v>
      </c>
      <c r="L439" s="10" t="s">
        <v>1331</v>
      </c>
      <c r="M439" s="62">
        <v>1</v>
      </c>
      <c r="N439" s="8">
        <v>1</v>
      </c>
      <c r="O439" s="62">
        <f t="shared" si="117"/>
        <v>0</v>
      </c>
      <c r="P439" s="70">
        <v>59</v>
      </c>
      <c r="Q439" s="71">
        <v>46122</v>
      </c>
      <c r="R439" s="6">
        <v>46123</v>
      </c>
      <c r="S439" s="64">
        <v>27336</v>
      </c>
      <c r="T439" s="22">
        <v>5</v>
      </c>
      <c r="U439" s="64">
        <f t="shared" si="118"/>
        <v>1366.8000000000002</v>
      </c>
      <c r="V439" s="22">
        <v>0</v>
      </c>
      <c r="W439" s="22">
        <v>152618</v>
      </c>
      <c r="X439" s="62" t="s">
        <v>902</v>
      </c>
      <c r="Y439" s="62">
        <v>58164183140</v>
      </c>
      <c r="Z439" s="62" t="s">
        <v>1112</v>
      </c>
      <c r="AA439" s="65">
        <v>4</v>
      </c>
      <c r="AB439" s="66"/>
      <c r="AC439" s="1" t="s">
        <v>13</v>
      </c>
      <c r="AD439" s="62" t="str">
        <f>VLOOKUP(X439,'Customer List'!B:C,2,)</f>
        <v>Hyderabad</v>
      </c>
      <c r="AE439" s="67"/>
      <c r="AF439" s="6">
        <v>46125</v>
      </c>
      <c r="AG439" s="62">
        <f t="shared" si="119"/>
        <v>2</v>
      </c>
      <c r="AH439" s="62" t="str">
        <f t="shared" si="120"/>
        <v>Sunday</v>
      </c>
      <c r="AI439" s="62" t="str">
        <f t="shared" si="113"/>
        <v>Monday</v>
      </c>
      <c r="AJ439" s="62" t="str">
        <f>VLOOKUP(AC439,'Currency Sheet'!A:C,3,)</f>
        <v>DOLLAR</v>
      </c>
      <c r="AK439" s="62" t="str">
        <f>VLOOKUP(X439,'Customer List'!B:D,3,)</f>
        <v>OutStation</v>
      </c>
    </row>
    <row r="440" spans="1:37" hidden="1" x14ac:dyDescent="0.25">
      <c r="A440" s="62">
        <f t="shared" si="114"/>
        <v>426</v>
      </c>
      <c r="B440" s="62" t="s">
        <v>824</v>
      </c>
      <c r="C440" s="62" t="s">
        <v>1172</v>
      </c>
      <c r="D440" s="6">
        <v>46115</v>
      </c>
      <c r="E440" s="6">
        <v>46121</v>
      </c>
      <c r="F440" s="63">
        <v>85.4</v>
      </c>
      <c r="G440" s="64">
        <f t="shared" si="115"/>
        <v>7515.2000000000007</v>
      </c>
      <c r="H440" s="64">
        <f t="shared" si="116"/>
        <v>7515.2000000000007</v>
      </c>
      <c r="I440" s="70">
        <v>312805</v>
      </c>
      <c r="J440" s="62" t="s">
        <v>1238</v>
      </c>
      <c r="K440" s="8" t="s">
        <v>1239</v>
      </c>
      <c r="L440" s="10" t="s">
        <v>1332</v>
      </c>
      <c r="M440" s="62">
        <v>1</v>
      </c>
      <c r="N440" s="8">
        <v>1</v>
      </c>
      <c r="O440" s="62">
        <f t="shared" si="117"/>
        <v>0</v>
      </c>
      <c r="P440" s="70">
        <v>85</v>
      </c>
      <c r="Q440" s="71">
        <v>46125</v>
      </c>
      <c r="R440" s="6">
        <v>46125</v>
      </c>
      <c r="S440" s="64">
        <v>12291.5</v>
      </c>
      <c r="T440" s="22">
        <v>5</v>
      </c>
      <c r="U440" s="64">
        <f t="shared" si="118"/>
        <v>614.57500000000005</v>
      </c>
      <c r="V440" s="22">
        <v>0</v>
      </c>
      <c r="W440" s="22">
        <v>56173</v>
      </c>
      <c r="X440" s="62" t="s">
        <v>792</v>
      </c>
      <c r="Y440" s="62" t="s">
        <v>1120</v>
      </c>
      <c r="Z440" s="62" t="s">
        <v>821</v>
      </c>
      <c r="AA440" s="65">
        <v>4</v>
      </c>
      <c r="AB440" s="66"/>
      <c r="AC440" s="1" t="s">
        <v>13</v>
      </c>
      <c r="AD440" s="62" t="str">
        <f>VLOOKUP(X440,'Customer List'!B:C,2,)</f>
        <v>Delhi</v>
      </c>
      <c r="AE440" s="67"/>
      <c r="AF440" s="6"/>
      <c r="AG440" s="62" t="str">
        <f t="shared" si="119"/>
        <v/>
      </c>
      <c r="AH440" s="62" t="str">
        <f t="shared" si="120"/>
        <v>Friday</v>
      </c>
      <c r="AI440" s="62" t="str">
        <f t="shared" si="113"/>
        <v/>
      </c>
      <c r="AJ440" s="62" t="str">
        <f>VLOOKUP(AC440,'Currency Sheet'!A:C,3,)</f>
        <v>DOLLAR</v>
      </c>
      <c r="AK440" s="62" t="str">
        <f>VLOOKUP(X440,'Customer List'!B:D,3,)</f>
        <v>Local</v>
      </c>
    </row>
    <row r="441" spans="1:37" hidden="1" x14ac:dyDescent="0.25">
      <c r="A441" s="62">
        <f t="shared" si="114"/>
        <v>427</v>
      </c>
      <c r="B441" s="62" t="s">
        <v>824</v>
      </c>
      <c r="C441" s="62" t="s">
        <v>1172</v>
      </c>
      <c r="D441" s="6">
        <v>46115</v>
      </c>
      <c r="E441" s="6">
        <v>46121</v>
      </c>
      <c r="F441" s="63">
        <v>267.39999999999998</v>
      </c>
      <c r="G441" s="64">
        <f t="shared" si="115"/>
        <v>23531.199999999997</v>
      </c>
      <c r="H441" s="64">
        <f t="shared" si="116"/>
        <v>23531.199999999997</v>
      </c>
      <c r="I441" s="70">
        <v>313228</v>
      </c>
      <c r="J441" s="62" t="s">
        <v>1240</v>
      </c>
      <c r="K441" s="8" t="s">
        <v>1241</v>
      </c>
      <c r="L441" s="10" t="s">
        <v>1333</v>
      </c>
      <c r="M441" s="62">
        <v>1</v>
      </c>
      <c r="N441" s="8">
        <v>1</v>
      </c>
      <c r="O441" s="62">
        <f t="shared" si="117"/>
        <v>0</v>
      </c>
      <c r="P441" s="70">
        <v>92</v>
      </c>
      <c r="Q441" s="71">
        <v>46128</v>
      </c>
      <c r="R441" s="6">
        <v>46128</v>
      </c>
      <c r="S441" s="64">
        <v>43223.3</v>
      </c>
      <c r="T441" s="22">
        <v>5</v>
      </c>
      <c r="U441" s="64">
        <f t="shared" si="118"/>
        <v>2161.1650000000004</v>
      </c>
      <c r="V441" s="22">
        <v>0</v>
      </c>
      <c r="W441" s="22">
        <v>229061</v>
      </c>
      <c r="X441" s="62" t="s">
        <v>1360</v>
      </c>
      <c r="Y441" s="62" t="s">
        <v>1120</v>
      </c>
      <c r="Z441" s="62" t="s">
        <v>1116</v>
      </c>
      <c r="AA441" s="65">
        <v>4</v>
      </c>
      <c r="AB441" s="66"/>
      <c r="AC441" s="1" t="s">
        <v>13</v>
      </c>
      <c r="AD441" s="62" t="str">
        <f>VLOOKUP(X441,'Customer List'!B:C,2,)</f>
        <v>Manesar</v>
      </c>
      <c r="AE441" s="67"/>
      <c r="AF441" s="6"/>
      <c r="AG441" s="62" t="str">
        <f t="shared" si="119"/>
        <v/>
      </c>
      <c r="AH441" s="62" t="str">
        <f t="shared" si="120"/>
        <v>Thursday</v>
      </c>
      <c r="AI441" s="62" t="str">
        <f t="shared" si="113"/>
        <v/>
      </c>
      <c r="AJ441" s="62" t="str">
        <f>VLOOKUP(AC441,'Currency Sheet'!A:C,3,)</f>
        <v>DOLLAR</v>
      </c>
      <c r="AK441" s="62" t="str">
        <f>VLOOKUP(X441,'Customer List'!B:D,3,)</f>
        <v>Local</v>
      </c>
    </row>
    <row r="442" spans="1:37" hidden="1" x14ac:dyDescent="0.25">
      <c r="A442" s="62">
        <f t="shared" si="114"/>
        <v>428</v>
      </c>
      <c r="B442" s="62" t="s">
        <v>824</v>
      </c>
      <c r="C442" s="62" t="s">
        <v>1172</v>
      </c>
      <c r="D442" s="6">
        <v>46115</v>
      </c>
      <c r="E442" s="6">
        <v>46121</v>
      </c>
      <c r="F442" s="63">
        <v>267.39999999999998</v>
      </c>
      <c r="G442" s="64">
        <f t="shared" si="115"/>
        <v>23531.199999999997</v>
      </c>
      <c r="H442" s="64">
        <f t="shared" si="116"/>
        <v>23531.199999999997</v>
      </c>
      <c r="I442" s="70">
        <v>314512</v>
      </c>
      <c r="J442" s="62" t="s">
        <v>1242</v>
      </c>
      <c r="K442" s="8" t="s">
        <v>1243</v>
      </c>
      <c r="L442" s="10" t="s">
        <v>1334</v>
      </c>
      <c r="M442" s="62">
        <v>1</v>
      </c>
      <c r="N442" s="8">
        <v>1</v>
      </c>
      <c r="O442" s="62">
        <f t="shared" si="117"/>
        <v>0</v>
      </c>
      <c r="P442" s="70">
        <v>64</v>
      </c>
      <c r="Q442" s="71">
        <v>46122</v>
      </c>
      <c r="R442" s="6">
        <v>46123</v>
      </c>
      <c r="S442" s="64">
        <v>41447</v>
      </c>
      <c r="T442" s="22">
        <v>5</v>
      </c>
      <c r="U442" s="64">
        <f t="shared" si="118"/>
        <v>2072.35</v>
      </c>
      <c r="V442" s="22">
        <v>-0.21</v>
      </c>
      <c r="W442" s="22">
        <v>98431</v>
      </c>
      <c r="X442" s="62" t="s">
        <v>1363</v>
      </c>
      <c r="Y442" s="62">
        <v>58164184374</v>
      </c>
      <c r="Z442" s="62" t="s">
        <v>1112</v>
      </c>
      <c r="AA442" s="65">
        <v>4</v>
      </c>
      <c r="AB442" s="66"/>
      <c r="AC442" s="1" t="s">
        <v>13</v>
      </c>
      <c r="AD442" s="62" t="str">
        <f>VLOOKUP(X442,'Customer List'!B:C,2,)</f>
        <v>Chennai</v>
      </c>
      <c r="AE442" s="67"/>
      <c r="AF442" s="6">
        <v>46125</v>
      </c>
      <c r="AG442" s="62">
        <f t="shared" si="119"/>
        <v>2</v>
      </c>
      <c r="AH442" s="62" t="str">
        <f t="shared" si="120"/>
        <v>Saturday</v>
      </c>
      <c r="AI442" s="62" t="str">
        <f t="shared" si="113"/>
        <v>Monday</v>
      </c>
      <c r="AJ442" s="62" t="str">
        <f>VLOOKUP(AC442,'Currency Sheet'!A:C,3,)</f>
        <v>DOLLAR</v>
      </c>
      <c r="AK442" s="62" t="str">
        <f>VLOOKUP(X442,'Customer List'!B:D,3,)</f>
        <v>OutStation</v>
      </c>
    </row>
    <row r="443" spans="1:37" hidden="1" x14ac:dyDescent="0.25">
      <c r="A443" s="62">
        <f t="shared" si="114"/>
        <v>429</v>
      </c>
      <c r="B443" s="62" t="s">
        <v>824</v>
      </c>
      <c r="C443" s="62" t="s">
        <v>1172</v>
      </c>
      <c r="D443" s="6">
        <v>46115</v>
      </c>
      <c r="E443" s="6">
        <v>46121</v>
      </c>
      <c r="F443" s="63">
        <v>115.5</v>
      </c>
      <c r="G443" s="64">
        <f t="shared" si="115"/>
        <v>10164</v>
      </c>
      <c r="H443" s="64">
        <f t="shared" si="116"/>
        <v>10164</v>
      </c>
      <c r="I443" s="70">
        <v>315809</v>
      </c>
      <c r="J443" s="62" t="s">
        <v>1244</v>
      </c>
      <c r="K443" s="8" t="s">
        <v>1245</v>
      </c>
      <c r="L443" s="10" t="s">
        <v>1335</v>
      </c>
      <c r="M443" s="62">
        <v>1</v>
      </c>
      <c r="N443" s="8">
        <v>1</v>
      </c>
      <c r="O443" s="62">
        <f t="shared" si="117"/>
        <v>0</v>
      </c>
      <c r="P443" s="70">
        <v>85</v>
      </c>
      <c r="Q443" s="71">
        <v>46125</v>
      </c>
      <c r="R443" s="6">
        <v>46125</v>
      </c>
      <c r="S443" s="64">
        <v>16623.75</v>
      </c>
      <c r="T443" s="22">
        <v>5</v>
      </c>
      <c r="U443" s="64">
        <f t="shared" si="118"/>
        <v>831.1875</v>
      </c>
      <c r="V443" s="22">
        <v>0</v>
      </c>
      <c r="W443" s="22">
        <v>56173</v>
      </c>
      <c r="X443" s="62" t="s">
        <v>792</v>
      </c>
      <c r="Y443" s="62" t="s">
        <v>1120</v>
      </c>
      <c r="Z443" s="62" t="s">
        <v>821</v>
      </c>
      <c r="AA443" s="65">
        <v>4</v>
      </c>
      <c r="AB443" s="66"/>
      <c r="AC443" s="1" t="s">
        <v>13</v>
      </c>
      <c r="AD443" s="62" t="str">
        <f>VLOOKUP(X443,'Customer List'!B:C,2,)</f>
        <v>Delhi</v>
      </c>
      <c r="AE443" s="67"/>
      <c r="AF443" s="6"/>
      <c r="AG443" s="62" t="str">
        <f t="shared" si="119"/>
        <v/>
      </c>
      <c r="AH443" s="62" t="str">
        <f t="shared" si="120"/>
        <v>Thursday</v>
      </c>
      <c r="AI443" s="62" t="str">
        <f t="shared" si="113"/>
        <v/>
      </c>
      <c r="AJ443" s="62" t="str">
        <f>VLOOKUP(AC443,'Currency Sheet'!A:C,3,)</f>
        <v>DOLLAR</v>
      </c>
      <c r="AK443" s="62" t="str">
        <f>VLOOKUP(X443,'Customer List'!B:D,3,)</f>
        <v>Local</v>
      </c>
    </row>
    <row r="444" spans="1:37" hidden="1" x14ac:dyDescent="0.25">
      <c r="A444" s="62">
        <f t="shared" si="114"/>
        <v>430</v>
      </c>
      <c r="B444" s="62" t="s">
        <v>824</v>
      </c>
      <c r="C444" s="62" t="s">
        <v>1172</v>
      </c>
      <c r="D444" s="6">
        <v>46115</v>
      </c>
      <c r="E444" s="6">
        <v>46121</v>
      </c>
      <c r="F444" s="63">
        <v>38.5</v>
      </c>
      <c r="G444" s="64">
        <f t="shared" si="115"/>
        <v>3388</v>
      </c>
      <c r="H444" s="64">
        <f t="shared" si="116"/>
        <v>3388</v>
      </c>
      <c r="I444" s="70">
        <v>317302</v>
      </c>
      <c r="J444" s="62" t="s">
        <v>749</v>
      </c>
      <c r="K444" s="8" t="s">
        <v>1246</v>
      </c>
      <c r="L444" s="10" t="s">
        <v>1336</v>
      </c>
      <c r="M444" s="62">
        <v>1</v>
      </c>
      <c r="N444" s="8">
        <v>1</v>
      </c>
      <c r="O444" s="62">
        <f t="shared" si="117"/>
        <v>0</v>
      </c>
      <c r="P444" s="70">
        <v>62</v>
      </c>
      <c r="Q444" s="71">
        <v>46122</v>
      </c>
      <c r="R444" s="6">
        <v>46123</v>
      </c>
      <c r="S444" s="64">
        <v>5967.5</v>
      </c>
      <c r="T444" s="22">
        <v>5</v>
      </c>
      <c r="U444" s="64">
        <f t="shared" si="118"/>
        <v>298.375</v>
      </c>
      <c r="V444" s="22">
        <v>0</v>
      </c>
      <c r="W444" s="22">
        <v>11962</v>
      </c>
      <c r="X444" s="62" t="s">
        <v>1362</v>
      </c>
      <c r="Y444" s="62">
        <v>58164178833</v>
      </c>
      <c r="Z444" s="62" t="s">
        <v>1112</v>
      </c>
      <c r="AA444" s="65">
        <v>4</v>
      </c>
      <c r="AB444" s="66"/>
      <c r="AC444" s="1" t="s">
        <v>13</v>
      </c>
      <c r="AD444" s="62" t="str">
        <f>VLOOKUP(X444,'Customer List'!B:C,2,)</f>
        <v>Jammu</v>
      </c>
      <c r="AE444" s="67"/>
      <c r="AF444" s="6">
        <v>46126</v>
      </c>
      <c r="AG444" s="62">
        <f t="shared" si="119"/>
        <v>3</v>
      </c>
      <c r="AH444" s="62" t="str">
        <f t="shared" si="120"/>
        <v>Tuesday</v>
      </c>
      <c r="AI444" s="62" t="str">
        <f t="shared" si="113"/>
        <v>Tuesday</v>
      </c>
      <c r="AJ444" s="62" t="str">
        <f>VLOOKUP(AC444,'Currency Sheet'!A:C,3,)</f>
        <v>DOLLAR</v>
      </c>
      <c r="AK444" s="62" t="str">
        <f>VLOOKUP(X444,'Customer List'!B:D,3,)</f>
        <v>OutStation</v>
      </c>
    </row>
    <row r="445" spans="1:37" hidden="1" x14ac:dyDescent="0.25">
      <c r="A445" s="62">
        <f t="shared" si="114"/>
        <v>431</v>
      </c>
      <c r="B445" s="62" t="s">
        <v>824</v>
      </c>
      <c r="C445" s="62" t="s">
        <v>1172</v>
      </c>
      <c r="D445" s="6">
        <v>46115</v>
      </c>
      <c r="E445" s="6">
        <v>46121</v>
      </c>
      <c r="F445" s="63">
        <v>78.400000000000006</v>
      </c>
      <c r="G445" s="64">
        <f t="shared" si="115"/>
        <v>6899.2000000000007</v>
      </c>
      <c r="H445" s="64">
        <f t="shared" si="116"/>
        <v>6899.2000000000007</v>
      </c>
      <c r="I445" s="70">
        <v>325615</v>
      </c>
      <c r="J445" s="62" t="s">
        <v>745</v>
      </c>
      <c r="K445" s="8" t="s">
        <v>1247</v>
      </c>
      <c r="L445" s="10" t="s">
        <v>1337</v>
      </c>
      <c r="M445" s="62">
        <v>1</v>
      </c>
      <c r="N445" s="8">
        <v>1</v>
      </c>
      <c r="O445" s="62">
        <f t="shared" si="117"/>
        <v>0</v>
      </c>
      <c r="P445" s="70">
        <v>85</v>
      </c>
      <c r="Q445" s="71">
        <v>46125</v>
      </c>
      <c r="R445" s="6">
        <v>46125</v>
      </c>
      <c r="S445" s="64">
        <v>11284</v>
      </c>
      <c r="T445" s="22">
        <v>5</v>
      </c>
      <c r="U445" s="64">
        <f t="shared" si="118"/>
        <v>564.20000000000005</v>
      </c>
      <c r="V445" s="22">
        <v>0</v>
      </c>
      <c r="W445" s="22">
        <v>56173</v>
      </c>
      <c r="X445" s="62" t="s">
        <v>792</v>
      </c>
      <c r="Y445" s="62" t="s">
        <v>1120</v>
      </c>
      <c r="Z445" s="62" t="s">
        <v>821</v>
      </c>
      <c r="AA445" s="65">
        <v>4</v>
      </c>
      <c r="AB445" s="66"/>
      <c r="AC445" s="1" t="s">
        <v>13</v>
      </c>
      <c r="AD445" s="62" t="str">
        <f>VLOOKUP(X445,'Customer List'!B:C,2,)</f>
        <v>Delhi</v>
      </c>
      <c r="AE445" s="67"/>
      <c r="AF445" s="6"/>
      <c r="AG445" s="62" t="str">
        <f t="shared" si="119"/>
        <v/>
      </c>
      <c r="AH445" s="62" t="str">
        <f t="shared" si="120"/>
        <v>Saturday</v>
      </c>
      <c r="AI445" s="62" t="str">
        <f t="shared" ref="AI445:AI508" si="121">IF(AF445="", "", TEXT(AF445, "dddd"))</f>
        <v/>
      </c>
      <c r="AJ445" s="62" t="str">
        <f>VLOOKUP(AC445,'Currency Sheet'!A:C,3,)</f>
        <v>DOLLAR</v>
      </c>
      <c r="AK445" s="62" t="str">
        <f>VLOOKUP(X445,'Customer List'!B:D,3,)</f>
        <v>Local</v>
      </c>
    </row>
    <row r="446" spans="1:37" hidden="1" x14ac:dyDescent="0.25">
      <c r="A446" s="62">
        <f t="shared" si="114"/>
        <v>432</v>
      </c>
      <c r="B446" s="62" t="s">
        <v>824</v>
      </c>
      <c r="C446" s="62" t="s">
        <v>1172</v>
      </c>
      <c r="D446" s="6">
        <v>46115</v>
      </c>
      <c r="E446" s="6">
        <v>46121</v>
      </c>
      <c r="F446" s="63">
        <v>100.8</v>
      </c>
      <c r="G446" s="64">
        <f t="shared" si="115"/>
        <v>8870.4</v>
      </c>
      <c r="H446" s="64">
        <f t="shared" si="116"/>
        <v>8870.4</v>
      </c>
      <c r="I446" s="70">
        <v>330209</v>
      </c>
      <c r="J446" s="62" t="s">
        <v>1248</v>
      </c>
      <c r="K446" s="8" t="s">
        <v>1249</v>
      </c>
      <c r="L446" s="10" t="s">
        <v>1338</v>
      </c>
      <c r="M446" s="62">
        <v>1</v>
      </c>
      <c r="N446" s="8">
        <v>1</v>
      </c>
      <c r="O446" s="62">
        <f t="shared" si="117"/>
        <v>0</v>
      </c>
      <c r="P446" s="70">
        <v>65</v>
      </c>
      <c r="Q446" s="71">
        <v>46122</v>
      </c>
      <c r="R446" s="6">
        <v>46123</v>
      </c>
      <c r="S446" s="64">
        <v>15624</v>
      </c>
      <c r="T446" s="22">
        <v>5</v>
      </c>
      <c r="U446" s="64">
        <f t="shared" si="118"/>
        <v>781.2</v>
      </c>
      <c r="V446" s="22">
        <v>-0.2</v>
      </c>
      <c r="W446" s="22">
        <v>16405</v>
      </c>
      <c r="X446" s="62" t="s">
        <v>1364</v>
      </c>
      <c r="Y446" s="62">
        <v>58164178774</v>
      </c>
      <c r="Z446" s="62" t="s">
        <v>1112</v>
      </c>
      <c r="AA446" s="65">
        <v>4</v>
      </c>
      <c r="AB446" s="66"/>
      <c r="AC446" s="1" t="s">
        <v>13</v>
      </c>
      <c r="AD446" s="62" t="str">
        <f>VLOOKUP(X446,'Customer List'!B:C,2,)</f>
        <v>Kolkata</v>
      </c>
      <c r="AE446" s="67"/>
      <c r="AF446" s="6">
        <v>46125</v>
      </c>
      <c r="AG446" s="62">
        <f t="shared" si="119"/>
        <v>2</v>
      </c>
      <c r="AH446" s="62" t="str">
        <f t="shared" si="120"/>
        <v>Saturday</v>
      </c>
      <c r="AI446" s="62" t="str">
        <f t="shared" si="121"/>
        <v>Monday</v>
      </c>
      <c r="AJ446" s="62" t="str">
        <f>VLOOKUP(AC446,'Currency Sheet'!A:C,3,)</f>
        <v>DOLLAR</v>
      </c>
      <c r="AK446" s="62" t="str">
        <f>VLOOKUP(X446,'Customer List'!B:D,3,)</f>
        <v>OutStation</v>
      </c>
    </row>
    <row r="447" spans="1:37" hidden="1" x14ac:dyDescent="0.25">
      <c r="A447" s="62">
        <f t="shared" si="114"/>
        <v>433</v>
      </c>
      <c r="B447" s="62" t="s">
        <v>824</v>
      </c>
      <c r="C447" s="62" t="s">
        <v>1172</v>
      </c>
      <c r="D447" s="6">
        <v>46115</v>
      </c>
      <c r="E447" s="6">
        <v>46121</v>
      </c>
      <c r="F447" s="63">
        <v>207.2</v>
      </c>
      <c r="G447" s="64">
        <f t="shared" si="115"/>
        <v>18233.599999999999</v>
      </c>
      <c r="H447" s="64">
        <f t="shared" si="116"/>
        <v>18233.599999999999</v>
      </c>
      <c r="I447" s="70">
        <v>336208</v>
      </c>
      <c r="J447" s="62" t="s">
        <v>1250</v>
      </c>
      <c r="K447" s="8" t="s">
        <v>1251</v>
      </c>
      <c r="L447" s="10" t="s">
        <v>1339</v>
      </c>
      <c r="M447" s="62">
        <v>1</v>
      </c>
      <c r="N447" s="8">
        <v>1</v>
      </c>
      <c r="O447" s="62">
        <f t="shared" si="117"/>
        <v>0</v>
      </c>
      <c r="P447" s="70">
        <v>59</v>
      </c>
      <c r="Q447" s="71">
        <v>46122</v>
      </c>
      <c r="R447" s="6">
        <v>46123</v>
      </c>
      <c r="S447" s="64">
        <v>30192</v>
      </c>
      <c r="T447" s="22">
        <v>5</v>
      </c>
      <c r="U447" s="64">
        <f t="shared" si="118"/>
        <v>1509.6000000000001</v>
      </c>
      <c r="V447" s="22">
        <v>0</v>
      </c>
      <c r="W447" s="22">
        <v>152618</v>
      </c>
      <c r="X447" s="62" t="s">
        <v>902</v>
      </c>
      <c r="Y447" s="62">
        <v>58164183140</v>
      </c>
      <c r="Z447" s="62" t="s">
        <v>1112</v>
      </c>
      <c r="AA447" s="65">
        <v>4</v>
      </c>
      <c r="AB447" s="66"/>
      <c r="AC447" s="1" t="s">
        <v>13</v>
      </c>
      <c r="AD447" s="62" t="str">
        <f>VLOOKUP(X447,'Customer List'!B:C,2,)</f>
        <v>Hyderabad</v>
      </c>
      <c r="AE447" s="67"/>
      <c r="AF447" s="6">
        <v>46125</v>
      </c>
      <c r="AG447" s="62">
        <f t="shared" si="119"/>
        <v>2</v>
      </c>
      <c r="AH447" s="62" t="str">
        <f t="shared" si="120"/>
        <v>Sunday</v>
      </c>
      <c r="AI447" s="62" t="str">
        <f t="shared" si="121"/>
        <v>Monday</v>
      </c>
      <c r="AJ447" s="62" t="str">
        <f>VLOOKUP(AC447,'Currency Sheet'!A:C,3,)</f>
        <v>DOLLAR</v>
      </c>
      <c r="AK447" s="62" t="str">
        <f>VLOOKUP(X447,'Customer List'!B:D,3,)</f>
        <v>OutStation</v>
      </c>
    </row>
    <row r="448" spans="1:37" hidden="1" x14ac:dyDescent="0.25">
      <c r="A448" s="62">
        <f t="shared" si="114"/>
        <v>434</v>
      </c>
      <c r="B448" s="62" t="s">
        <v>824</v>
      </c>
      <c r="C448" s="62" t="s">
        <v>1172</v>
      </c>
      <c r="D448" s="6">
        <v>46115</v>
      </c>
      <c r="E448" s="6">
        <v>46121</v>
      </c>
      <c r="F448" s="63">
        <v>313.5</v>
      </c>
      <c r="G448" s="64">
        <f t="shared" si="115"/>
        <v>27588</v>
      </c>
      <c r="H448" s="64">
        <f t="shared" si="116"/>
        <v>27588</v>
      </c>
      <c r="I448" s="70">
        <v>336230</v>
      </c>
      <c r="J448" s="62" t="s">
        <v>1250</v>
      </c>
      <c r="K448" s="8" t="s">
        <v>1252</v>
      </c>
      <c r="L448" s="10" t="s">
        <v>1340</v>
      </c>
      <c r="M448" s="62">
        <v>1</v>
      </c>
      <c r="N448" s="8">
        <v>1</v>
      </c>
      <c r="O448" s="62">
        <f t="shared" si="117"/>
        <v>0</v>
      </c>
      <c r="P448" s="70">
        <v>59</v>
      </c>
      <c r="Q448" s="71">
        <v>46122</v>
      </c>
      <c r="R448" s="6">
        <v>46123</v>
      </c>
      <c r="S448" s="64">
        <v>42636</v>
      </c>
      <c r="T448" s="22">
        <v>5</v>
      </c>
      <c r="U448" s="64">
        <f t="shared" si="118"/>
        <v>2131.8000000000002</v>
      </c>
      <c r="V448" s="22">
        <v>0</v>
      </c>
      <c r="W448" s="22">
        <v>152618</v>
      </c>
      <c r="X448" s="62" t="s">
        <v>902</v>
      </c>
      <c r="Y448" s="62">
        <v>58164183140</v>
      </c>
      <c r="Z448" s="62" t="s">
        <v>1112</v>
      </c>
      <c r="AA448" s="65">
        <v>4</v>
      </c>
      <c r="AB448" s="66"/>
      <c r="AC448" s="1" t="s">
        <v>13</v>
      </c>
      <c r="AD448" s="62" t="str">
        <f>VLOOKUP(X448,'Customer List'!B:C,2,)</f>
        <v>Hyderabad</v>
      </c>
      <c r="AE448" s="67"/>
      <c r="AF448" s="6">
        <v>46125</v>
      </c>
      <c r="AG448" s="62">
        <f t="shared" si="119"/>
        <v>2</v>
      </c>
      <c r="AH448" s="62" t="str">
        <f t="shared" si="120"/>
        <v>Friday</v>
      </c>
      <c r="AI448" s="62" t="str">
        <f t="shared" si="121"/>
        <v>Monday</v>
      </c>
      <c r="AJ448" s="62" t="str">
        <f>VLOOKUP(AC448,'Currency Sheet'!A:C,3,)</f>
        <v>DOLLAR</v>
      </c>
      <c r="AK448" s="62" t="str">
        <f>VLOOKUP(X448,'Customer List'!B:D,3,)</f>
        <v>OutStation</v>
      </c>
    </row>
    <row r="449" spans="1:37" hidden="1" x14ac:dyDescent="0.25">
      <c r="A449" s="62">
        <f t="shared" si="114"/>
        <v>435</v>
      </c>
      <c r="B449" s="62" t="s">
        <v>824</v>
      </c>
      <c r="C449" s="62" t="s">
        <v>1172</v>
      </c>
      <c r="D449" s="6">
        <v>46115</v>
      </c>
      <c r="E449" s="6">
        <v>46121</v>
      </c>
      <c r="F449" s="63">
        <v>250.6</v>
      </c>
      <c r="G449" s="64">
        <f t="shared" si="115"/>
        <v>22052.799999999999</v>
      </c>
      <c r="H449" s="64">
        <f t="shared" si="116"/>
        <v>22052.799999999999</v>
      </c>
      <c r="I449" s="70">
        <v>348234</v>
      </c>
      <c r="J449" s="62" t="s">
        <v>1253</v>
      </c>
      <c r="K449" s="8" t="s">
        <v>1254</v>
      </c>
      <c r="L449" s="10" t="s">
        <v>1341</v>
      </c>
      <c r="M449" s="62">
        <v>1</v>
      </c>
      <c r="N449" s="8">
        <v>1</v>
      </c>
      <c r="O449" s="62">
        <f t="shared" si="117"/>
        <v>0</v>
      </c>
      <c r="P449" s="70">
        <v>92</v>
      </c>
      <c r="Q449" s="71">
        <v>46128</v>
      </c>
      <c r="R449" s="6">
        <v>46128</v>
      </c>
      <c r="S449" s="64">
        <v>40507.699999999997</v>
      </c>
      <c r="T449" s="22">
        <v>5</v>
      </c>
      <c r="U449" s="64">
        <f t="shared" si="118"/>
        <v>2025.385</v>
      </c>
      <c r="V449" s="22">
        <v>0</v>
      </c>
      <c r="W449" s="22">
        <v>229061</v>
      </c>
      <c r="X449" s="62" t="s">
        <v>1360</v>
      </c>
      <c r="Y449" s="62" t="s">
        <v>1120</v>
      </c>
      <c r="Z449" s="62" t="s">
        <v>1116</v>
      </c>
      <c r="AA449" s="65">
        <v>4</v>
      </c>
      <c r="AB449" s="66"/>
      <c r="AC449" s="1" t="s">
        <v>13</v>
      </c>
      <c r="AD449" s="62" t="str">
        <f>VLOOKUP(X449,'Customer List'!B:C,2,)</f>
        <v>Manesar</v>
      </c>
      <c r="AE449" s="67"/>
      <c r="AF449" s="6"/>
      <c r="AG449" s="62" t="str">
        <f t="shared" si="119"/>
        <v/>
      </c>
      <c r="AH449" s="62" t="str">
        <f t="shared" si="120"/>
        <v>Thursday</v>
      </c>
      <c r="AI449" s="62" t="str">
        <f t="shared" si="121"/>
        <v/>
      </c>
      <c r="AJ449" s="62" t="str">
        <f>VLOOKUP(AC449,'Currency Sheet'!A:C,3,)</f>
        <v>DOLLAR</v>
      </c>
      <c r="AK449" s="62" t="str">
        <f>VLOOKUP(X449,'Customer List'!B:D,3,)</f>
        <v>Local</v>
      </c>
    </row>
    <row r="450" spans="1:37" hidden="1" x14ac:dyDescent="0.25">
      <c r="A450" s="62">
        <f t="shared" ref="A450:A513" si="122">A449+1</f>
        <v>436</v>
      </c>
      <c r="B450" s="62" t="s">
        <v>824</v>
      </c>
      <c r="C450" s="62" t="s">
        <v>1172</v>
      </c>
      <c r="D450" s="6">
        <v>46115</v>
      </c>
      <c r="E450" s="6">
        <v>46121</v>
      </c>
      <c r="F450" s="63">
        <v>95.2</v>
      </c>
      <c r="G450" s="64">
        <f t="shared" si="115"/>
        <v>8377.6</v>
      </c>
      <c r="H450" s="64">
        <f t="shared" si="116"/>
        <v>8377.6</v>
      </c>
      <c r="I450" s="70">
        <v>351511</v>
      </c>
      <c r="J450" s="62" t="s">
        <v>1255</v>
      </c>
      <c r="K450" s="8" t="s">
        <v>1256</v>
      </c>
      <c r="L450" s="10" t="s">
        <v>1342</v>
      </c>
      <c r="M450" s="62">
        <v>1</v>
      </c>
      <c r="N450" s="8">
        <v>1</v>
      </c>
      <c r="O450" s="62">
        <f t="shared" si="117"/>
        <v>0</v>
      </c>
      <c r="P450" s="70">
        <v>66</v>
      </c>
      <c r="Q450" s="71">
        <v>46122</v>
      </c>
      <c r="R450" s="6">
        <v>46123</v>
      </c>
      <c r="S450" s="64">
        <v>14280</v>
      </c>
      <c r="T450" s="22">
        <v>5</v>
      </c>
      <c r="U450" s="64">
        <f t="shared" si="118"/>
        <v>714</v>
      </c>
      <c r="V450" s="22">
        <v>0</v>
      </c>
      <c r="W450" s="22">
        <v>14994</v>
      </c>
      <c r="X450" s="62" t="s">
        <v>1109</v>
      </c>
      <c r="Y450" s="62">
        <v>58164178645</v>
      </c>
      <c r="Z450" s="62" t="s">
        <v>1112</v>
      </c>
      <c r="AA450" s="65">
        <v>4</v>
      </c>
      <c r="AB450" s="66"/>
      <c r="AC450" s="1" t="s">
        <v>13</v>
      </c>
      <c r="AD450" s="62" t="str">
        <f>VLOOKUP(X450,'Customer List'!B:C,2,)</f>
        <v>Kolkata</v>
      </c>
      <c r="AE450" s="67"/>
      <c r="AF450" s="6">
        <v>46125</v>
      </c>
      <c r="AG450" s="62">
        <f t="shared" si="119"/>
        <v>2</v>
      </c>
      <c r="AH450" s="62" t="str">
        <f t="shared" si="120"/>
        <v>Saturday</v>
      </c>
      <c r="AI450" s="62" t="str">
        <f t="shared" si="121"/>
        <v>Monday</v>
      </c>
      <c r="AJ450" s="62" t="str">
        <f>VLOOKUP(AC450,'Currency Sheet'!A:C,3,)</f>
        <v>DOLLAR</v>
      </c>
      <c r="AK450" s="62" t="str">
        <f>VLOOKUP(X450,'Customer List'!B:D,3,)</f>
        <v>OutStation</v>
      </c>
    </row>
    <row r="451" spans="1:37" hidden="1" x14ac:dyDescent="0.25">
      <c r="A451" s="62">
        <f t="shared" si="122"/>
        <v>437</v>
      </c>
      <c r="B451" s="62" t="s">
        <v>824</v>
      </c>
      <c r="C451" s="62" t="s">
        <v>1172</v>
      </c>
      <c r="D451" s="6">
        <v>46115</v>
      </c>
      <c r="E451" s="6">
        <v>46121</v>
      </c>
      <c r="F451" s="63">
        <v>107.1</v>
      </c>
      <c r="G451" s="64">
        <f t="shared" si="115"/>
        <v>9424.7999999999993</v>
      </c>
      <c r="H451" s="64">
        <f t="shared" si="116"/>
        <v>9424.7999999999993</v>
      </c>
      <c r="I451" s="70">
        <v>353803</v>
      </c>
      <c r="J451" s="62" t="s">
        <v>1257</v>
      </c>
      <c r="K451" s="8" t="s">
        <v>1258</v>
      </c>
      <c r="L451" s="10" t="s">
        <v>1343</v>
      </c>
      <c r="M451" s="62">
        <v>1</v>
      </c>
      <c r="N451" s="8">
        <v>1</v>
      </c>
      <c r="O451" s="62">
        <f t="shared" si="117"/>
        <v>0</v>
      </c>
      <c r="P451" s="70">
        <v>64</v>
      </c>
      <c r="Q451" s="71">
        <v>46122</v>
      </c>
      <c r="R451" s="6">
        <v>46123</v>
      </c>
      <c r="S451" s="64">
        <v>16600.5</v>
      </c>
      <c r="T451" s="22">
        <v>5</v>
      </c>
      <c r="U451" s="64">
        <f t="shared" si="118"/>
        <v>830.02500000000009</v>
      </c>
      <c r="V451" s="22">
        <v>0</v>
      </c>
      <c r="W451" s="22">
        <v>98431</v>
      </c>
      <c r="X451" s="62" t="s">
        <v>1363</v>
      </c>
      <c r="Y451" s="62">
        <v>58164184374</v>
      </c>
      <c r="Z451" s="62" t="s">
        <v>1112</v>
      </c>
      <c r="AA451" s="65">
        <v>4</v>
      </c>
      <c r="AB451" s="66"/>
      <c r="AC451" s="1" t="s">
        <v>13</v>
      </c>
      <c r="AD451" s="62" t="str">
        <f>VLOOKUP(X451,'Customer List'!B:C,2,)</f>
        <v>Chennai</v>
      </c>
      <c r="AE451" s="67"/>
      <c r="AF451" s="6">
        <v>46125</v>
      </c>
      <c r="AG451" s="62">
        <f t="shared" si="119"/>
        <v>2</v>
      </c>
      <c r="AH451" s="62" t="str">
        <f t="shared" si="120"/>
        <v>Tuesday</v>
      </c>
      <c r="AI451" s="62" t="str">
        <f t="shared" si="121"/>
        <v>Monday</v>
      </c>
      <c r="AJ451" s="62" t="str">
        <f>VLOOKUP(AC451,'Currency Sheet'!A:C,3,)</f>
        <v>DOLLAR</v>
      </c>
      <c r="AK451" s="62" t="str">
        <f>VLOOKUP(X451,'Customer List'!B:D,3,)</f>
        <v>OutStation</v>
      </c>
    </row>
    <row r="452" spans="1:37" hidden="1" x14ac:dyDescent="0.25">
      <c r="A452" s="62">
        <f t="shared" si="122"/>
        <v>438</v>
      </c>
      <c r="B452" s="62" t="s">
        <v>824</v>
      </c>
      <c r="C452" s="62" t="s">
        <v>1172</v>
      </c>
      <c r="D452" s="6">
        <v>46115</v>
      </c>
      <c r="E452" s="6">
        <v>46121</v>
      </c>
      <c r="F452" s="63">
        <v>321.75</v>
      </c>
      <c r="G452" s="64">
        <f t="shared" si="115"/>
        <v>28314</v>
      </c>
      <c r="H452" s="64">
        <f t="shared" si="116"/>
        <v>28314</v>
      </c>
      <c r="I452" s="70">
        <v>367140</v>
      </c>
      <c r="J452" s="62" t="s">
        <v>745</v>
      </c>
      <c r="K452" s="8" t="s">
        <v>1259</v>
      </c>
      <c r="L452" s="10">
        <v>47178</v>
      </c>
      <c r="M452" s="62">
        <v>1</v>
      </c>
      <c r="N452" s="8">
        <v>1</v>
      </c>
      <c r="O452" s="62">
        <f t="shared" si="117"/>
        <v>0</v>
      </c>
      <c r="P452" s="70">
        <v>87</v>
      </c>
      <c r="Q452" s="71">
        <v>46125</v>
      </c>
      <c r="R452" s="6">
        <v>46125</v>
      </c>
      <c r="S452" s="64">
        <v>45217</v>
      </c>
      <c r="T452" s="22">
        <v>5</v>
      </c>
      <c r="U452" s="64">
        <f t="shared" si="118"/>
        <v>2260.85</v>
      </c>
      <c r="V452" s="22">
        <v>0.15</v>
      </c>
      <c r="W452" s="22">
        <v>47478</v>
      </c>
      <c r="X452" s="62" t="s">
        <v>1365</v>
      </c>
      <c r="Y452" s="62" t="s">
        <v>1456</v>
      </c>
      <c r="Z452" s="62" t="s">
        <v>1112</v>
      </c>
      <c r="AA452" s="65">
        <v>4</v>
      </c>
      <c r="AB452" s="66"/>
      <c r="AC452" s="1" t="s">
        <v>13</v>
      </c>
      <c r="AD452" s="62" t="str">
        <f>VLOOKUP(X452,'Customer List'!B:C,2,)</f>
        <v>Punjab</v>
      </c>
      <c r="AE452" s="67" t="s">
        <v>1429</v>
      </c>
      <c r="AF452" s="6">
        <v>46129</v>
      </c>
      <c r="AG452" s="62">
        <f t="shared" si="119"/>
        <v>4</v>
      </c>
      <c r="AH452" s="62" t="str">
        <f t="shared" si="120"/>
        <v>Wednesday</v>
      </c>
      <c r="AI452" s="62" t="str">
        <f t="shared" si="121"/>
        <v>Friday</v>
      </c>
      <c r="AJ452" s="62" t="str">
        <f>VLOOKUP(AC452,'Currency Sheet'!A:C,3,)</f>
        <v>DOLLAR</v>
      </c>
      <c r="AK452" s="62" t="str">
        <f>VLOOKUP(X452,'Customer List'!B:D,3,)</f>
        <v>OutStation</v>
      </c>
    </row>
    <row r="453" spans="1:37" hidden="1" x14ac:dyDescent="0.25">
      <c r="A453" s="62">
        <f t="shared" si="122"/>
        <v>439</v>
      </c>
      <c r="B453" s="62" t="s">
        <v>824</v>
      </c>
      <c r="C453" s="62" t="s">
        <v>1172</v>
      </c>
      <c r="D453" s="6">
        <v>46115</v>
      </c>
      <c r="E453" s="6">
        <v>46121</v>
      </c>
      <c r="F453" s="63">
        <v>144.75</v>
      </c>
      <c r="G453" s="64">
        <f t="shared" si="115"/>
        <v>12738</v>
      </c>
      <c r="H453" s="64">
        <f t="shared" si="116"/>
        <v>12738</v>
      </c>
      <c r="I453" s="70">
        <v>372609</v>
      </c>
      <c r="J453" s="62" t="s">
        <v>1260</v>
      </c>
      <c r="K453" s="8" t="s">
        <v>1261</v>
      </c>
      <c r="L453" s="10" t="s">
        <v>1344</v>
      </c>
      <c r="M453" s="62">
        <v>1</v>
      </c>
      <c r="N453" s="8">
        <v>1</v>
      </c>
      <c r="O453" s="62">
        <f t="shared" si="117"/>
        <v>0</v>
      </c>
      <c r="P453" s="70">
        <v>64</v>
      </c>
      <c r="Q453" s="71">
        <v>46122</v>
      </c>
      <c r="R453" s="6">
        <v>46123</v>
      </c>
      <c r="S453" s="64">
        <v>20940.5</v>
      </c>
      <c r="T453" s="22">
        <v>5</v>
      </c>
      <c r="U453" s="64">
        <f t="shared" si="118"/>
        <v>1047.0250000000001</v>
      </c>
      <c r="V453" s="22">
        <v>0</v>
      </c>
      <c r="W453" s="22">
        <v>98431</v>
      </c>
      <c r="X453" s="62" t="s">
        <v>1363</v>
      </c>
      <c r="Y453" s="62">
        <v>58164184374</v>
      </c>
      <c r="Z453" s="62" t="s">
        <v>1112</v>
      </c>
      <c r="AA453" s="65">
        <v>4</v>
      </c>
      <c r="AB453" s="66"/>
      <c r="AC453" s="1" t="s">
        <v>13</v>
      </c>
      <c r="AD453" s="62" t="str">
        <f>VLOOKUP(X453,'Customer List'!B:C,2,)</f>
        <v>Chennai</v>
      </c>
      <c r="AE453" s="67"/>
      <c r="AF453" s="6">
        <v>46125</v>
      </c>
      <c r="AG453" s="62">
        <f t="shared" si="119"/>
        <v>2</v>
      </c>
      <c r="AH453" s="62" t="str">
        <f t="shared" si="120"/>
        <v>Tuesday</v>
      </c>
      <c r="AI453" s="62" t="str">
        <f t="shared" si="121"/>
        <v>Monday</v>
      </c>
      <c r="AJ453" s="62" t="str">
        <f>VLOOKUP(AC453,'Currency Sheet'!A:C,3,)</f>
        <v>DOLLAR</v>
      </c>
      <c r="AK453" s="62" t="str">
        <f>VLOOKUP(X453,'Customer List'!B:D,3,)</f>
        <v>OutStation</v>
      </c>
    </row>
    <row r="454" spans="1:37" hidden="1" x14ac:dyDescent="0.25">
      <c r="A454" s="62">
        <f t="shared" si="122"/>
        <v>440</v>
      </c>
      <c r="B454" s="62" t="s">
        <v>824</v>
      </c>
      <c r="C454" s="62" t="s">
        <v>1172</v>
      </c>
      <c r="D454" s="6">
        <v>46115</v>
      </c>
      <c r="E454" s="6">
        <v>46121</v>
      </c>
      <c r="F454" s="63">
        <v>95.2</v>
      </c>
      <c r="G454" s="64">
        <f t="shared" si="115"/>
        <v>8377.6</v>
      </c>
      <c r="H454" s="64">
        <f t="shared" si="116"/>
        <v>8377.6</v>
      </c>
      <c r="I454" s="70">
        <v>374209</v>
      </c>
      <c r="J454" s="62" t="s">
        <v>775</v>
      </c>
      <c r="K454" s="8" t="s">
        <v>1262</v>
      </c>
      <c r="L454" s="10" t="s">
        <v>1345</v>
      </c>
      <c r="M454" s="62">
        <v>1</v>
      </c>
      <c r="N454" s="8">
        <v>1</v>
      </c>
      <c r="O454" s="62">
        <f t="shared" si="117"/>
        <v>0</v>
      </c>
      <c r="P454" s="70">
        <v>64</v>
      </c>
      <c r="Q454" s="71">
        <v>46122</v>
      </c>
      <c r="R454" s="6">
        <v>46123</v>
      </c>
      <c r="S454" s="64">
        <v>14756</v>
      </c>
      <c r="T454" s="22">
        <v>5</v>
      </c>
      <c r="U454" s="64">
        <f t="shared" si="118"/>
        <v>737.80000000000007</v>
      </c>
      <c r="V454" s="22">
        <v>0</v>
      </c>
      <c r="W454" s="22">
        <v>98431</v>
      </c>
      <c r="X454" s="62" t="s">
        <v>1363</v>
      </c>
      <c r="Y454" s="62">
        <v>58164184374</v>
      </c>
      <c r="Z454" s="62" t="s">
        <v>1112</v>
      </c>
      <c r="AA454" s="65">
        <v>4</v>
      </c>
      <c r="AB454" s="66"/>
      <c r="AC454" s="1" t="s">
        <v>13</v>
      </c>
      <c r="AD454" s="62" t="str">
        <f>VLOOKUP(X454,'Customer List'!B:C,2,)</f>
        <v>Chennai</v>
      </c>
      <c r="AE454" s="67"/>
      <c r="AF454" s="6">
        <v>46125</v>
      </c>
      <c r="AG454" s="62">
        <f t="shared" si="119"/>
        <v>2</v>
      </c>
      <c r="AH454" s="62" t="str">
        <f t="shared" si="120"/>
        <v>Saturday</v>
      </c>
      <c r="AI454" s="62" t="str">
        <f t="shared" si="121"/>
        <v>Monday</v>
      </c>
      <c r="AJ454" s="62" t="str">
        <f>VLOOKUP(AC454,'Currency Sheet'!A:C,3,)</f>
        <v>DOLLAR</v>
      </c>
      <c r="AK454" s="62" t="str">
        <f>VLOOKUP(X454,'Customer List'!B:D,3,)</f>
        <v>OutStation</v>
      </c>
    </row>
    <row r="455" spans="1:37" hidden="1" x14ac:dyDescent="0.25">
      <c r="A455" s="62">
        <f t="shared" si="122"/>
        <v>441</v>
      </c>
      <c r="B455" s="62" t="s">
        <v>824</v>
      </c>
      <c r="C455" s="62" t="s">
        <v>1172</v>
      </c>
      <c r="D455" s="6">
        <v>46115</v>
      </c>
      <c r="E455" s="6">
        <v>46121</v>
      </c>
      <c r="F455" s="63">
        <v>308</v>
      </c>
      <c r="G455" s="64">
        <f t="shared" si="115"/>
        <v>27104</v>
      </c>
      <c r="H455" s="64">
        <f t="shared" si="116"/>
        <v>27104</v>
      </c>
      <c r="I455" s="70">
        <v>377105</v>
      </c>
      <c r="J455" s="62" t="s">
        <v>1263</v>
      </c>
      <c r="K455" s="8" t="s">
        <v>1264</v>
      </c>
      <c r="L455" s="10" t="s">
        <v>1334</v>
      </c>
      <c r="M455" s="62">
        <v>1</v>
      </c>
      <c r="N455" s="8">
        <v>1</v>
      </c>
      <c r="O455" s="62">
        <f t="shared" si="117"/>
        <v>0</v>
      </c>
      <c r="P455" s="70">
        <v>93</v>
      </c>
      <c r="Q455" s="71">
        <v>46128</v>
      </c>
      <c r="R455" s="6">
        <v>46128</v>
      </c>
      <c r="S455" s="64">
        <v>36960</v>
      </c>
      <c r="T455" s="22">
        <v>5</v>
      </c>
      <c r="U455" s="64">
        <f t="shared" si="118"/>
        <v>1848</v>
      </c>
      <c r="V455" s="22">
        <v>0</v>
      </c>
      <c r="W455" s="22">
        <v>852718</v>
      </c>
      <c r="X455" s="62" t="s">
        <v>793</v>
      </c>
      <c r="Y455" s="62" t="s">
        <v>1120</v>
      </c>
      <c r="Z455" s="62" t="s">
        <v>1863</v>
      </c>
      <c r="AA455" s="65">
        <v>4</v>
      </c>
      <c r="AB455" s="66"/>
      <c r="AC455" s="1" t="s">
        <v>13</v>
      </c>
      <c r="AD455" s="62" t="str">
        <f>VLOOKUP(X455,'Customer List'!B:C,2,)</f>
        <v>Delhi</v>
      </c>
      <c r="AE455" s="67"/>
      <c r="AF455" s="6"/>
      <c r="AG455" s="62" t="str">
        <f t="shared" si="119"/>
        <v/>
      </c>
      <c r="AH455" s="62" t="str">
        <f t="shared" si="120"/>
        <v>Saturday</v>
      </c>
      <c r="AI455" s="62" t="str">
        <f t="shared" si="121"/>
        <v/>
      </c>
      <c r="AJ455" s="62" t="str">
        <f>VLOOKUP(AC455,'Currency Sheet'!A:C,3,)</f>
        <v>DOLLAR</v>
      </c>
      <c r="AK455" s="62" t="str">
        <f>VLOOKUP(X455,'Customer List'!B:D,3,)</f>
        <v>Local</v>
      </c>
    </row>
    <row r="456" spans="1:37" hidden="1" x14ac:dyDescent="0.25">
      <c r="A456" s="62">
        <f t="shared" si="122"/>
        <v>442</v>
      </c>
      <c r="B456" s="62" t="s">
        <v>824</v>
      </c>
      <c r="C456" s="62" t="s">
        <v>1172</v>
      </c>
      <c r="D456" s="6">
        <v>46115</v>
      </c>
      <c r="E456" s="6">
        <v>46121</v>
      </c>
      <c r="F456" s="63">
        <v>90.3</v>
      </c>
      <c r="G456" s="64">
        <f t="shared" si="115"/>
        <v>7946.4</v>
      </c>
      <c r="H456" s="64">
        <f t="shared" si="116"/>
        <v>7946.4</v>
      </c>
      <c r="I456" s="70">
        <v>400114</v>
      </c>
      <c r="J456" s="62" t="s">
        <v>1032</v>
      </c>
      <c r="K456" s="8" t="s">
        <v>1265</v>
      </c>
      <c r="L456" s="10" t="s">
        <v>1346</v>
      </c>
      <c r="M456" s="62">
        <v>1</v>
      </c>
      <c r="N456" s="8">
        <v>1</v>
      </c>
      <c r="O456" s="62">
        <f t="shared" si="117"/>
        <v>0</v>
      </c>
      <c r="P456" s="70">
        <v>59</v>
      </c>
      <c r="Q456" s="71">
        <v>46122</v>
      </c>
      <c r="R456" s="6">
        <v>46123</v>
      </c>
      <c r="S456" s="64">
        <v>13158</v>
      </c>
      <c r="T456" s="22">
        <v>5</v>
      </c>
      <c r="U456" s="64">
        <f t="shared" si="118"/>
        <v>657.90000000000009</v>
      </c>
      <c r="V456" s="22">
        <v>0</v>
      </c>
      <c r="W456" s="22">
        <v>152618</v>
      </c>
      <c r="X456" s="62" t="s">
        <v>902</v>
      </c>
      <c r="Y456" s="62">
        <v>58164183140</v>
      </c>
      <c r="Z456" s="62" t="s">
        <v>1112</v>
      </c>
      <c r="AA456" s="65">
        <v>4</v>
      </c>
      <c r="AB456" s="66"/>
      <c r="AC456" s="1" t="s">
        <v>13</v>
      </c>
      <c r="AD456" s="62" t="str">
        <f>VLOOKUP(X456,'Customer List'!B:C,2,)</f>
        <v>Hyderabad</v>
      </c>
      <c r="AE456" s="67"/>
      <c r="AF456" s="6">
        <v>46125</v>
      </c>
      <c r="AG456" s="62">
        <f t="shared" si="119"/>
        <v>2</v>
      </c>
      <c r="AH456" s="62" t="str">
        <f t="shared" si="120"/>
        <v>Thursday</v>
      </c>
      <c r="AI456" s="62" t="str">
        <f t="shared" si="121"/>
        <v>Monday</v>
      </c>
      <c r="AJ456" s="62" t="str">
        <f>VLOOKUP(AC456,'Currency Sheet'!A:C,3,)</f>
        <v>DOLLAR</v>
      </c>
      <c r="AK456" s="62" t="str">
        <f>VLOOKUP(X456,'Customer List'!B:D,3,)</f>
        <v>OutStation</v>
      </c>
    </row>
    <row r="457" spans="1:37" hidden="1" x14ac:dyDescent="0.25">
      <c r="A457" s="62">
        <f t="shared" si="122"/>
        <v>443</v>
      </c>
      <c r="B457" s="62" t="s">
        <v>824</v>
      </c>
      <c r="C457" s="62" t="s">
        <v>1172</v>
      </c>
      <c r="D457" s="6">
        <v>46115</v>
      </c>
      <c r="E457" s="6">
        <v>46121</v>
      </c>
      <c r="F457" s="63">
        <v>90.3</v>
      </c>
      <c r="G457" s="64">
        <f t="shared" si="115"/>
        <v>7946.4</v>
      </c>
      <c r="H457" s="64">
        <f t="shared" si="116"/>
        <v>7946.4</v>
      </c>
      <c r="I457" s="70">
        <v>400140</v>
      </c>
      <c r="J457" s="62" t="s">
        <v>1266</v>
      </c>
      <c r="K457" s="8" t="s">
        <v>1267</v>
      </c>
      <c r="L457" s="10" t="s">
        <v>1347</v>
      </c>
      <c r="M457" s="62">
        <v>1</v>
      </c>
      <c r="N457" s="8">
        <v>1</v>
      </c>
      <c r="O457" s="62">
        <f t="shared" si="117"/>
        <v>0</v>
      </c>
      <c r="P457" s="70">
        <v>93</v>
      </c>
      <c r="Q457" s="71">
        <v>46128</v>
      </c>
      <c r="R457" s="6">
        <v>46128</v>
      </c>
      <c r="S457" s="64">
        <v>10836</v>
      </c>
      <c r="T457" s="22">
        <v>5</v>
      </c>
      <c r="U457" s="64">
        <f t="shared" si="118"/>
        <v>541.80000000000007</v>
      </c>
      <c r="V457" s="22">
        <v>0</v>
      </c>
      <c r="W457" s="22">
        <v>852718</v>
      </c>
      <c r="X457" s="62" t="s">
        <v>793</v>
      </c>
      <c r="Y457" s="62" t="s">
        <v>1120</v>
      </c>
      <c r="Z457" s="62" t="s">
        <v>1863</v>
      </c>
      <c r="AA457" s="65">
        <v>4</v>
      </c>
      <c r="AB457" s="66"/>
      <c r="AC457" s="1" t="s">
        <v>13</v>
      </c>
      <c r="AD457" s="62" t="str">
        <f>VLOOKUP(X457,'Customer List'!B:C,2,)</f>
        <v>Delhi</v>
      </c>
      <c r="AE457" s="67"/>
      <c r="AF457" s="6"/>
      <c r="AG457" s="62" t="str">
        <f t="shared" si="119"/>
        <v/>
      </c>
      <c r="AH457" s="62" t="str">
        <f t="shared" si="120"/>
        <v>Saturday</v>
      </c>
      <c r="AI457" s="62" t="str">
        <f t="shared" si="121"/>
        <v/>
      </c>
      <c r="AJ457" s="62" t="str">
        <f>VLOOKUP(AC457,'Currency Sheet'!A:C,3,)</f>
        <v>DOLLAR</v>
      </c>
      <c r="AK457" s="62" t="str">
        <f>VLOOKUP(X457,'Customer List'!B:D,3,)</f>
        <v>Local</v>
      </c>
    </row>
    <row r="458" spans="1:37" hidden="1" x14ac:dyDescent="0.25">
      <c r="A458" s="62">
        <f t="shared" si="122"/>
        <v>444</v>
      </c>
      <c r="B458" s="62" t="s">
        <v>824</v>
      </c>
      <c r="C458" s="62" t="s">
        <v>1172</v>
      </c>
      <c r="D458" s="6">
        <v>46115</v>
      </c>
      <c r="E458" s="6">
        <v>46121</v>
      </c>
      <c r="F458" s="63">
        <v>68.599999999999994</v>
      </c>
      <c r="G458" s="64">
        <f t="shared" ref="G458:G521" si="123">IF(AJ458="DOLLAR",F458*88,F458)</f>
        <v>6036.7999999999993</v>
      </c>
      <c r="H458" s="64">
        <f t="shared" ref="H458:H521" si="124">G458*M458</f>
        <v>6036.7999999999993</v>
      </c>
      <c r="I458" s="70">
        <v>400508</v>
      </c>
      <c r="J458" s="62" t="s">
        <v>1268</v>
      </c>
      <c r="K458" s="8" t="s">
        <v>1269</v>
      </c>
      <c r="L458" s="10" t="s">
        <v>1348</v>
      </c>
      <c r="M458" s="62">
        <v>1</v>
      </c>
      <c r="N458" s="8">
        <v>1</v>
      </c>
      <c r="O458" s="62">
        <f t="shared" ref="O458:O521" si="125">M458-N458</f>
        <v>0</v>
      </c>
      <c r="P458" s="70">
        <v>93</v>
      </c>
      <c r="Q458" s="71">
        <v>46128</v>
      </c>
      <c r="R458" s="6">
        <v>46128</v>
      </c>
      <c r="S458" s="64">
        <v>8232</v>
      </c>
      <c r="T458" s="22">
        <v>5</v>
      </c>
      <c r="U458" s="64">
        <f t="shared" ref="U458:U521" si="126">S458*T458%</f>
        <v>411.6</v>
      </c>
      <c r="V458" s="22">
        <v>0</v>
      </c>
      <c r="W458" s="22">
        <v>852718</v>
      </c>
      <c r="X458" s="62" t="s">
        <v>793</v>
      </c>
      <c r="Y458" s="62" t="s">
        <v>1120</v>
      </c>
      <c r="Z458" s="62" t="s">
        <v>1863</v>
      </c>
      <c r="AA458" s="65">
        <v>4</v>
      </c>
      <c r="AB458" s="66"/>
      <c r="AC458" s="1" t="s">
        <v>13</v>
      </c>
      <c r="AD458" s="62" t="str">
        <f>VLOOKUP(X458,'Customer List'!B:C,2,)</f>
        <v>Delhi</v>
      </c>
      <c r="AE458" s="67"/>
      <c r="AF458" s="6"/>
      <c r="AG458" s="62" t="str">
        <f t="shared" ref="AG458:AG521" si="127">IF(AF458="", "", AF458-R458)</f>
        <v/>
      </c>
      <c r="AH458" s="62" t="str">
        <f t="shared" ref="AH458:AH521" si="128">IF(S458="", "", TEXT(S458, "dddd"))</f>
        <v>Saturday</v>
      </c>
      <c r="AI458" s="62" t="str">
        <f t="shared" si="121"/>
        <v/>
      </c>
      <c r="AJ458" s="62" t="str">
        <f>VLOOKUP(AC458,'Currency Sheet'!A:C,3,)</f>
        <v>DOLLAR</v>
      </c>
      <c r="AK458" s="62" t="str">
        <f>VLOOKUP(X458,'Customer List'!B:D,3,)</f>
        <v>Local</v>
      </c>
    </row>
    <row r="459" spans="1:37" hidden="1" x14ac:dyDescent="0.25">
      <c r="A459" s="62">
        <f t="shared" si="122"/>
        <v>445</v>
      </c>
      <c r="B459" s="62" t="s">
        <v>824</v>
      </c>
      <c r="C459" s="62" t="s">
        <v>1172</v>
      </c>
      <c r="D459" s="6">
        <v>46115</v>
      </c>
      <c r="E459" s="6">
        <v>46121</v>
      </c>
      <c r="F459" s="63">
        <v>74.900000000000006</v>
      </c>
      <c r="G459" s="64">
        <f t="shared" si="123"/>
        <v>6591.2000000000007</v>
      </c>
      <c r="H459" s="64">
        <f t="shared" si="124"/>
        <v>6591.2000000000007</v>
      </c>
      <c r="I459" s="70">
        <v>400512</v>
      </c>
      <c r="J459" s="62" t="s">
        <v>1268</v>
      </c>
      <c r="K459" s="8" t="s">
        <v>1270</v>
      </c>
      <c r="L459" s="10" t="s">
        <v>1349</v>
      </c>
      <c r="M459" s="62">
        <v>1</v>
      </c>
      <c r="N459" s="8">
        <v>1</v>
      </c>
      <c r="O459" s="62">
        <f t="shared" si="125"/>
        <v>0</v>
      </c>
      <c r="P459" s="70">
        <v>93</v>
      </c>
      <c r="Q459" s="71">
        <v>46128</v>
      </c>
      <c r="R459" s="6">
        <v>46128</v>
      </c>
      <c r="S459" s="64">
        <v>8988</v>
      </c>
      <c r="T459" s="22">
        <v>5</v>
      </c>
      <c r="U459" s="64">
        <f t="shared" si="126"/>
        <v>449.40000000000003</v>
      </c>
      <c r="V459" s="22">
        <v>0</v>
      </c>
      <c r="W459" s="22">
        <v>852718</v>
      </c>
      <c r="X459" s="62" t="s">
        <v>793</v>
      </c>
      <c r="Y459" s="62" t="s">
        <v>1120</v>
      </c>
      <c r="Z459" s="62" t="s">
        <v>1863</v>
      </c>
      <c r="AA459" s="65">
        <v>4</v>
      </c>
      <c r="AB459" s="66"/>
      <c r="AC459" s="1" t="s">
        <v>13</v>
      </c>
      <c r="AD459" s="62" t="str">
        <f>VLOOKUP(X459,'Customer List'!B:C,2,)</f>
        <v>Delhi</v>
      </c>
      <c r="AE459" s="67"/>
      <c r="AF459" s="6"/>
      <c r="AG459" s="62" t="str">
        <f t="shared" si="127"/>
        <v/>
      </c>
      <c r="AH459" s="62" t="str">
        <f t="shared" si="128"/>
        <v>Saturday</v>
      </c>
      <c r="AI459" s="62" t="str">
        <f t="shared" si="121"/>
        <v/>
      </c>
      <c r="AJ459" s="62" t="str">
        <f>VLOOKUP(AC459,'Currency Sheet'!A:C,3,)</f>
        <v>DOLLAR</v>
      </c>
      <c r="AK459" s="62" t="str">
        <f>VLOOKUP(X459,'Customer List'!B:D,3,)</f>
        <v>Local</v>
      </c>
    </row>
    <row r="460" spans="1:37" hidden="1" x14ac:dyDescent="0.25">
      <c r="A460" s="62">
        <f t="shared" si="122"/>
        <v>446</v>
      </c>
      <c r="B460" s="62" t="s">
        <v>824</v>
      </c>
      <c r="C460" s="62" t="s">
        <v>1172</v>
      </c>
      <c r="D460" s="6">
        <v>46115</v>
      </c>
      <c r="E460" s="6">
        <v>46121</v>
      </c>
      <c r="F460" s="63">
        <v>64.400000000000006</v>
      </c>
      <c r="G460" s="64">
        <f t="shared" si="123"/>
        <v>5667.2000000000007</v>
      </c>
      <c r="H460" s="64">
        <f t="shared" si="124"/>
        <v>5667.2000000000007</v>
      </c>
      <c r="I460" s="70">
        <v>400608</v>
      </c>
      <c r="J460" s="62" t="s">
        <v>1271</v>
      </c>
      <c r="K460" s="8" t="s">
        <v>1272</v>
      </c>
      <c r="L460" s="10" t="s">
        <v>1350</v>
      </c>
      <c r="M460" s="62">
        <v>1</v>
      </c>
      <c r="N460" s="8">
        <v>1</v>
      </c>
      <c r="O460" s="62">
        <f t="shared" si="125"/>
        <v>0</v>
      </c>
      <c r="P460" s="70">
        <v>93</v>
      </c>
      <c r="Q460" s="71">
        <v>46128</v>
      </c>
      <c r="R460" s="6">
        <v>46128</v>
      </c>
      <c r="S460" s="64">
        <v>7728</v>
      </c>
      <c r="T460" s="22">
        <v>5</v>
      </c>
      <c r="U460" s="64">
        <f t="shared" si="126"/>
        <v>386.40000000000003</v>
      </c>
      <c r="V460" s="22">
        <v>0</v>
      </c>
      <c r="W460" s="22">
        <v>852718</v>
      </c>
      <c r="X460" s="62" t="s">
        <v>793</v>
      </c>
      <c r="Y460" s="62" t="s">
        <v>1120</v>
      </c>
      <c r="Z460" s="62" t="s">
        <v>1863</v>
      </c>
      <c r="AA460" s="65">
        <v>4</v>
      </c>
      <c r="AB460" s="66"/>
      <c r="AC460" s="1" t="s">
        <v>13</v>
      </c>
      <c r="AD460" s="62" t="str">
        <f>VLOOKUP(X460,'Customer List'!B:C,2,)</f>
        <v>Delhi</v>
      </c>
      <c r="AE460" s="67"/>
      <c r="AF460" s="6"/>
      <c r="AG460" s="62" t="str">
        <f t="shared" si="127"/>
        <v/>
      </c>
      <c r="AH460" s="62" t="str">
        <f t="shared" si="128"/>
        <v>Saturday</v>
      </c>
      <c r="AI460" s="62" t="str">
        <f t="shared" si="121"/>
        <v/>
      </c>
      <c r="AJ460" s="62" t="str">
        <f>VLOOKUP(AC460,'Currency Sheet'!A:C,3,)</f>
        <v>DOLLAR</v>
      </c>
      <c r="AK460" s="62" t="str">
        <f>VLOOKUP(X460,'Customer List'!B:D,3,)</f>
        <v>Local</v>
      </c>
    </row>
    <row r="461" spans="1:37" hidden="1" x14ac:dyDescent="0.25">
      <c r="A461" s="62">
        <f t="shared" si="122"/>
        <v>447</v>
      </c>
      <c r="B461" s="62" t="s">
        <v>824</v>
      </c>
      <c r="C461" s="62" t="s">
        <v>1172</v>
      </c>
      <c r="D461" s="6">
        <v>46115</v>
      </c>
      <c r="E461" s="6">
        <v>46121</v>
      </c>
      <c r="F461" s="63">
        <v>33.6</v>
      </c>
      <c r="G461" s="64">
        <f t="shared" si="123"/>
        <v>2956.8</v>
      </c>
      <c r="H461" s="64">
        <f t="shared" si="124"/>
        <v>2956.8</v>
      </c>
      <c r="I461" s="70">
        <v>400611</v>
      </c>
      <c r="J461" s="62" t="s">
        <v>1271</v>
      </c>
      <c r="K461" s="8" t="s">
        <v>1273</v>
      </c>
      <c r="L461" s="10" t="s">
        <v>1351</v>
      </c>
      <c r="M461" s="62">
        <v>1</v>
      </c>
      <c r="N461" s="8">
        <v>1</v>
      </c>
      <c r="O461" s="62">
        <f t="shared" si="125"/>
        <v>0</v>
      </c>
      <c r="P461" s="70">
        <v>93</v>
      </c>
      <c r="Q461" s="71">
        <v>46128</v>
      </c>
      <c r="R461" s="6">
        <v>46128</v>
      </c>
      <c r="S461" s="64">
        <v>4032</v>
      </c>
      <c r="T461" s="22">
        <v>5</v>
      </c>
      <c r="U461" s="64">
        <f t="shared" si="126"/>
        <v>201.60000000000002</v>
      </c>
      <c r="V461" s="22">
        <v>0</v>
      </c>
      <c r="W461" s="22">
        <v>852718</v>
      </c>
      <c r="X461" s="62" t="s">
        <v>793</v>
      </c>
      <c r="Y461" s="62" t="s">
        <v>1120</v>
      </c>
      <c r="Z461" s="62" t="s">
        <v>1863</v>
      </c>
      <c r="AA461" s="65">
        <v>4</v>
      </c>
      <c r="AB461" s="66"/>
      <c r="AC461" s="1" t="s">
        <v>13</v>
      </c>
      <c r="AD461" s="62" t="str">
        <f>VLOOKUP(X461,'Customer List'!B:C,2,)</f>
        <v>Delhi</v>
      </c>
      <c r="AE461" s="67"/>
      <c r="AF461" s="6"/>
      <c r="AG461" s="62" t="str">
        <f t="shared" si="127"/>
        <v/>
      </c>
      <c r="AH461" s="62" t="str">
        <f t="shared" si="128"/>
        <v>Saturday</v>
      </c>
      <c r="AI461" s="62" t="str">
        <f t="shared" si="121"/>
        <v/>
      </c>
      <c r="AJ461" s="62" t="str">
        <f>VLOOKUP(AC461,'Currency Sheet'!A:C,3,)</f>
        <v>DOLLAR</v>
      </c>
      <c r="AK461" s="62" t="str">
        <f>VLOOKUP(X461,'Customer List'!B:D,3,)</f>
        <v>Local</v>
      </c>
    </row>
    <row r="462" spans="1:37" hidden="1" x14ac:dyDescent="0.25">
      <c r="A462" s="62">
        <f t="shared" si="122"/>
        <v>448</v>
      </c>
      <c r="B462" s="62" t="s">
        <v>824</v>
      </c>
      <c r="C462" s="62" t="s">
        <v>1172</v>
      </c>
      <c r="D462" s="6">
        <v>46115</v>
      </c>
      <c r="E462" s="6">
        <v>46121</v>
      </c>
      <c r="F462" s="63">
        <v>123.75</v>
      </c>
      <c r="G462" s="64">
        <f t="shared" si="123"/>
        <v>10890</v>
      </c>
      <c r="H462" s="64">
        <f t="shared" si="124"/>
        <v>10890</v>
      </c>
      <c r="I462" s="70">
        <v>400639</v>
      </c>
      <c r="J462" s="62" t="s">
        <v>1271</v>
      </c>
      <c r="K462" s="8" t="s">
        <v>1274</v>
      </c>
      <c r="L462" s="10">
        <v>46388</v>
      </c>
      <c r="M462" s="62">
        <v>1</v>
      </c>
      <c r="N462" s="8">
        <v>1</v>
      </c>
      <c r="O462" s="62">
        <f t="shared" si="125"/>
        <v>0</v>
      </c>
      <c r="P462" s="70">
        <v>93</v>
      </c>
      <c r="Q462" s="71">
        <v>46128</v>
      </c>
      <c r="R462" s="6">
        <v>46128</v>
      </c>
      <c r="S462" s="64">
        <v>13860</v>
      </c>
      <c r="T462" s="22">
        <v>5</v>
      </c>
      <c r="U462" s="64">
        <f t="shared" si="126"/>
        <v>693</v>
      </c>
      <c r="V462" s="22">
        <v>0</v>
      </c>
      <c r="W462" s="22">
        <v>852718</v>
      </c>
      <c r="X462" s="62" t="s">
        <v>793</v>
      </c>
      <c r="Y462" s="62" t="s">
        <v>1120</v>
      </c>
      <c r="Z462" s="62" t="s">
        <v>1863</v>
      </c>
      <c r="AA462" s="65">
        <v>4</v>
      </c>
      <c r="AB462" s="66"/>
      <c r="AC462" s="1" t="s">
        <v>13</v>
      </c>
      <c r="AD462" s="62" t="str">
        <f>VLOOKUP(X462,'Customer List'!B:C,2,)</f>
        <v>Delhi</v>
      </c>
      <c r="AE462" s="67"/>
      <c r="AF462" s="6"/>
      <c r="AG462" s="62" t="str">
        <f t="shared" si="127"/>
        <v/>
      </c>
      <c r="AH462" s="62" t="str">
        <f t="shared" si="128"/>
        <v>Saturday</v>
      </c>
      <c r="AI462" s="62" t="str">
        <f t="shared" si="121"/>
        <v/>
      </c>
      <c r="AJ462" s="62" t="str">
        <f>VLOOKUP(AC462,'Currency Sheet'!A:C,3,)</f>
        <v>DOLLAR</v>
      </c>
      <c r="AK462" s="62" t="str">
        <f>VLOOKUP(X462,'Customer List'!B:D,3,)</f>
        <v>Local</v>
      </c>
    </row>
    <row r="463" spans="1:37" hidden="1" x14ac:dyDescent="0.25">
      <c r="A463" s="62">
        <f t="shared" si="122"/>
        <v>449</v>
      </c>
      <c r="B463" s="62" t="s">
        <v>824</v>
      </c>
      <c r="C463" s="62" t="s">
        <v>1172</v>
      </c>
      <c r="D463" s="6">
        <v>46115</v>
      </c>
      <c r="E463" s="6">
        <v>46121</v>
      </c>
      <c r="F463" s="63">
        <v>29.4</v>
      </c>
      <c r="G463" s="64">
        <f t="shared" si="123"/>
        <v>2587.1999999999998</v>
      </c>
      <c r="H463" s="64">
        <f t="shared" si="124"/>
        <v>5174.3999999999996</v>
      </c>
      <c r="I463" s="70">
        <v>421101</v>
      </c>
      <c r="J463" s="62" t="s">
        <v>1275</v>
      </c>
      <c r="K463" s="8" t="s">
        <v>1276</v>
      </c>
      <c r="L463" s="10" t="s">
        <v>1352</v>
      </c>
      <c r="M463" s="62">
        <v>2</v>
      </c>
      <c r="N463" s="8">
        <v>2</v>
      </c>
      <c r="O463" s="62">
        <f t="shared" si="125"/>
        <v>0</v>
      </c>
      <c r="P463" s="70">
        <v>119</v>
      </c>
      <c r="Q463" s="71">
        <v>46129</v>
      </c>
      <c r="R463" s="6">
        <v>46130</v>
      </c>
      <c r="S463" s="64">
        <v>8853.6</v>
      </c>
      <c r="T463" s="22">
        <v>5</v>
      </c>
      <c r="U463" s="64">
        <f t="shared" si="126"/>
        <v>442.68000000000006</v>
      </c>
      <c r="V463" s="22">
        <v>-0.28000000000000003</v>
      </c>
      <c r="W463" s="22">
        <v>9296</v>
      </c>
      <c r="X463" s="62" t="s">
        <v>1366</v>
      </c>
      <c r="Y463" s="62">
        <v>58164467126</v>
      </c>
      <c r="Z463" s="62" t="s">
        <v>1112</v>
      </c>
      <c r="AA463" s="65">
        <v>4</v>
      </c>
      <c r="AB463" s="66"/>
      <c r="AC463" s="1" t="s">
        <v>13</v>
      </c>
      <c r="AD463" s="62" t="str">
        <f>VLOOKUP(X463,'Customer List'!B:C,2,)</f>
        <v>Lucknow</v>
      </c>
      <c r="AE463" s="67" t="s">
        <v>1430</v>
      </c>
      <c r="AF463" s="6">
        <v>46133</v>
      </c>
      <c r="AG463" s="62">
        <f t="shared" si="127"/>
        <v>3</v>
      </c>
      <c r="AH463" s="62" t="str">
        <f t="shared" si="128"/>
        <v>Thursday</v>
      </c>
      <c r="AI463" s="62" t="str">
        <f t="shared" si="121"/>
        <v>Tuesday</v>
      </c>
      <c r="AJ463" s="62" t="str">
        <f>VLOOKUP(AC463,'Currency Sheet'!A:C,3,)</f>
        <v>DOLLAR</v>
      </c>
      <c r="AK463" s="62" t="str">
        <f>VLOOKUP(X463,'Customer List'!B:D,3,)</f>
        <v>OutStation</v>
      </c>
    </row>
    <row r="464" spans="1:37" hidden="1" x14ac:dyDescent="0.25">
      <c r="A464" s="62">
        <f t="shared" si="122"/>
        <v>450</v>
      </c>
      <c r="B464" s="62" t="s">
        <v>824</v>
      </c>
      <c r="C464" s="62" t="s">
        <v>1172</v>
      </c>
      <c r="D464" s="6">
        <v>46115</v>
      </c>
      <c r="E464" s="6">
        <v>46121</v>
      </c>
      <c r="F464" s="63">
        <v>234.5</v>
      </c>
      <c r="G464" s="64">
        <f t="shared" si="123"/>
        <v>20636</v>
      </c>
      <c r="H464" s="64">
        <f t="shared" si="124"/>
        <v>20636</v>
      </c>
      <c r="I464" s="70">
        <v>423106</v>
      </c>
      <c r="J464" s="62" t="s">
        <v>1055</v>
      </c>
      <c r="K464" s="8" t="s">
        <v>1277</v>
      </c>
      <c r="L464" s="10" t="s">
        <v>1353</v>
      </c>
      <c r="M464" s="62">
        <v>1</v>
      </c>
      <c r="N464" s="8">
        <v>1</v>
      </c>
      <c r="O464" s="62">
        <f t="shared" si="125"/>
        <v>0</v>
      </c>
      <c r="P464" s="70">
        <v>92</v>
      </c>
      <c r="Q464" s="71">
        <v>46128</v>
      </c>
      <c r="R464" s="6">
        <v>46128</v>
      </c>
      <c r="S464" s="64">
        <v>37905.25</v>
      </c>
      <c r="T464" s="22">
        <v>5</v>
      </c>
      <c r="U464" s="64">
        <f t="shared" si="126"/>
        <v>1895.2625</v>
      </c>
      <c r="V464" s="22">
        <v>0</v>
      </c>
      <c r="W464" s="22">
        <v>229061</v>
      </c>
      <c r="X464" s="62" t="s">
        <v>1360</v>
      </c>
      <c r="Y464" s="62" t="s">
        <v>1120</v>
      </c>
      <c r="Z464" s="62" t="s">
        <v>1116</v>
      </c>
      <c r="AA464" s="65">
        <v>-20</v>
      </c>
      <c r="AB464" s="66"/>
      <c r="AC464" s="1" t="s">
        <v>13</v>
      </c>
      <c r="AD464" s="62" t="str">
        <f>VLOOKUP(X464,'Customer List'!B:C,2,)</f>
        <v>Manesar</v>
      </c>
      <c r="AE464" s="67"/>
      <c r="AF464" s="6"/>
      <c r="AG464" s="62" t="str">
        <f t="shared" si="127"/>
        <v/>
      </c>
      <c r="AH464" s="62" t="str">
        <f t="shared" si="128"/>
        <v>Saturday</v>
      </c>
      <c r="AI464" s="62" t="str">
        <f t="shared" si="121"/>
        <v/>
      </c>
      <c r="AJ464" s="62" t="str">
        <f>VLOOKUP(AC464,'Currency Sheet'!A:C,3,)</f>
        <v>DOLLAR</v>
      </c>
      <c r="AK464" s="62" t="str">
        <f>VLOOKUP(X464,'Customer List'!B:D,3,)</f>
        <v>Local</v>
      </c>
    </row>
    <row r="465" spans="1:37" ht="30" hidden="1" x14ac:dyDescent="0.25">
      <c r="A465" s="62">
        <f t="shared" si="122"/>
        <v>451</v>
      </c>
      <c r="B465" s="62" t="s">
        <v>824</v>
      </c>
      <c r="C465" s="62" t="s">
        <v>1172</v>
      </c>
      <c r="D465" s="6">
        <v>46115</v>
      </c>
      <c r="E465" s="6">
        <v>46121</v>
      </c>
      <c r="F465" s="63">
        <v>164.5</v>
      </c>
      <c r="G465" s="64">
        <f t="shared" si="123"/>
        <v>14476</v>
      </c>
      <c r="H465" s="64">
        <f t="shared" si="124"/>
        <v>14476</v>
      </c>
      <c r="I465" s="70">
        <v>424602</v>
      </c>
      <c r="J465" s="62" t="s">
        <v>1278</v>
      </c>
      <c r="K465" s="8" t="s">
        <v>1279</v>
      </c>
      <c r="L465" s="10" t="s">
        <v>1354</v>
      </c>
      <c r="M465" s="62">
        <v>1</v>
      </c>
      <c r="N465" s="8">
        <v>1</v>
      </c>
      <c r="O465" s="62">
        <f t="shared" si="125"/>
        <v>0</v>
      </c>
      <c r="P465" s="70" t="s">
        <v>1602</v>
      </c>
      <c r="Q465" s="71">
        <v>46127</v>
      </c>
      <c r="R465" s="6">
        <v>46127</v>
      </c>
      <c r="S465" s="64">
        <v>0</v>
      </c>
      <c r="T465" s="22">
        <v>5</v>
      </c>
      <c r="U465" s="64">
        <f t="shared" si="126"/>
        <v>0</v>
      </c>
      <c r="V465" s="22">
        <v>0</v>
      </c>
      <c r="W465" s="22">
        <v>0</v>
      </c>
      <c r="X465" s="62" t="s">
        <v>793</v>
      </c>
      <c r="Y465" s="62" t="s">
        <v>1120</v>
      </c>
      <c r="Z465" s="62" t="s">
        <v>1863</v>
      </c>
      <c r="AA465" s="65">
        <v>4</v>
      </c>
      <c r="AB465" s="66" t="s">
        <v>1858</v>
      </c>
      <c r="AC465" s="1" t="s">
        <v>13</v>
      </c>
      <c r="AD465" s="62" t="str">
        <f>VLOOKUP(X465,'Customer List'!B:C,2,)</f>
        <v>Delhi</v>
      </c>
      <c r="AE465" s="67" t="s">
        <v>832</v>
      </c>
      <c r="AF465" s="6"/>
      <c r="AG465" s="62" t="str">
        <f t="shared" si="127"/>
        <v/>
      </c>
      <c r="AH465" s="62" t="str">
        <f t="shared" si="128"/>
        <v>Saturday</v>
      </c>
      <c r="AI465" s="62" t="str">
        <f t="shared" si="121"/>
        <v/>
      </c>
      <c r="AJ465" s="62" t="str">
        <f>VLOOKUP(AC465,'Currency Sheet'!A:C,3,)</f>
        <v>DOLLAR</v>
      </c>
      <c r="AK465" s="62" t="str">
        <f>VLOOKUP(X465,'Customer List'!B:D,3,)</f>
        <v>Local</v>
      </c>
    </row>
    <row r="466" spans="1:37" hidden="1" x14ac:dyDescent="0.25">
      <c r="A466" s="62">
        <f t="shared" si="122"/>
        <v>452</v>
      </c>
      <c r="B466" s="62" t="s">
        <v>824</v>
      </c>
      <c r="C466" s="62" t="s">
        <v>1172</v>
      </c>
      <c r="D466" s="6">
        <v>46115</v>
      </c>
      <c r="E466" s="6">
        <v>46121</v>
      </c>
      <c r="F466" s="63">
        <v>77</v>
      </c>
      <c r="G466" s="64">
        <f t="shared" si="123"/>
        <v>6776</v>
      </c>
      <c r="H466" s="64">
        <f t="shared" si="124"/>
        <v>6776</v>
      </c>
      <c r="I466" s="70">
        <v>506903</v>
      </c>
      <c r="J466" s="62" t="s">
        <v>784</v>
      </c>
      <c r="K466" s="8" t="s">
        <v>1280</v>
      </c>
      <c r="L466" s="10" t="s">
        <v>1355</v>
      </c>
      <c r="M466" s="62">
        <v>1</v>
      </c>
      <c r="N466" s="8">
        <v>1</v>
      </c>
      <c r="O466" s="62">
        <f t="shared" si="125"/>
        <v>0</v>
      </c>
      <c r="P466" s="70">
        <v>93</v>
      </c>
      <c r="Q466" s="71">
        <v>46128</v>
      </c>
      <c r="R466" s="6">
        <v>46128</v>
      </c>
      <c r="S466" s="64">
        <v>9240</v>
      </c>
      <c r="T466" s="22">
        <v>5</v>
      </c>
      <c r="U466" s="64">
        <f t="shared" si="126"/>
        <v>462</v>
      </c>
      <c r="V466" s="22">
        <v>0</v>
      </c>
      <c r="W466" s="22">
        <v>852718</v>
      </c>
      <c r="X466" s="62" t="s">
        <v>793</v>
      </c>
      <c r="Y466" s="62" t="s">
        <v>1120</v>
      </c>
      <c r="Z466" s="62" t="s">
        <v>1863</v>
      </c>
      <c r="AA466" s="65">
        <v>4</v>
      </c>
      <c r="AB466" s="66"/>
      <c r="AC466" s="1" t="s">
        <v>13</v>
      </c>
      <c r="AD466" s="62" t="str">
        <f>VLOOKUP(X466,'Customer List'!B:C,2,)</f>
        <v>Delhi</v>
      </c>
      <c r="AE466" s="67"/>
      <c r="AF466" s="6"/>
      <c r="AG466" s="62" t="str">
        <f t="shared" si="127"/>
        <v/>
      </c>
      <c r="AH466" s="62" t="str">
        <f t="shared" si="128"/>
        <v>Saturday</v>
      </c>
      <c r="AI466" s="62" t="str">
        <f t="shared" si="121"/>
        <v/>
      </c>
      <c r="AJ466" s="62" t="str">
        <f>VLOOKUP(AC466,'Currency Sheet'!A:C,3,)</f>
        <v>DOLLAR</v>
      </c>
      <c r="AK466" s="62" t="str">
        <f>VLOOKUP(X466,'Customer List'!B:D,3,)</f>
        <v>Local</v>
      </c>
    </row>
    <row r="467" spans="1:37" hidden="1" x14ac:dyDescent="0.25">
      <c r="A467" s="62">
        <f t="shared" si="122"/>
        <v>453</v>
      </c>
      <c r="B467" s="62" t="s">
        <v>824</v>
      </c>
      <c r="C467" s="62" t="s">
        <v>1172</v>
      </c>
      <c r="D467" s="6">
        <v>46115</v>
      </c>
      <c r="E467" s="6">
        <v>46121</v>
      </c>
      <c r="F467" s="63">
        <v>196</v>
      </c>
      <c r="G467" s="64">
        <f t="shared" si="123"/>
        <v>17248</v>
      </c>
      <c r="H467" s="64">
        <f t="shared" si="124"/>
        <v>17248</v>
      </c>
      <c r="I467" s="70">
        <v>506904</v>
      </c>
      <c r="J467" s="62" t="s">
        <v>784</v>
      </c>
      <c r="K467" s="8" t="s">
        <v>1281</v>
      </c>
      <c r="L467" s="10" t="s">
        <v>1355</v>
      </c>
      <c r="M467" s="62">
        <v>1</v>
      </c>
      <c r="N467" s="8">
        <v>1</v>
      </c>
      <c r="O467" s="62">
        <f t="shared" si="125"/>
        <v>0</v>
      </c>
      <c r="P467" s="70">
        <v>93</v>
      </c>
      <c r="Q467" s="71">
        <v>46128</v>
      </c>
      <c r="R467" s="6">
        <v>46128</v>
      </c>
      <c r="S467" s="64">
        <v>23520</v>
      </c>
      <c r="T467" s="22">
        <v>5</v>
      </c>
      <c r="U467" s="64">
        <f t="shared" si="126"/>
        <v>1176</v>
      </c>
      <c r="V467" s="22">
        <v>0</v>
      </c>
      <c r="W467" s="22">
        <v>852718</v>
      </c>
      <c r="X467" s="62" t="s">
        <v>793</v>
      </c>
      <c r="Y467" s="62" t="s">
        <v>1120</v>
      </c>
      <c r="Z467" s="62" t="s">
        <v>1863</v>
      </c>
      <c r="AA467" s="65">
        <v>4</v>
      </c>
      <c r="AB467" s="66"/>
      <c r="AC467" s="1" t="s">
        <v>13</v>
      </c>
      <c r="AD467" s="62" t="str">
        <f>VLOOKUP(X467,'Customer List'!B:C,2,)</f>
        <v>Delhi</v>
      </c>
      <c r="AE467" s="67"/>
      <c r="AF467" s="6"/>
      <c r="AG467" s="62" t="str">
        <f t="shared" si="127"/>
        <v/>
      </c>
      <c r="AH467" s="62" t="str">
        <f t="shared" si="128"/>
        <v>Saturday</v>
      </c>
      <c r="AI467" s="62" t="str">
        <f t="shared" si="121"/>
        <v/>
      </c>
      <c r="AJ467" s="62" t="str">
        <f>VLOOKUP(AC467,'Currency Sheet'!A:C,3,)</f>
        <v>DOLLAR</v>
      </c>
      <c r="AK467" s="62" t="str">
        <f>VLOOKUP(X467,'Customer List'!B:D,3,)</f>
        <v>Local</v>
      </c>
    </row>
    <row r="468" spans="1:37" hidden="1" x14ac:dyDescent="0.25">
      <c r="A468" s="62">
        <f t="shared" si="122"/>
        <v>454</v>
      </c>
      <c r="B468" s="62" t="s">
        <v>824</v>
      </c>
      <c r="C468" s="62" t="s">
        <v>1172</v>
      </c>
      <c r="D468" s="6">
        <v>46115</v>
      </c>
      <c r="E468" s="6">
        <v>46121</v>
      </c>
      <c r="F468" s="63">
        <v>131.6</v>
      </c>
      <c r="G468" s="64">
        <f t="shared" si="123"/>
        <v>11580.8</v>
      </c>
      <c r="H468" s="64">
        <f t="shared" si="124"/>
        <v>23161.599999999999</v>
      </c>
      <c r="I468" s="70">
        <v>613407</v>
      </c>
      <c r="J468" s="62" t="s">
        <v>1282</v>
      </c>
      <c r="K468" s="8" t="s">
        <v>1283</v>
      </c>
      <c r="L468" s="10" t="s">
        <v>1356</v>
      </c>
      <c r="M468" s="62">
        <v>2</v>
      </c>
      <c r="N468" s="8">
        <v>2</v>
      </c>
      <c r="O468" s="62">
        <f t="shared" si="125"/>
        <v>0</v>
      </c>
      <c r="P468" s="70">
        <v>63</v>
      </c>
      <c r="Q468" s="71">
        <v>46122</v>
      </c>
      <c r="R468" s="6">
        <v>46123</v>
      </c>
      <c r="S468" s="64">
        <v>43710</v>
      </c>
      <c r="T468" s="22">
        <v>5</v>
      </c>
      <c r="U468" s="64">
        <f t="shared" si="126"/>
        <v>2185.5</v>
      </c>
      <c r="V468" s="22">
        <v>0</v>
      </c>
      <c r="W468" s="22">
        <v>133781</v>
      </c>
      <c r="X468" s="62" t="s">
        <v>1390</v>
      </c>
      <c r="Y468" s="62">
        <v>58164184201</v>
      </c>
      <c r="Z468" s="62" t="s">
        <v>1112</v>
      </c>
      <c r="AA468" s="65">
        <v>4</v>
      </c>
      <c r="AB468" s="66"/>
      <c r="AC468" s="1" t="s">
        <v>13</v>
      </c>
      <c r="AD468" s="62" t="str">
        <f>VLOOKUP(X468,'Customer List'!B:C,2,)</f>
        <v>Gujrat</v>
      </c>
      <c r="AE468" s="67"/>
      <c r="AF468" s="6">
        <v>46125</v>
      </c>
      <c r="AG468" s="62">
        <f t="shared" si="127"/>
        <v>2</v>
      </c>
      <c r="AH468" s="62" t="str">
        <f t="shared" si="128"/>
        <v>Monday</v>
      </c>
      <c r="AI468" s="62" t="str">
        <f t="shared" si="121"/>
        <v>Monday</v>
      </c>
      <c r="AJ468" s="62" t="str">
        <f>VLOOKUP(AC468,'Currency Sheet'!A:C,3,)</f>
        <v>DOLLAR</v>
      </c>
      <c r="AK468" s="62" t="str">
        <f>VLOOKUP(X468,'Customer List'!B:D,3,)</f>
        <v>OutStation</v>
      </c>
    </row>
    <row r="469" spans="1:37" hidden="1" x14ac:dyDescent="0.25">
      <c r="A469" s="62">
        <f t="shared" si="122"/>
        <v>455</v>
      </c>
      <c r="B469" s="62" t="s">
        <v>824</v>
      </c>
      <c r="C469" s="62" t="s">
        <v>1172</v>
      </c>
      <c r="D469" s="6">
        <v>46115</v>
      </c>
      <c r="E469" s="6">
        <v>46121</v>
      </c>
      <c r="F469" s="63">
        <v>82.6</v>
      </c>
      <c r="G469" s="64">
        <f t="shared" si="123"/>
        <v>7268.7999999999993</v>
      </c>
      <c r="H469" s="64">
        <f t="shared" si="124"/>
        <v>7268.7999999999993</v>
      </c>
      <c r="I469" s="70">
        <v>741104</v>
      </c>
      <c r="J469" s="62" t="s">
        <v>1284</v>
      </c>
      <c r="K469" s="8" t="s">
        <v>1285</v>
      </c>
      <c r="L469" s="10" t="s">
        <v>1357</v>
      </c>
      <c r="M469" s="62">
        <v>1</v>
      </c>
      <c r="N469" s="8">
        <v>1</v>
      </c>
      <c r="O469" s="62">
        <f t="shared" si="125"/>
        <v>0</v>
      </c>
      <c r="P469" s="70">
        <v>67</v>
      </c>
      <c r="Q469" s="71">
        <v>46122</v>
      </c>
      <c r="R469" s="6">
        <v>46123</v>
      </c>
      <c r="S469" s="64">
        <v>12803</v>
      </c>
      <c r="T469" s="22">
        <v>5</v>
      </c>
      <c r="U469" s="64">
        <f t="shared" si="126"/>
        <v>640.15000000000009</v>
      </c>
      <c r="V469" s="22">
        <v>-0.3</v>
      </c>
      <c r="W469" s="22">
        <v>26886</v>
      </c>
      <c r="X469" s="62" t="s">
        <v>1367</v>
      </c>
      <c r="Y469" s="62">
        <v>58164182786</v>
      </c>
      <c r="Z469" s="62" t="s">
        <v>1112</v>
      </c>
      <c r="AA469" s="65">
        <v>4</v>
      </c>
      <c r="AB469" s="66"/>
      <c r="AC469" s="1" t="s">
        <v>13</v>
      </c>
      <c r="AD469" s="62" t="str">
        <f>VLOOKUP(X469,'Customer List'!B:C,2,)</f>
        <v>Banglore</v>
      </c>
      <c r="AE469" s="67"/>
      <c r="AF469" s="6">
        <v>46125</v>
      </c>
      <c r="AG469" s="62">
        <f t="shared" si="127"/>
        <v>2</v>
      </c>
      <c r="AH469" s="62" t="str">
        <f t="shared" si="128"/>
        <v>Saturday</v>
      </c>
      <c r="AI469" s="62" t="str">
        <f t="shared" si="121"/>
        <v>Monday</v>
      </c>
      <c r="AJ469" s="62" t="str">
        <f>VLOOKUP(AC469,'Currency Sheet'!A:C,3,)</f>
        <v>DOLLAR</v>
      </c>
      <c r="AK469" s="62" t="str">
        <f>VLOOKUP(X469,'Customer List'!B:D,3,)</f>
        <v>OutStation</v>
      </c>
    </row>
    <row r="470" spans="1:37" hidden="1" x14ac:dyDescent="0.25">
      <c r="A470" s="62">
        <f t="shared" si="122"/>
        <v>456</v>
      </c>
      <c r="B470" s="62" t="s">
        <v>824</v>
      </c>
      <c r="C470" s="62" t="s">
        <v>1172</v>
      </c>
      <c r="D470" s="6">
        <v>46115</v>
      </c>
      <c r="E470" s="6">
        <v>46121</v>
      </c>
      <c r="F470" s="63">
        <v>82.6</v>
      </c>
      <c r="G470" s="64">
        <f t="shared" si="123"/>
        <v>7268.7999999999993</v>
      </c>
      <c r="H470" s="64">
        <f t="shared" si="124"/>
        <v>7268.7999999999993</v>
      </c>
      <c r="I470" s="70">
        <v>741109</v>
      </c>
      <c r="J470" s="62" t="s">
        <v>1286</v>
      </c>
      <c r="K470" s="8" t="s">
        <v>1287</v>
      </c>
      <c r="L470" s="10" t="s">
        <v>1358</v>
      </c>
      <c r="M470" s="62">
        <v>1</v>
      </c>
      <c r="N470" s="8">
        <v>1</v>
      </c>
      <c r="O470" s="62">
        <f t="shared" si="125"/>
        <v>0</v>
      </c>
      <c r="P470" s="70">
        <v>67</v>
      </c>
      <c r="Q470" s="71">
        <v>46122</v>
      </c>
      <c r="R470" s="6">
        <v>46123</v>
      </c>
      <c r="S470" s="64">
        <v>12803</v>
      </c>
      <c r="T470" s="22">
        <v>5</v>
      </c>
      <c r="U470" s="64">
        <f t="shared" si="126"/>
        <v>640.15000000000009</v>
      </c>
      <c r="V470" s="22">
        <v>0</v>
      </c>
      <c r="W470" s="22">
        <v>26886</v>
      </c>
      <c r="X470" s="62" t="s">
        <v>1367</v>
      </c>
      <c r="Y470" s="62">
        <v>58164182786</v>
      </c>
      <c r="Z470" s="62" t="s">
        <v>1112</v>
      </c>
      <c r="AA470" s="65">
        <v>4</v>
      </c>
      <c r="AB470" s="66"/>
      <c r="AC470" s="1" t="s">
        <v>13</v>
      </c>
      <c r="AD470" s="62" t="str">
        <f>VLOOKUP(X470,'Customer List'!B:C,2,)</f>
        <v>Banglore</v>
      </c>
      <c r="AE470" s="67"/>
      <c r="AF470" s="6">
        <v>46125</v>
      </c>
      <c r="AG470" s="62">
        <f t="shared" si="127"/>
        <v>2</v>
      </c>
      <c r="AH470" s="62" t="str">
        <f t="shared" si="128"/>
        <v>Saturday</v>
      </c>
      <c r="AI470" s="62" t="str">
        <f t="shared" si="121"/>
        <v>Monday</v>
      </c>
      <c r="AJ470" s="62" t="str">
        <f>VLOOKUP(AC470,'Currency Sheet'!A:C,3,)</f>
        <v>DOLLAR</v>
      </c>
      <c r="AK470" s="62" t="str">
        <f>VLOOKUP(X470,'Customer List'!B:D,3,)</f>
        <v>OutStation</v>
      </c>
    </row>
    <row r="471" spans="1:37" hidden="1" x14ac:dyDescent="0.25">
      <c r="A471" s="62">
        <f t="shared" si="122"/>
        <v>457</v>
      </c>
      <c r="B471" s="62" t="s">
        <v>824</v>
      </c>
      <c r="C471" s="62" t="s">
        <v>1172</v>
      </c>
      <c r="D471" s="6">
        <v>46115</v>
      </c>
      <c r="E471" s="6">
        <v>46121</v>
      </c>
      <c r="F471" s="63">
        <v>193.2</v>
      </c>
      <c r="G471" s="64">
        <f t="shared" si="123"/>
        <v>17001.599999999999</v>
      </c>
      <c r="H471" s="64">
        <f t="shared" si="124"/>
        <v>17001.599999999999</v>
      </c>
      <c r="I471" s="70">
        <v>801701</v>
      </c>
      <c r="J471" s="62" t="s">
        <v>1288</v>
      </c>
      <c r="K471" s="8" t="s">
        <v>1289</v>
      </c>
      <c r="L471" s="10" t="s">
        <v>1359</v>
      </c>
      <c r="M471" s="62">
        <v>1</v>
      </c>
      <c r="N471" s="8">
        <v>1</v>
      </c>
      <c r="O471" s="62">
        <f t="shared" si="125"/>
        <v>0</v>
      </c>
      <c r="P471" s="70">
        <v>68</v>
      </c>
      <c r="Q471" s="71">
        <v>46122</v>
      </c>
      <c r="R471" s="6">
        <v>46123</v>
      </c>
      <c r="S471" s="64">
        <v>30801.599999999999</v>
      </c>
      <c r="T471" s="22">
        <v>5</v>
      </c>
      <c r="U471" s="64">
        <f t="shared" si="126"/>
        <v>1540.08</v>
      </c>
      <c r="V471" s="22">
        <v>0.32</v>
      </c>
      <c r="W471" s="22">
        <v>32342</v>
      </c>
      <c r="X471" s="62" t="s">
        <v>1368</v>
      </c>
      <c r="Y471" s="62">
        <v>58164178343</v>
      </c>
      <c r="Z471" s="62" t="s">
        <v>1112</v>
      </c>
      <c r="AA471" s="65">
        <v>4</v>
      </c>
      <c r="AB471" s="66"/>
      <c r="AC471" s="1" t="s">
        <v>13</v>
      </c>
      <c r="AD471" s="62" t="str">
        <f>VLOOKUP(X471,'Customer List'!B:C,2,)</f>
        <v>Banglore</v>
      </c>
      <c r="AE471" s="67"/>
      <c r="AF471" s="6">
        <v>46125</v>
      </c>
      <c r="AG471" s="62">
        <f t="shared" si="127"/>
        <v>2</v>
      </c>
      <c r="AH471" s="62" t="str">
        <f t="shared" si="128"/>
        <v>Sunday</v>
      </c>
      <c r="AI471" s="62" t="str">
        <f t="shared" si="121"/>
        <v>Monday</v>
      </c>
      <c r="AJ471" s="62" t="str">
        <f>VLOOKUP(AC471,'Currency Sheet'!A:C,3,)</f>
        <v>DOLLAR</v>
      </c>
      <c r="AK471" s="62" t="str">
        <f>VLOOKUP(X471,'Customer List'!B:D,3,)</f>
        <v>OutStation</v>
      </c>
    </row>
    <row r="472" spans="1:37" hidden="1" x14ac:dyDescent="0.25">
      <c r="A472" s="62">
        <f t="shared" si="122"/>
        <v>458</v>
      </c>
      <c r="B472" s="62" t="s">
        <v>1369</v>
      </c>
      <c r="C472" s="62" t="s">
        <v>1370</v>
      </c>
      <c r="D472" s="6">
        <v>46118</v>
      </c>
      <c r="E472" s="6">
        <v>46121</v>
      </c>
      <c r="F472" s="63">
        <v>16000</v>
      </c>
      <c r="G472" s="64">
        <f t="shared" si="123"/>
        <v>16000</v>
      </c>
      <c r="H472" s="64">
        <f t="shared" si="124"/>
        <v>192000</v>
      </c>
      <c r="I472" s="70" t="s">
        <v>640</v>
      </c>
      <c r="J472" s="62" t="s">
        <v>1371</v>
      </c>
      <c r="K472" s="8"/>
      <c r="L472" s="10"/>
      <c r="M472" s="62">
        <v>12</v>
      </c>
      <c r="N472" s="8"/>
      <c r="O472" s="62">
        <f t="shared" si="125"/>
        <v>12</v>
      </c>
      <c r="P472" s="70"/>
      <c r="Q472" s="71"/>
      <c r="R472" s="6"/>
      <c r="S472" s="64"/>
      <c r="T472" s="22">
        <v>5</v>
      </c>
      <c r="U472" s="64">
        <f t="shared" si="126"/>
        <v>0</v>
      </c>
      <c r="V472" s="22"/>
      <c r="W472" s="22"/>
      <c r="X472" s="62" t="s">
        <v>257</v>
      </c>
      <c r="Y472" s="62"/>
      <c r="Z472" s="62"/>
      <c r="AA472" s="65">
        <v>-20</v>
      </c>
      <c r="AB472" s="66"/>
      <c r="AC472" s="1" t="s">
        <v>1369</v>
      </c>
      <c r="AD472" s="62" t="str">
        <f>VLOOKUP(X472,'Customer List'!B:C,2,)</f>
        <v>STOCK</v>
      </c>
      <c r="AE472" s="67"/>
      <c r="AF472" s="6"/>
      <c r="AG472" s="62" t="str">
        <f t="shared" si="127"/>
        <v/>
      </c>
      <c r="AH472" s="62" t="str">
        <f t="shared" si="128"/>
        <v/>
      </c>
      <c r="AI472" s="62" t="str">
        <f t="shared" si="121"/>
        <v/>
      </c>
      <c r="AJ472" s="62" t="str">
        <f>VLOOKUP(AC472,'Currency Sheet'!A:C,3,)</f>
        <v>INR</v>
      </c>
      <c r="AK472" s="62" t="str">
        <f>VLOOKUP(X472,'Customer List'!B:D,3,)</f>
        <v>STOCK</v>
      </c>
    </row>
    <row r="473" spans="1:37" s="56" customFormat="1" hidden="1" x14ac:dyDescent="0.25">
      <c r="A473" s="48">
        <f t="shared" si="122"/>
        <v>459</v>
      </c>
      <c r="B473" s="48" t="s">
        <v>1369</v>
      </c>
      <c r="C473" s="48" t="s">
        <v>1372</v>
      </c>
      <c r="D473" s="50">
        <v>46119</v>
      </c>
      <c r="E473" s="50">
        <v>46121</v>
      </c>
      <c r="F473" s="57">
        <v>22836</v>
      </c>
      <c r="G473" s="51">
        <f t="shared" si="123"/>
        <v>22836</v>
      </c>
      <c r="H473" s="64">
        <f t="shared" si="124"/>
        <v>22836</v>
      </c>
      <c r="I473" s="58" t="s">
        <v>1373</v>
      </c>
      <c r="J473" s="48" t="s">
        <v>1374</v>
      </c>
      <c r="K473" s="47"/>
      <c r="L473" s="49"/>
      <c r="M473" s="48">
        <v>1</v>
      </c>
      <c r="N473" s="47">
        <v>1</v>
      </c>
      <c r="O473" s="48">
        <f t="shared" si="125"/>
        <v>0</v>
      </c>
      <c r="P473" s="58" t="s">
        <v>1379</v>
      </c>
      <c r="Q473" s="59">
        <v>46121</v>
      </c>
      <c r="R473" s="50">
        <v>46121</v>
      </c>
      <c r="S473" s="51">
        <v>0</v>
      </c>
      <c r="T473" s="52">
        <v>0</v>
      </c>
      <c r="U473" s="51">
        <f t="shared" si="126"/>
        <v>0</v>
      </c>
      <c r="V473" s="52">
        <v>0</v>
      </c>
      <c r="W473" s="52">
        <v>0</v>
      </c>
      <c r="X473" s="48" t="s">
        <v>797</v>
      </c>
      <c r="Y473" s="48" t="s">
        <v>1105</v>
      </c>
      <c r="Z473" s="48" t="s">
        <v>1105</v>
      </c>
      <c r="AA473" s="53" t="s">
        <v>808</v>
      </c>
      <c r="AB473" s="54" t="s">
        <v>1118</v>
      </c>
      <c r="AC473" s="60" t="s">
        <v>1369</v>
      </c>
      <c r="AD473" s="48" t="str">
        <f>VLOOKUP(X473,'Customer List'!B:C,2,)</f>
        <v>Delhi</v>
      </c>
      <c r="AE473" s="55"/>
      <c r="AF473" s="50"/>
      <c r="AG473" s="48" t="str">
        <f t="shared" si="127"/>
        <v/>
      </c>
      <c r="AH473" s="48" t="str">
        <f t="shared" si="128"/>
        <v>Saturday</v>
      </c>
      <c r="AI473" s="48" t="str">
        <f t="shared" si="121"/>
        <v/>
      </c>
      <c r="AJ473" s="48" t="str">
        <f>VLOOKUP(AC473,'Currency Sheet'!A:C,3,)</f>
        <v>INR</v>
      </c>
      <c r="AK473" s="48" t="str">
        <f>VLOOKUP(X473,'Customer List'!B:D,3,)</f>
        <v>Local</v>
      </c>
    </row>
    <row r="474" spans="1:37" s="56" customFormat="1" hidden="1" x14ac:dyDescent="0.25">
      <c r="A474" s="48">
        <f t="shared" si="122"/>
        <v>460</v>
      </c>
      <c r="B474" s="48" t="s">
        <v>1369</v>
      </c>
      <c r="C474" s="48" t="s">
        <v>1372</v>
      </c>
      <c r="D474" s="50">
        <v>46119</v>
      </c>
      <c r="E474" s="50">
        <v>46121</v>
      </c>
      <c r="F474" s="57">
        <v>10269</v>
      </c>
      <c r="G474" s="51">
        <f t="shared" si="123"/>
        <v>10269</v>
      </c>
      <c r="H474" s="64">
        <f t="shared" si="124"/>
        <v>10269</v>
      </c>
      <c r="I474" s="58">
        <v>115068002</v>
      </c>
      <c r="J474" s="48" t="s">
        <v>1375</v>
      </c>
      <c r="K474" s="47"/>
      <c r="L474" s="49"/>
      <c r="M474" s="48">
        <v>1</v>
      </c>
      <c r="N474" s="47">
        <v>1</v>
      </c>
      <c r="O474" s="48">
        <f t="shared" si="125"/>
        <v>0</v>
      </c>
      <c r="P474" s="58">
        <v>196</v>
      </c>
      <c r="Q474" s="59">
        <v>46139</v>
      </c>
      <c r="R474" s="50">
        <v>46139</v>
      </c>
      <c r="S474" s="51">
        <v>10323</v>
      </c>
      <c r="T474" s="52">
        <v>18</v>
      </c>
      <c r="U474" s="51">
        <f t="shared" si="126"/>
        <v>1858.1399999999999</v>
      </c>
      <c r="V474" s="52">
        <v>-0.14000000000000001</v>
      </c>
      <c r="W474" s="52">
        <v>12181</v>
      </c>
      <c r="X474" s="48" t="s">
        <v>793</v>
      </c>
      <c r="Y474" s="48" t="s">
        <v>1120</v>
      </c>
      <c r="Z474" s="48" t="s">
        <v>1863</v>
      </c>
      <c r="AA474" s="53" t="s">
        <v>808</v>
      </c>
      <c r="AB474" s="54"/>
      <c r="AC474" s="60" t="s">
        <v>1369</v>
      </c>
      <c r="AD474" s="48" t="str">
        <f>VLOOKUP(X474,'Customer List'!B:C,2,)</f>
        <v>Delhi</v>
      </c>
      <c r="AE474" s="55"/>
      <c r="AF474" s="50"/>
      <c r="AG474" s="48" t="str">
        <f t="shared" si="127"/>
        <v/>
      </c>
      <c r="AH474" s="48" t="str">
        <f t="shared" si="128"/>
        <v>Thursday</v>
      </c>
      <c r="AI474" s="48" t="str">
        <f t="shared" si="121"/>
        <v/>
      </c>
      <c r="AJ474" s="48" t="str">
        <f>VLOOKUP(AC474,'Currency Sheet'!A:C,3,)</f>
        <v>INR</v>
      </c>
      <c r="AK474" s="48" t="str">
        <f>VLOOKUP(X474,'Customer List'!B:D,3,)</f>
        <v>Local</v>
      </c>
    </row>
    <row r="475" spans="1:37" hidden="1" x14ac:dyDescent="0.25">
      <c r="A475" s="62">
        <f t="shared" si="122"/>
        <v>461</v>
      </c>
      <c r="B475" s="62" t="s">
        <v>35</v>
      </c>
      <c r="C475" s="62" t="s">
        <v>1392</v>
      </c>
      <c r="D475" s="6">
        <v>46085</v>
      </c>
      <c r="E475" s="6">
        <v>46122</v>
      </c>
      <c r="F475" s="63">
        <v>68.8</v>
      </c>
      <c r="G475" s="64">
        <f t="shared" si="123"/>
        <v>6054.4</v>
      </c>
      <c r="H475" s="64">
        <f t="shared" si="124"/>
        <v>6054.4</v>
      </c>
      <c r="I475" s="70">
        <v>22010</v>
      </c>
      <c r="J475" s="62"/>
      <c r="K475" s="8" t="s">
        <v>1423</v>
      </c>
      <c r="L475" s="10" t="s">
        <v>848</v>
      </c>
      <c r="M475" s="62">
        <v>1</v>
      </c>
      <c r="N475" s="8">
        <v>1</v>
      </c>
      <c r="O475" s="62">
        <f t="shared" si="125"/>
        <v>0</v>
      </c>
      <c r="P475" s="70">
        <v>76</v>
      </c>
      <c r="Q475" s="71">
        <v>46123</v>
      </c>
      <c r="R475" s="6">
        <v>46123</v>
      </c>
      <c r="S475" s="64">
        <v>11997</v>
      </c>
      <c r="T475" s="22">
        <v>5</v>
      </c>
      <c r="U475" s="64">
        <f t="shared" si="126"/>
        <v>599.85</v>
      </c>
      <c r="V475" s="22">
        <v>0.15</v>
      </c>
      <c r="W475" s="22">
        <v>14487</v>
      </c>
      <c r="X475" s="62" t="s">
        <v>247</v>
      </c>
      <c r="Y475" s="62">
        <v>58164185310</v>
      </c>
      <c r="Z475" s="62" t="s">
        <v>1112</v>
      </c>
      <c r="AA475" s="65">
        <v>4</v>
      </c>
      <c r="AB475" s="66"/>
      <c r="AC475" s="1" t="s">
        <v>35</v>
      </c>
      <c r="AD475" s="62" t="str">
        <f>VLOOKUP(X475,'Customer List'!B:C,2,)</f>
        <v>Chennai</v>
      </c>
      <c r="AE475" s="67"/>
      <c r="AF475" s="6">
        <v>46125</v>
      </c>
      <c r="AG475" s="62">
        <f t="shared" si="127"/>
        <v>2</v>
      </c>
      <c r="AH475" s="62" t="str">
        <f t="shared" si="128"/>
        <v>Friday</v>
      </c>
      <c r="AI475" s="62" t="str">
        <f t="shared" si="121"/>
        <v>Monday</v>
      </c>
      <c r="AJ475" s="62" t="str">
        <f>VLOOKUP(AC475,'Currency Sheet'!A:C,3,)</f>
        <v>DOLLAR</v>
      </c>
      <c r="AK475" s="62" t="str">
        <f>VLOOKUP(X475,'Customer List'!B:D,3,)</f>
        <v>OutStation</v>
      </c>
    </row>
    <row r="476" spans="1:37" hidden="1" x14ac:dyDescent="0.25">
      <c r="A476" s="62">
        <f t="shared" si="122"/>
        <v>462</v>
      </c>
      <c r="B476" s="62" t="s">
        <v>35</v>
      </c>
      <c r="C476" s="62" t="s">
        <v>1393</v>
      </c>
      <c r="D476" s="6">
        <v>46085</v>
      </c>
      <c r="E476" s="6">
        <v>46122</v>
      </c>
      <c r="F476" s="63">
        <v>316</v>
      </c>
      <c r="G476" s="64">
        <f t="shared" si="123"/>
        <v>27808</v>
      </c>
      <c r="H476" s="64">
        <f t="shared" si="124"/>
        <v>55616</v>
      </c>
      <c r="I476" s="70">
        <v>96125</v>
      </c>
      <c r="J476" s="62"/>
      <c r="K476" s="8" t="s">
        <v>1424</v>
      </c>
      <c r="L476" s="10" t="s">
        <v>848</v>
      </c>
      <c r="M476" s="62">
        <v>2</v>
      </c>
      <c r="N476" s="8">
        <v>2</v>
      </c>
      <c r="O476" s="62">
        <f t="shared" si="125"/>
        <v>0</v>
      </c>
      <c r="P476" s="70">
        <v>99760</v>
      </c>
      <c r="Q476" s="71">
        <v>46123</v>
      </c>
      <c r="R476" s="6">
        <v>46123</v>
      </c>
      <c r="S476" s="64">
        <v>99760</v>
      </c>
      <c r="T476" s="22">
        <v>5</v>
      </c>
      <c r="U476" s="64">
        <f t="shared" si="126"/>
        <v>4988</v>
      </c>
      <c r="V476" s="22">
        <v>0</v>
      </c>
      <c r="W476" s="22">
        <v>104748</v>
      </c>
      <c r="X476" s="62" t="s">
        <v>379</v>
      </c>
      <c r="Y476" s="62">
        <v>58164184562</v>
      </c>
      <c r="Z476" s="62" t="s">
        <v>1112</v>
      </c>
      <c r="AA476" s="65">
        <v>-20</v>
      </c>
      <c r="AB476" s="66"/>
      <c r="AC476" s="1" t="s">
        <v>35</v>
      </c>
      <c r="AD476" s="62" t="str">
        <f>VLOOKUP(X476,'Customer List'!B:C,2,)</f>
        <v>BANGLORE</v>
      </c>
      <c r="AE476" s="67"/>
      <c r="AF476" s="6">
        <v>46125</v>
      </c>
      <c r="AG476" s="62">
        <f t="shared" si="127"/>
        <v>2</v>
      </c>
      <c r="AH476" s="62" t="str">
        <f t="shared" si="128"/>
        <v>Tuesday</v>
      </c>
      <c r="AI476" s="62" t="str">
        <f t="shared" si="121"/>
        <v>Monday</v>
      </c>
      <c r="AJ476" s="62" t="str">
        <f>VLOOKUP(AC476,'Currency Sheet'!A:C,3,)</f>
        <v>DOLLAR</v>
      </c>
      <c r="AK476" s="62" t="str">
        <f>VLOOKUP(X476,'Customer List'!B:D,3,)</f>
        <v>OutStation</v>
      </c>
    </row>
    <row r="477" spans="1:37" hidden="1" x14ac:dyDescent="0.25">
      <c r="A477" s="62">
        <f t="shared" si="122"/>
        <v>463</v>
      </c>
      <c r="B477" s="62" t="s">
        <v>35</v>
      </c>
      <c r="C477" s="62" t="s">
        <v>1394</v>
      </c>
      <c r="D477" s="6">
        <v>46085</v>
      </c>
      <c r="E477" s="6">
        <v>46122</v>
      </c>
      <c r="F477" s="63">
        <v>312</v>
      </c>
      <c r="G477" s="64">
        <f t="shared" si="123"/>
        <v>27456</v>
      </c>
      <c r="H477" s="64">
        <f t="shared" si="124"/>
        <v>27456</v>
      </c>
      <c r="I477" s="70" t="s">
        <v>1395</v>
      </c>
      <c r="J477" s="62"/>
      <c r="K477" s="8"/>
      <c r="L477" s="10"/>
      <c r="M477" s="62">
        <v>1</v>
      </c>
      <c r="N477" s="8">
        <v>1</v>
      </c>
      <c r="O477" s="62">
        <f t="shared" si="125"/>
        <v>0</v>
      </c>
      <c r="P477" s="70">
        <v>246</v>
      </c>
      <c r="Q477" s="71">
        <v>46141</v>
      </c>
      <c r="R477" s="6">
        <v>46141</v>
      </c>
      <c r="S477" s="64">
        <v>22668.75</v>
      </c>
      <c r="T477" s="22">
        <v>5</v>
      </c>
      <c r="U477" s="64">
        <f t="shared" si="126"/>
        <v>1133.4375</v>
      </c>
      <c r="V477" s="22">
        <v>1000</v>
      </c>
      <c r="W477" s="22">
        <v>24852</v>
      </c>
      <c r="X477" s="62" t="s">
        <v>1396</v>
      </c>
      <c r="Y477" s="62">
        <v>58164891105</v>
      </c>
      <c r="Z477" s="62" t="s">
        <v>1112</v>
      </c>
      <c r="AA477" s="65">
        <v>4</v>
      </c>
      <c r="AB477" s="66"/>
      <c r="AC477" s="1" t="s">
        <v>35</v>
      </c>
      <c r="AD477" s="62" t="str">
        <f>VLOOKUP(X477,'Customer List'!B:C,2,)</f>
        <v>GOA</v>
      </c>
      <c r="AE477" s="67" t="s">
        <v>1114</v>
      </c>
      <c r="AF477" s="6">
        <v>46143</v>
      </c>
      <c r="AG477" s="62">
        <f t="shared" si="127"/>
        <v>2</v>
      </c>
      <c r="AH477" s="62" t="str">
        <f t="shared" si="128"/>
        <v>Monday</v>
      </c>
      <c r="AI477" s="62" t="str">
        <f t="shared" si="121"/>
        <v>Friday</v>
      </c>
      <c r="AJ477" s="62" t="str">
        <f>VLOOKUP(AC477,'Currency Sheet'!A:C,3,)</f>
        <v>DOLLAR</v>
      </c>
      <c r="AK477" s="62" t="str">
        <f>VLOOKUP(X477,'Customer List'!B:D,3,)</f>
        <v>OutStation</v>
      </c>
    </row>
    <row r="478" spans="1:37" hidden="1" x14ac:dyDescent="0.25">
      <c r="A478" s="62">
        <f t="shared" si="122"/>
        <v>464</v>
      </c>
      <c r="B478" s="62" t="s">
        <v>35</v>
      </c>
      <c r="C478" s="62" t="s">
        <v>1397</v>
      </c>
      <c r="D478" s="6">
        <v>46085</v>
      </c>
      <c r="E478" s="6">
        <v>46122</v>
      </c>
      <c r="F478" s="63">
        <v>256</v>
      </c>
      <c r="G478" s="64">
        <f t="shared" si="123"/>
        <v>22528</v>
      </c>
      <c r="H478" s="64">
        <f t="shared" si="124"/>
        <v>22528</v>
      </c>
      <c r="I478" s="70">
        <v>23014</v>
      </c>
      <c r="J478" s="62"/>
      <c r="K478" s="8" t="s">
        <v>1422</v>
      </c>
      <c r="L478" s="10" t="s">
        <v>848</v>
      </c>
      <c r="M478" s="62">
        <v>1</v>
      </c>
      <c r="N478" s="8">
        <v>1</v>
      </c>
      <c r="O478" s="62">
        <f t="shared" si="125"/>
        <v>0</v>
      </c>
      <c r="P478" s="70">
        <v>73</v>
      </c>
      <c r="Q478" s="71">
        <v>46123</v>
      </c>
      <c r="R478" s="6">
        <v>46123</v>
      </c>
      <c r="S478" s="64">
        <v>39680</v>
      </c>
      <c r="T478" s="22">
        <v>5</v>
      </c>
      <c r="U478" s="64">
        <f t="shared" si="126"/>
        <v>1984</v>
      </c>
      <c r="V478" s="22">
        <v>0</v>
      </c>
      <c r="W478" s="22">
        <v>41664</v>
      </c>
      <c r="X478" s="62" t="s">
        <v>1390</v>
      </c>
      <c r="Y478" s="62">
        <v>58164184201</v>
      </c>
      <c r="Z478" s="62" t="s">
        <v>1112</v>
      </c>
      <c r="AA478" s="65" t="s">
        <v>808</v>
      </c>
      <c r="AB478" s="66"/>
      <c r="AC478" s="1" t="s">
        <v>35</v>
      </c>
      <c r="AD478" s="62" t="str">
        <f>VLOOKUP(X478,'Customer List'!B:C,2,)</f>
        <v>Gujrat</v>
      </c>
      <c r="AE478" s="67"/>
      <c r="AF478" s="6">
        <v>46125</v>
      </c>
      <c r="AG478" s="62">
        <f t="shared" si="127"/>
        <v>2</v>
      </c>
      <c r="AH478" s="62" t="str">
        <f t="shared" si="128"/>
        <v>Wednesday</v>
      </c>
      <c r="AI478" s="62" t="str">
        <f t="shared" si="121"/>
        <v>Monday</v>
      </c>
      <c r="AJ478" s="62" t="str">
        <f>VLOOKUP(AC478,'Currency Sheet'!A:C,3,)</f>
        <v>DOLLAR</v>
      </c>
      <c r="AK478" s="62" t="str">
        <f>VLOOKUP(X478,'Customer List'!B:D,3,)</f>
        <v>OutStation</v>
      </c>
    </row>
    <row r="479" spans="1:37" hidden="1" x14ac:dyDescent="0.25">
      <c r="A479" s="62">
        <f t="shared" si="122"/>
        <v>465</v>
      </c>
      <c r="B479" s="62" t="s">
        <v>35</v>
      </c>
      <c r="C479" s="62" t="s">
        <v>1398</v>
      </c>
      <c r="D479" s="6">
        <v>46085</v>
      </c>
      <c r="E479" s="6">
        <v>46122</v>
      </c>
      <c r="F479" s="63">
        <v>244</v>
      </c>
      <c r="G479" s="64">
        <f t="shared" si="123"/>
        <v>21472</v>
      </c>
      <c r="H479" s="64">
        <f t="shared" si="124"/>
        <v>64416</v>
      </c>
      <c r="I479" s="70">
        <v>92103</v>
      </c>
      <c r="J479" s="62"/>
      <c r="K479" s="8" t="s">
        <v>1425</v>
      </c>
      <c r="L479" s="10" t="s">
        <v>848</v>
      </c>
      <c r="M479" s="62">
        <v>3</v>
      </c>
      <c r="N479" s="8">
        <v>3</v>
      </c>
      <c r="O479" s="62">
        <f t="shared" si="125"/>
        <v>0</v>
      </c>
      <c r="P479" s="70">
        <v>75</v>
      </c>
      <c r="Q479" s="71">
        <v>46123</v>
      </c>
      <c r="R479" s="6">
        <v>46123</v>
      </c>
      <c r="S479" s="64">
        <v>113460</v>
      </c>
      <c r="T479" s="22">
        <v>5</v>
      </c>
      <c r="U479" s="64">
        <f t="shared" si="126"/>
        <v>5673</v>
      </c>
      <c r="V479" s="22">
        <v>0</v>
      </c>
      <c r="W479" s="22">
        <v>369117</v>
      </c>
      <c r="X479" s="62" t="s">
        <v>379</v>
      </c>
      <c r="Y479" s="62">
        <v>58164184562</v>
      </c>
      <c r="Z479" s="62" t="s">
        <v>1112</v>
      </c>
      <c r="AA479" s="65">
        <v>-20</v>
      </c>
      <c r="AB479" s="66"/>
      <c r="AC479" s="1" t="s">
        <v>35</v>
      </c>
      <c r="AD479" s="62" t="str">
        <f>VLOOKUP(X479,'Customer List'!B:C,2,)</f>
        <v>BANGLORE</v>
      </c>
      <c r="AE479" s="67"/>
      <c r="AF479" s="6">
        <v>46125</v>
      </c>
      <c r="AG479" s="62">
        <f t="shared" si="127"/>
        <v>2</v>
      </c>
      <c r="AH479" s="62" t="str">
        <f t="shared" si="128"/>
        <v>Wednesday</v>
      </c>
      <c r="AI479" s="62" t="str">
        <f t="shared" si="121"/>
        <v>Monday</v>
      </c>
      <c r="AJ479" s="62" t="str">
        <f>VLOOKUP(AC479,'Currency Sheet'!A:C,3,)</f>
        <v>DOLLAR</v>
      </c>
      <c r="AK479" s="62" t="str">
        <f>VLOOKUP(X479,'Customer List'!B:D,3,)</f>
        <v>OutStation</v>
      </c>
    </row>
    <row r="480" spans="1:37" hidden="1" x14ac:dyDescent="0.25">
      <c r="A480" s="62">
        <f t="shared" si="122"/>
        <v>466</v>
      </c>
      <c r="B480" s="62" t="s">
        <v>35</v>
      </c>
      <c r="C480" s="62" t="s">
        <v>1398</v>
      </c>
      <c r="D480" s="6">
        <v>46085</v>
      </c>
      <c r="E480" s="6">
        <v>46122</v>
      </c>
      <c r="F480" s="63">
        <v>261.60000000000002</v>
      </c>
      <c r="G480" s="64">
        <f t="shared" si="123"/>
        <v>23020.800000000003</v>
      </c>
      <c r="H480" s="64">
        <f t="shared" si="124"/>
        <v>69062.400000000009</v>
      </c>
      <c r="I480" s="70">
        <v>92139</v>
      </c>
      <c r="J480" s="62"/>
      <c r="K480" s="8" t="s">
        <v>1426</v>
      </c>
      <c r="L480" s="10" t="s">
        <v>848</v>
      </c>
      <c r="M480" s="62">
        <v>3</v>
      </c>
      <c r="N480" s="8">
        <v>3</v>
      </c>
      <c r="O480" s="62">
        <f t="shared" si="125"/>
        <v>0</v>
      </c>
      <c r="P480" s="70">
        <v>75</v>
      </c>
      <c r="Q480" s="71">
        <v>46123</v>
      </c>
      <c r="R480" s="6">
        <v>46123</v>
      </c>
      <c r="S480" s="64">
        <v>121644</v>
      </c>
      <c r="T480" s="22">
        <v>5</v>
      </c>
      <c r="U480" s="64">
        <f t="shared" si="126"/>
        <v>6082.2000000000007</v>
      </c>
      <c r="V480" s="22">
        <v>0</v>
      </c>
      <c r="W480" s="22">
        <v>369117</v>
      </c>
      <c r="X480" s="62" t="s">
        <v>379</v>
      </c>
      <c r="Y480" s="62">
        <v>58164184562</v>
      </c>
      <c r="Z480" s="62" t="s">
        <v>1112</v>
      </c>
      <c r="AA480" s="65">
        <v>-20</v>
      </c>
      <c r="AB480" s="66"/>
      <c r="AC480" s="1" t="s">
        <v>35</v>
      </c>
      <c r="AD480" s="62" t="str">
        <f>VLOOKUP(X480,'Customer List'!B:C,2,)</f>
        <v>BANGLORE</v>
      </c>
      <c r="AE480" s="67"/>
      <c r="AF480" s="6">
        <v>46125</v>
      </c>
      <c r="AG480" s="62">
        <f t="shared" si="127"/>
        <v>2</v>
      </c>
      <c r="AH480" s="62" t="str">
        <f t="shared" si="128"/>
        <v>Thursday</v>
      </c>
      <c r="AI480" s="62" t="str">
        <f t="shared" si="121"/>
        <v>Monday</v>
      </c>
      <c r="AJ480" s="62" t="str">
        <f>VLOOKUP(AC480,'Currency Sheet'!A:C,3,)</f>
        <v>DOLLAR</v>
      </c>
      <c r="AK480" s="62" t="str">
        <f>VLOOKUP(X480,'Customer List'!B:D,3,)</f>
        <v>OutStation</v>
      </c>
    </row>
    <row r="481" spans="1:37" hidden="1" x14ac:dyDescent="0.25">
      <c r="A481" s="62">
        <f t="shared" si="122"/>
        <v>467</v>
      </c>
      <c r="B481" s="62" t="s">
        <v>35</v>
      </c>
      <c r="C481" s="62" t="s">
        <v>1398</v>
      </c>
      <c r="D481" s="6">
        <v>46085</v>
      </c>
      <c r="E481" s="6">
        <v>46122</v>
      </c>
      <c r="F481" s="63">
        <v>250.4</v>
      </c>
      <c r="G481" s="64">
        <f t="shared" si="123"/>
        <v>22035.200000000001</v>
      </c>
      <c r="H481" s="64">
        <f t="shared" si="124"/>
        <v>66105.600000000006</v>
      </c>
      <c r="I481" s="70">
        <v>92117</v>
      </c>
      <c r="J481" s="62"/>
      <c r="K481" s="8" t="s">
        <v>1427</v>
      </c>
      <c r="L481" s="10" t="s">
        <v>848</v>
      </c>
      <c r="M481" s="62">
        <v>3</v>
      </c>
      <c r="N481" s="8">
        <v>3</v>
      </c>
      <c r="O481" s="62">
        <f t="shared" si="125"/>
        <v>0</v>
      </c>
      <c r="P481" s="70">
        <v>75</v>
      </c>
      <c r="Q481" s="71">
        <v>46123</v>
      </c>
      <c r="R481" s="6">
        <v>46123</v>
      </c>
      <c r="S481" s="64">
        <v>116436</v>
      </c>
      <c r="T481" s="22">
        <v>5</v>
      </c>
      <c r="U481" s="64">
        <f t="shared" si="126"/>
        <v>5821.8</v>
      </c>
      <c r="V481" s="22">
        <v>0</v>
      </c>
      <c r="W481" s="22">
        <v>369117</v>
      </c>
      <c r="X481" s="62" t="s">
        <v>379</v>
      </c>
      <c r="Y481" s="62">
        <v>58164184562</v>
      </c>
      <c r="Z481" s="62" t="s">
        <v>1112</v>
      </c>
      <c r="AA481" s="65">
        <v>-20</v>
      </c>
      <c r="AB481" s="66"/>
      <c r="AC481" s="1" t="s">
        <v>35</v>
      </c>
      <c r="AD481" s="62" t="str">
        <f>VLOOKUP(X481,'Customer List'!B:C,2,)</f>
        <v>BANGLORE</v>
      </c>
      <c r="AE481" s="67"/>
      <c r="AF481" s="6">
        <v>46125</v>
      </c>
      <c r="AG481" s="62">
        <f t="shared" si="127"/>
        <v>2</v>
      </c>
      <c r="AH481" s="62" t="str">
        <f t="shared" si="128"/>
        <v>Thursday</v>
      </c>
      <c r="AI481" s="62" t="str">
        <f t="shared" si="121"/>
        <v>Monday</v>
      </c>
      <c r="AJ481" s="62" t="str">
        <f>VLOOKUP(AC481,'Currency Sheet'!A:C,3,)</f>
        <v>DOLLAR</v>
      </c>
      <c r="AK481" s="62" t="str">
        <f>VLOOKUP(X481,'Customer List'!B:D,3,)</f>
        <v>OutStation</v>
      </c>
    </row>
    <row r="482" spans="1:37" hidden="1" x14ac:dyDescent="0.25">
      <c r="A482" s="62">
        <f t="shared" si="122"/>
        <v>468</v>
      </c>
      <c r="B482" s="62" t="s">
        <v>35</v>
      </c>
      <c r="C482" s="62" t="s">
        <v>1399</v>
      </c>
      <c r="D482" s="6">
        <v>46085</v>
      </c>
      <c r="E482" s="6">
        <v>46122</v>
      </c>
      <c r="F482" s="63">
        <v>44.8</v>
      </c>
      <c r="G482" s="64">
        <f t="shared" si="123"/>
        <v>3942.3999999999996</v>
      </c>
      <c r="H482" s="64">
        <f t="shared" si="124"/>
        <v>15769.599999999999</v>
      </c>
      <c r="I482" s="70" t="s">
        <v>1400</v>
      </c>
      <c r="J482" s="62"/>
      <c r="K482" s="8" t="s">
        <v>1421</v>
      </c>
      <c r="L482" s="10" t="s">
        <v>848</v>
      </c>
      <c r="M482" s="62">
        <v>4</v>
      </c>
      <c r="N482" s="8">
        <v>4</v>
      </c>
      <c r="O482" s="62">
        <f t="shared" si="125"/>
        <v>0</v>
      </c>
      <c r="P482" s="70">
        <v>72</v>
      </c>
      <c r="Q482" s="71">
        <v>46123</v>
      </c>
      <c r="R482" s="6">
        <v>46123</v>
      </c>
      <c r="S482" s="64">
        <v>25110</v>
      </c>
      <c r="T482" s="22">
        <v>5</v>
      </c>
      <c r="U482" s="64">
        <f t="shared" si="126"/>
        <v>1255.5</v>
      </c>
      <c r="V482" s="22">
        <v>0.5</v>
      </c>
      <c r="W482" s="22">
        <v>26366</v>
      </c>
      <c r="X482" s="62" t="s">
        <v>1363</v>
      </c>
      <c r="Y482" s="62">
        <v>58164184374</v>
      </c>
      <c r="Z482" s="62" t="s">
        <v>1112</v>
      </c>
      <c r="AA482" s="65">
        <v>-20</v>
      </c>
      <c r="AB482" s="66"/>
      <c r="AC482" s="1" t="s">
        <v>35</v>
      </c>
      <c r="AD482" s="62" t="str">
        <f>VLOOKUP(X482,'Customer List'!B:C,2,)</f>
        <v>Chennai</v>
      </c>
      <c r="AE482" s="67"/>
      <c r="AF482" s="6">
        <v>46125</v>
      </c>
      <c r="AG482" s="62">
        <f t="shared" si="127"/>
        <v>2</v>
      </c>
      <c r="AH482" s="62" t="str">
        <f t="shared" si="128"/>
        <v>Sunday</v>
      </c>
      <c r="AI482" s="62" t="str">
        <f t="shared" si="121"/>
        <v>Monday</v>
      </c>
      <c r="AJ482" s="62" t="str">
        <f>VLOOKUP(AC482,'Currency Sheet'!A:C,3,)</f>
        <v>DOLLAR</v>
      </c>
      <c r="AK482" s="62" t="str">
        <f>VLOOKUP(X482,'Customer List'!B:D,3,)</f>
        <v>OutStation</v>
      </c>
    </row>
    <row r="483" spans="1:37" hidden="1" x14ac:dyDescent="0.25">
      <c r="A483" s="62">
        <f t="shared" si="122"/>
        <v>469</v>
      </c>
      <c r="B483" s="62" t="s">
        <v>1418</v>
      </c>
      <c r="C483" s="62" t="s">
        <v>1419</v>
      </c>
      <c r="D483" s="6">
        <v>46108</v>
      </c>
      <c r="E483" s="6">
        <v>46125</v>
      </c>
      <c r="F483" s="63">
        <v>587.29999999999995</v>
      </c>
      <c r="G483" s="64">
        <f t="shared" si="123"/>
        <v>51682.399999999994</v>
      </c>
      <c r="H483" s="64">
        <f t="shared" si="124"/>
        <v>51682.399999999994</v>
      </c>
      <c r="I483" s="70" t="s">
        <v>1401</v>
      </c>
      <c r="J483" s="62" t="s">
        <v>1402</v>
      </c>
      <c r="K483" s="8">
        <v>260312</v>
      </c>
      <c r="L483" s="10">
        <v>46724</v>
      </c>
      <c r="M483" s="62">
        <v>1</v>
      </c>
      <c r="N483" s="8">
        <v>1</v>
      </c>
      <c r="O483" s="62">
        <f t="shared" si="125"/>
        <v>0</v>
      </c>
      <c r="P483" s="70">
        <v>77</v>
      </c>
      <c r="Q483" s="71">
        <v>46125</v>
      </c>
      <c r="R483" s="6">
        <v>46125</v>
      </c>
      <c r="S483" s="64">
        <v>88095</v>
      </c>
      <c r="T483" s="22">
        <v>18</v>
      </c>
      <c r="U483" s="64">
        <f t="shared" si="126"/>
        <v>15857.099999999999</v>
      </c>
      <c r="V483" s="22">
        <v>-0.1</v>
      </c>
      <c r="W483" s="22">
        <v>103952</v>
      </c>
      <c r="X483" s="62" t="s">
        <v>1367</v>
      </c>
      <c r="Y483" s="62">
        <v>58164245532</v>
      </c>
      <c r="Z483" s="62" t="s">
        <v>1112</v>
      </c>
      <c r="AA483" s="65">
        <v>-20</v>
      </c>
      <c r="AB483" s="66"/>
      <c r="AC483" s="1" t="s">
        <v>1418</v>
      </c>
      <c r="AD483" s="62" t="str">
        <f>VLOOKUP(X483,'Customer List'!B:C,2,)</f>
        <v>Banglore</v>
      </c>
      <c r="AE483" s="67"/>
      <c r="AF483" s="6">
        <v>46126</v>
      </c>
      <c r="AG483" s="62">
        <f t="shared" si="127"/>
        <v>1</v>
      </c>
      <c r="AH483" s="62" t="str">
        <f t="shared" si="128"/>
        <v>Saturday</v>
      </c>
      <c r="AI483" s="62" t="str">
        <f t="shared" si="121"/>
        <v>Tuesday</v>
      </c>
      <c r="AJ483" s="62" t="str">
        <f>VLOOKUP(AC483,'Currency Sheet'!A:C,3,)</f>
        <v>DOLLAR</v>
      </c>
      <c r="AK483" s="62" t="str">
        <f>VLOOKUP(X483,'Customer List'!B:D,3,)</f>
        <v>OutStation</v>
      </c>
    </row>
    <row r="484" spans="1:37" hidden="1" x14ac:dyDescent="0.25">
      <c r="A484" s="62">
        <f t="shared" si="122"/>
        <v>470</v>
      </c>
      <c r="B484" s="62" t="s">
        <v>1418</v>
      </c>
      <c r="C484" s="62" t="s">
        <v>1419</v>
      </c>
      <c r="D484" s="6">
        <v>46108</v>
      </c>
      <c r="E484" s="6">
        <v>46125</v>
      </c>
      <c r="F484" s="63">
        <v>373.8</v>
      </c>
      <c r="G484" s="64">
        <f t="shared" si="123"/>
        <v>32894.400000000001</v>
      </c>
      <c r="H484" s="64">
        <f t="shared" si="124"/>
        <v>32894.400000000001</v>
      </c>
      <c r="I484" s="70" t="s">
        <v>1403</v>
      </c>
      <c r="J484" s="62" t="s">
        <v>1404</v>
      </c>
      <c r="K484" s="8">
        <v>260316</v>
      </c>
      <c r="L484" s="10">
        <v>46472</v>
      </c>
      <c r="M484" s="62">
        <v>1</v>
      </c>
      <c r="N484" s="8">
        <v>1</v>
      </c>
      <c r="O484" s="62">
        <f t="shared" si="125"/>
        <v>0</v>
      </c>
      <c r="P484" s="70">
        <v>78</v>
      </c>
      <c r="Q484" s="71">
        <v>46125</v>
      </c>
      <c r="R484" s="6">
        <v>46125</v>
      </c>
      <c r="S484" s="64">
        <v>52065</v>
      </c>
      <c r="T484" s="22">
        <v>18</v>
      </c>
      <c r="U484" s="64">
        <f t="shared" si="126"/>
        <v>9371.6999999999989</v>
      </c>
      <c r="V484" s="22">
        <v>0</v>
      </c>
      <c r="W484" s="22">
        <v>179108</v>
      </c>
      <c r="X484" s="62" t="s">
        <v>240</v>
      </c>
      <c r="Y484" s="62">
        <v>58164246114</v>
      </c>
      <c r="Z484" s="62" t="s">
        <v>1112</v>
      </c>
      <c r="AA484" s="65">
        <v>-20</v>
      </c>
      <c r="AB484" s="66"/>
      <c r="AC484" s="1" t="s">
        <v>1418</v>
      </c>
      <c r="AD484" s="62" t="str">
        <f>VLOOKUP(X484,'Customer List'!B:C,2,)</f>
        <v>Kolkata</v>
      </c>
      <c r="AE484" s="67"/>
      <c r="AF484" s="6">
        <v>46127</v>
      </c>
      <c r="AG484" s="62">
        <f t="shared" si="127"/>
        <v>2</v>
      </c>
      <c r="AH484" s="62" t="str">
        <f t="shared" si="128"/>
        <v>Friday</v>
      </c>
      <c r="AI484" s="62" t="str">
        <f t="shared" si="121"/>
        <v>Wednesday</v>
      </c>
      <c r="AJ484" s="62" t="str">
        <f>VLOOKUP(AC484,'Currency Sheet'!A:C,3,)</f>
        <v>DOLLAR</v>
      </c>
      <c r="AK484" s="62" t="str">
        <f>VLOOKUP(X484,'Customer List'!B:D,3,)</f>
        <v>OutStation</v>
      </c>
    </row>
    <row r="485" spans="1:37" hidden="1" x14ac:dyDescent="0.25">
      <c r="A485" s="62">
        <f t="shared" si="122"/>
        <v>471</v>
      </c>
      <c r="B485" s="62" t="s">
        <v>1418</v>
      </c>
      <c r="C485" s="62" t="s">
        <v>1419</v>
      </c>
      <c r="D485" s="6">
        <v>46108</v>
      </c>
      <c r="E485" s="6">
        <v>46125</v>
      </c>
      <c r="F485" s="63">
        <v>373.8</v>
      </c>
      <c r="G485" s="64">
        <f t="shared" si="123"/>
        <v>32894.400000000001</v>
      </c>
      <c r="H485" s="64">
        <f t="shared" si="124"/>
        <v>32894.400000000001</v>
      </c>
      <c r="I485" s="70" t="s">
        <v>1405</v>
      </c>
      <c r="J485" s="62" t="s">
        <v>1406</v>
      </c>
      <c r="K485" s="8">
        <v>260316</v>
      </c>
      <c r="L485" s="10">
        <v>46472</v>
      </c>
      <c r="M485" s="62">
        <v>1</v>
      </c>
      <c r="N485" s="8">
        <v>1</v>
      </c>
      <c r="O485" s="62">
        <f t="shared" si="125"/>
        <v>0</v>
      </c>
      <c r="P485" s="70">
        <v>78</v>
      </c>
      <c r="Q485" s="71">
        <v>46125</v>
      </c>
      <c r="R485" s="6">
        <v>46125</v>
      </c>
      <c r="S485" s="64">
        <v>52065</v>
      </c>
      <c r="T485" s="22">
        <v>18</v>
      </c>
      <c r="U485" s="64">
        <f t="shared" si="126"/>
        <v>9371.6999999999989</v>
      </c>
      <c r="V485" s="22">
        <v>0</v>
      </c>
      <c r="W485" s="22">
        <v>179108</v>
      </c>
      <c r="X485" s="62" t="s">
        <v>240</v>
      </c>
      <c r="Y485" s="62">
        <v>58164246114</v>
      </c>
      <c r="Z485" s="62" t="s">
        <v>1112</v>
      </c>
      <c r="AA485" s="65">
        <v>-20</v>
      </c>
      <c r="AB485" s="66"/>
      <c r="AC485" s="1" t="s">
        <v>1418</v>
      </c>
      <c r="AD485" s="62" t="str">
        <f>VLOOKUP(X485,'Customer List'!B:C,2,)</f>
        <v>Kolkata</v>
      </c>
      <c r="AE485" s="67"/>
      <c r="AF485" s="6">
        <v>46127</v>
      </c>
      <c r="AG485" s="62">
        <f t="shared" si="127"/>
        <v>2</v>
      </c>
      <c r="AH485" s="62" t="str">
        <f t="shared" si="128"/>
        <v>Friday</v>
      </c>
      <c r="AI485" s="62" t="str">
        <f t="shared" si="121"/>
        <v>Wednesday</v>
      </c>
      <c r="AJ485" s="62" t="str">
        <f>VLOOKUP(AC485,'Currency Sheet'!A:C,3,)</f>
        <v>DOLLAR</v>
      </c>
      <c r="AK485" s="62" t="str">
        <f>VLOOKUP(X485,'Customer List'!B:D,3,)</f>
        <v>OutStation</v>
      </c>
    </row>
    <row r="486" spans="1:37" hidden="1" x14ac:dyDescent="0.25">
      <c r="A486" s="62">
        <f t="shared" si="122"/>
        <v>472</v>
      </c>
      <c r="B486" s="62" t="s">
        <v>1418</v>
      </c>
      <c r="C486" s="62" t="s">
        <v>1419</v>
      </c>
      <c r="D486" s="6">
        <v>46108</v>
      </c>
      <c r="E486" s="6">
        <v>46125</v>
      </c>
      <c r="F486" s="63">
        <v>188.3</v>
      </c>
      <c r="G486" s="64">
        <f t="shared" si="123"/>
        <v>16570.400000000001</v>
      </c>
      <c r="H486" s="64">
        <f t="shared" si="124"/>
        <v>16570.400000000001</v>
      </c>
      <c r="I486" s="70" t="s">
        <v>1407</v>
      </c>
      <c r="J486" s="62" t="s">
        <v>1408</v>
      </c>
      <c r="K486" s="8">
        <v>3785503</v>
      </c>
      <c r="L486" s="10">
        <v>46779</v>
      </c>
      <c r="M486" s="62">
        <v>1</v>
      </c>
      <c r="N486" s="8">
        <v>1</v>
      </c>
      <c r="O486" s="62">
        <f t="shared" si="125"/>
        <v>0</v>
      </c>
      <c r="P486" s="70">
        <v>78</v>
      </c>
      <c r="Q486" s="71">
        <v>46125</v>
      </c>
      <c r="R486" s="6">
        <v>46125</v>
      </c>
      <c r="S486" s="64">
        <v>26227.5</v>
      </c>
      <c r="T486" s="22">
        <v>18</v>
      </c>
      <c r="U486" s="64">
        <f t="shared" si="126"/>
        <v>4720.95</v>
      </c>
      <c r="V486" s="22">
        <v>0</v>
      </c>
      <c r="W486" s="22">
        <v>179108</v>
      </c>
      <c r="X486" s="62" t="s">
        <v>240</v>
      </c>
      <c r="Y486" s="62">
        <v>58164246114</v>
      </c>
      <c r="Z486" s="62" t="s">
        <v>1112</v>
      </c>
      <c r="AA486" s="65">
        <v>-20</v>
      </c>
      <c r="AB486" s="66"/>
      <c r="AC486" s="1" t="s">
        <v>1418</v>
      </c>
      <c r="AD486" s="62" t="str">
        <f>VLOOKUP(X486,'Customer List'!B:C,2,)</f>
        <v>Kolkata</v>
      </c>
      <c r="AE486" s="67"/>
      <c r="AF486" s="6">
        <v>46127</v>
      </c>
      <c r="AG486" s="62">
        <f t="shared" si="127"/>
        <v>2</v>
      </c>
      <c r="AH486" s="62" t="str">
        <f t="shared" si="128"/>
        <v>Thursday</v>
      </c>
      <c r="AI486" s="62" t="str">
        <f t="shared" si="121"/>
        <v>Wednesday</v>
      </c>
      <c r="AJ486" s="62" t="str">
        <f>VLOOKUP(AC486,'Currency Sheet'!A:C,3,)</f>
        <v>DOLLAR</v>
      </c>
      <c r="AK486" s="62" t="str">
        <f>VLOOKUP(X486,'Customer List'!B:D,3,)</f>
        <v>OutStation</v>
      </c>
    </row>
    <row r="487" spans="1:37" hidden="1" x14ac:dyDescent="0.25">
      <c r="A487" s="62">
        <f t="shared" si="122"/>
        <v>473</v>
      </c>
      <c r="B487" s="62" t="s">
        <v>1418</v>
      </c>
      <c r="C487" s="62" t="s">
        <v>1419</v>
      </c>
      <c r="D487" s="6">
        <v>46108</v>
      </c>
      <c r="E487" s="6">
        <v>46125</v>
      </c>
      <c r="F487" s="63">
        <v>1184.4000000000001</v>
      </c>
      <c r="G487" s="64">
        <f t="shared" si="123"/>
        <v>104227.20000000001</v>
      </c>
      <c r="H487" s="64">
        <f t="shared" si="124"/>
        <v>104227.20000000001</v>
      </c>
      <c r="I487" s="70" t="s">
        <v>1409</v>
      </c>
      <c r="J487" s="62" t="s">
        <v>1410</v>
      </c>
      <c r="K487" s="8">
        <v>20260325</v>
      </c>
      <c r="L487" s="10">
        <v>46471</v>
      </c>
      <c r="M487" s="62">
        <v>1</v>
      </c>
      <c r="N487" s="8">
        <v>1</v>
      </c>
      <c r="O487" s="62">
        <f t="shared" si="125"/>
        <v>0</v>
      </c>
      <c r="P487" s="70">
        <v>86</v>
      </c>
      <c r="Q487" s="71">
        <v>46125</v>
      </c>
      <c r="R487" s="6">
        <v>46125</v>
      </c>
      <c r="S487" s="64">
        <v>183582</v>
      </c>
      <c r="T487" s="22">
        <v>18</v>
      </c>
      <c r="U487" s="64">
        <f t="shared" si="126"/>
        <v>33044.76</v>
      </c>
      <c r="V487" s="22">
        <v>0.24</v>
      </c>
      <c r="W487" s="22">
        <v>216627</v>
      </c>
      <c r="X487" s="62" t="s">
        <v>1417</v>
      </c>
      <c r="Y487" s="62">
        <v>58164247050</v>
      </c>
      <c r="Z487" s="62" t="s">
        <v>1112</v>
      </c>
      <c r="AA487" s="65">
        <v>-20</v>
      </c>
      <c r="AB487" s="66"/>
      <c r="AC487" s="1" t="s">
        <v>1418</v>
      </c>
      <c r="AD487" s="62" t="str">
        <f>VLOOKUP(X487,'Customer List'!B:C,2,)</f>
        <v>Banglore</v>
      </c>
      <c r="AE487" s="67"/>
      <c r="AF487" s="6">
        <v>46126</v>
      </c>
      <c r="AG487" s="62">
        <f t="shared" si="127"/>
        <v>1</v>
      </c>
      <c r="AH487" s="62" t="str">
        <f t="shared" si="128"/>
        <v>Saturday</v>
      </c>
      <c r="AI487" s="62" t="str">
        <f t="shared" si="121"/>
        <v>Tuesday</v>
      </c>
      <c r="AJ487" s="62" t="str">
        <f>VLOOKUP(AC487,'Currency Sheet'!A:C,3,)</f>
        <v>DOLLAR</v>
      </c>
      <c r="AK487" s="62" t="str">
        <f>VLOOKUP(X487,'Customer List'!B:D,3,)</f>
        <v>OutStation</v>
      </c>
    </row>
    <row r="488" spans="1:37" hidden="1" x14ac:dyDescent="0.25">
      <c r="A488" s="62">
        <f t="shared" si="122"/>
        <v>474</v>
      </c>
      <c r="B488" s="62" t="s">
        <v>1418</v>
      </c>
      <c r="C488" s="62" t="s">
        <v>1419</v>
      </c>
      <c r="D488" s="6">
        <v>46108</v>
      </c>
      <c r="E488" s="6">
        <v>46125</v>
      </c>
      <c r="F488" s="63">
        <v>290.5</v>
      </c>
      <c r="G488" s="64">
        <f t="shared" si="123"/>
        <v>25564</v>
      </c>
      <c r="H488" s="64">
        <f t="shared" si="124"/>
        <v>25564</v>
      </c>
      <c r="I488" s="70" t="s">
        <v>1411</v>
      </c>
      <c r="J488" s="62" t="s">
        <v>1412</v>
      </c>
      <c r="K488" s="8">
        <v>260326</v>
      </c>
      <c r="L488" s="10">
        <v>46472</v>
      </c>
      <c r="M488" s="62">
        <v>1</v>
      </c>
      <c r="N488" s="8">
        <v>1</v>
      </c>
      <c r="O488" s="62">
        <f t="shared" si="125"/>
        <v>0</v>
      </c>
      <c r="P488" s="70">
        <v>93</v>
      </c>
      <c r="Q488" s="71">
        <v>46128</v>
      </c>
      <c r="R488" s="6">
        <v>46128</v>
      </c>
      <c r="S488" s="64">
        <v>39217.5</v>
      </c>
      <c r="T488" s="22">
        <v>18</v>
      </c>
      <c r="U488" s="64">
        <f t="shared" si="126"/>
        <v>7059.15</v>
      </c>
      <c r="V488" s="22">
        <v>-0.36</v>
      </c>
      <c r="W488" s="22">
        <v>87535</v>
      </c>
      <c r="X488" s="62" t="s">
        <v>793</v>
      </c>
      <c r="Y488" s="62" t="s">
        <v>1120</v>
      </c>
      <c r="Z488" s="62" t="s">
        <v>1863</v>
      </c>
      <c r="AA488" s="65">
        <v>-20</v>
      </c>
      <c r="AB488" s="66"/>
      <c r="AC488" s="1" t="s">
        <v>1418</v>
      </c>
      <c r="AD488" s="62" t="str">
        <f>VLOOKUP(X488,'Customer List'!B:C,2,)</f>
        <v>Delhi</v>
      </c>
      <c r="AE488" s="67"/>
      <c r="AF488" s="6"/>
      <c r="AG488" s="62" t="str">
        <f t="shared" si="127"/>
        <v/>
      </c>
      <c r="AH488" s="62" t="str">
        <f t="shared" si="128"/>
        <v>Tuesday</v>
      </c>
      <c r="AI488" s="62" t="str">
        <f t="shared" si="121"/>
        <v/>
      </c>
      <c r="AJ488" s="62" t="str">
        <f>VLOOKUP(AC488,'Currency Sheet'!A:C,3,)</f>
        <v>DOLLAR</v>
      </c>
      <c r="AK488" s="62" t="str">
        <f>VLOOKUP(X488,'Customer List'!B:D,3,)</f>
        <v>Local</v>
      </c>
    </row>
    <row r="489" spans="1:37" hidden="1" x14ac:dyDescent="0.25">
      <c r="A489" s="62">
        <f t="shared" si="122"/>
        <v>475</v>
      </c>
      <c r="B489" s="62" t="s">
        <v>1418</v>
      </c>
      <c r="C489" s="62" t="s">
        <v>1419</v>
      </c>
      <c r="D489" s="6">
        <v>46108</v>
      </c>
      <c r="E489" s="6">
        <v>46125</v>
      </c>
      <c r="F489" s="63">
        <v>129.5</v>
      </c>
      <c r="G489" s="64">
        <f t="shared" si="123"/>
        <v>11396</v>
      </c>
      <c r="H489" s="64">
        <f t="shared" si="124"/>
        <v>11396</v>
      </c>
      <c r="I489" s="70" t="s">
        <v>1413</v>
      </c>
      <c r="J489" s="62" t="s">
        <v>1414</v>
      </c>
      <c r="K489" s="8">
        <v>2977325</v>
      </c>
      <c r="L489" s="10">
        <v>46471</v>
      </c>
      <c r="M489" s="62">
        <v>1</v>
      </c>
      <c r="N489" s="8">
        <v>1</v>
      </c>
      <c r="O489" s="62">
        <f t="shared" si="125"/>
        <v>0</v>
      </c>
      <c r="P489" s="70">
        <v>93</v>
      </c>
      <c r="Q489" s="71">
        <v>46128</v>
      </c>
      <c r="R489" s="6">
        <v>46128</v>
      </c>
      <c r="S489" s="64">
        <v>34965</v>
      </c>
      <c r="T489" s="22">
        <v>18</v>
      </c>
      <c r="U489" s="64">
        <f t="shared" si="126"/>
        <v>6293.7</v>
      </c>
      <c r="V489" s="22">
        <v>0</v>
      </c>
      <c r="W489" s="22">
        <v>87535</v>
      </c>
      <c r="X489" s="62" t="s">
        <v>793</v>
      </c>
      <c r="Y489" s="62" t="s">
        <v>1120</v>
      </c>
      <c r="Z489" s="62" t="s">
        <v>1863</v>
      </c>
      <c r="AA489" s="65">
        <v>-20</v>
      </c>
      <c r="AB489" s="66"/>
      <c r="AC489" s="1" t="s">
        <v>1418</v>
      </c>
      <c r="AD489" s="62" t="str">
        <f>VLOOKUP(X489,'Customer List'!B:C,2,)</f>
        <v>Delhi</v>
      </c>
      <c r="AE489" s="67"/>
      <c r="AF489" s="6"/>
      <c r="AG489" s="62" t="str">
        <f t="shared" si="127"/>
        <v/>
      </c>
      <c r="AH489" s="62" t="str">
        <f t="shared" si="128"/>
        <v>Saturday</v>
      </c>
      <c r="AI489" s="62" t="str">
        <f t="shared" si="121"/>
        <v/>
      </c>
      <c r="AJ489" s="62" t="str">
        <f>VLOOKUP(AC489,'Currency Sheet'!A:C,3,)</f>
        <v>DOLLAR</v>
      </c>
      <c r="AK489" s="62" t="str">
        <f>VLOOKUP(X489,'Customer List'!B:D,3,)</f>
        <v>Local</v>
      </c>
    </row>
    <row r="490" spans="1:37" hidden="1" x14ac:dyDescent="0.25">
      <c r="A490" s="62">
        <f t="shared" si="122"/>
        <v>476</v>
      </c>
      <c r="B490" s="62" t="s">
        <v>1418</v>
      </c>
      <c r="C490" s="62" t="s">
        <v>1419</v>
      </c>
      <c r="D490" s="6">
        <v>46108</v>
      </c>
      <c r="E490" s="6">
        <v>46125</v>
      </c>
      <c r="F490" s="63">
        <v>81.2</v>
      </c>
      <c r="G490" s="64">
        <f t="shared" si="123"/>
        <v>7145.6</v>
      </c>
      <c r="H490" s="64">
        <f t="shared" si="124"/>
        <v>7145.6</v>
      </c>
      <c r="I490" s="70" t="s">
        <v>1415</v>
      </c>
      <c r="J490" s="62" t="s">
        <v>1416</v>
      </c>
      <c r="K490" s="8">
        <v>3315953</v>
      </c>
      <c r="L490" s="10">
        <v>46568</v>
      </c>
      <c r="M490" s="62">
        <v>1</v>
      </c>
      <c r="N490" s="8">
        <v>1</v>
      </c>
      <c r="O490" s="62">
        <f t="shared" si="125"/>
        <v>0</v>
      </c>
      <c r="P490" s="70">
        <v>78</v>
      </c>
      <c r="Q490" s="71">
        <v>46125</v>
      </c>
      <c r="R490" s="6">
        <v>46125</v>
      </c>
      <c r="S490" s="64">
        <v>11310</v>
      </c>
      <c r="T490" s="22">
        <v>5</v>
      </c>
      <c r="U490" s="64">
        <f t="shared" si="126"/>
        <v>565.5</v>
      </c>
      <c r="V490" s="22">
        <v>0</v>
      </c>
      <c r="W490" s="22">
        <v>179108</v>
      </c>
      <c r="X490" s="62" t="s">
        <v>240</v>
      </c>
      <c r="Y490" s="62">
        <v>58164246114</v>
      </c>
      <c r="Z490" s="62" t="s">
        <v>1112</v>
      </c>
      <c r="AA490" s="65">
        <v>4</v>
      </c>
      <c r="AB490" s="66"/>
      <c r="AC490" s="1" t="s">
        <v>1418</v>
      </c>
      <c r="AD490" s="62" t="str">
        <f>VLOOKUP(X490,'Customer List'!B:C,2,)</f>
        <v>Kolkata</v>
      </c>
      <c r="AE490" s="67"/>
      <c r="AF490" s="6">
        <v>46127</v>
      </c>
      <c r="AG490" s="62">
        <f t="shared" si="127"/>
        <v>2</v>
      </c>
      <c r="AH490" s="62" t="str">
        <f t="shared" si="128"/>
        <v>Thursday</v>
      </c>
      <c r="AI490" s="62" t="str">
        <f t="shared" si="121"/>
        <v>Wednesday</v>
      </c>
      <c r="AJ490" s="62" t="str">
        <f>VLOOKUP(AC490,'Currency Sheet'!A:C,3,)</f>
        <v>DOLLAR</v>
      </c>
      <c r="AK490" s="62" t="str">
        <f>VLOOKUP(X490,'Customer List'!B:D,3,)</f>
        <v>OutStation</v>
      </c>
    </row>
    <row r="491" spans="1:37" hidden="1" x14ac:dyDescent="0.25">
      <c r="A491" s="62">
        <f t="shared" si="122"/>
        <v>477</v>
      </c>
      <c r="B491" s="62" t="s">
        <v>893</v>
      </c>
      <c r="C491" s="62">
        <v>187916</v>
      </c>
      <c r="D491" s="6">
        <v>46112</v>
      </c>
      <c r="E491" s="6">
        <v>46125</v>
      </c>
      <c r="F491" s="63">
        <v>391.2</v>
      </c>
      <c r="G491" s="64">
        <f t="shared" si="123"/>
        <v>34425.599999999999</v>
      </c>
      <c r="H491" s="64">
        <f t="shared" si="124"/>
        <v>34425.599999999999</v>
      </c>
      <c r="I491" s="70" t="s">
        <v>1431</v>
      </c>
      <c r="J491" s="62"/>
      <c r="K491" s="8" t="s">
        <v>1437</v>
      </c>
      <c r="L491" s="10">
        <v>46477</v>
      </c>
      <c r="M491" s="62">
        <v>1</v>
      </c>
      <c r="N491" s="8">
        <v>1</v>
      </c>
      <c r="O491" s="62">
        <f t="shared" si="125"/>
        <v>0</v>
      </c>
      <c r="P491" s="70">
        <v>79</v>
      </c>
      <c r="Q491" s="71">
        <v>46125</v>
      </c>
      <c r="R491" s="6">
        <v>46125</v>
      </c>
      <c r="S491" s="64">
        <v>49519.4</v>
      </c>
      <c r="T491" s="22">
        <v>5</v>
      </c>
      <c r="U491" s="64">
        <f t="shared" si="126"/>
        <v>2475.9700000000003</v>
      </c>
      <c r="V491" s="22">
        <v>0.47</v>
      </c>
      <c r="W491" s="22">
        <v>106902</v>
      </c>
      <c r="X491" s="62" t="s">
        <v>801</v>
      </c>
      <c r="Y491" s="62">
        <v>58164251110</v>
      </c>
      <c r="Z491" s="62" t="s">
        <v>1112</v>
      </c>
      <c r="AA491" s="65">
        <v>4</v>
      </c>
      <c r="AB491" s="66"/>
      <c r="AC491" s="1" t="s">
        <v>1435</v>
      </c>
      <c r="AD491" s="62" t="str">
        <f>VLOOKUP(X491,'Customer List'!B:C,2,)</f>
        <v>Mumbai</v>
      </c>
      <c r="AE491" s="67"/>
      <c r="AF491" s="6">
        <v>46127</v>
      </c>
      <c r="AG491" s="62">
        <f t="shared" si="127"/>
        <v>2</v>
      </c>
      <c r="AH491" s="62" t="str">
        <f t="shared" si="128"/>
        <v>Sunday</v>
      </c>
      <c r="AI491" s="62" t="str">
        <f t="shared" si="121"/>
        <v>Wednesday</v>
      </c>
      <c r="AJ491" s="62" t="str">
        <f>VLOOKUP(AC491,'Currency Sheet'!A:C,3,)</f>
        <v>DOLLAR</v>
      </c>
      <c r="AK491" s="62" t="str">
        <f>VLOOKUP(X491,'Customer List'!B:D,3,)</f>
        <v>OutStation</v>
      </c>
    </row>
    <row r="492" spans="1:37" hidden="1" x14ac:dyDescent="0.25">
      <c r="A492" s="62">
        <f t="shared" si="122"/>
        <v>478</v>
      </c>
      <c r="B492" s="62" t="s">
        <v>893</v>
      </c>
      <c r="C492" s="62">
        <v>187916</v>
      </c>
      <c r="D492" s="6">
        <v>46112</v>
      </c>
      <c r="E492" s="6">
        <v>46125</v>
      </c>
      <c r="F492" s="63">
        <v>413.1</v>
      </c>
      <c r="G492" s="64">
        <f t="shared" si="123"/>
        <v>36352.800000000003</v>
      </c>
      <c r="H492" s="64">
        <f t="shared" si="124"/>
        <v>36352.800000000003</v>
      </c>
      <c r="I492" s="70" t="s">
        <v>1432</v>
      </c>
      <c r="J492" s="62"/>
      <c r="K492" s="8" t="s">
        <v>1438</v>
      </c>
      <c r="L492" s="10">
        <v>46477</v>
      </c>
      <c r="M492" s="62">
        <v>1</v>
      </c>
      <c r="N492" s="8">
        <v>1</v>
      </c>
      <c r="O492" s="62">
        <f t="shared" si="125"/>
        <v>0</v>
      </c>
      <c r="P492" s="70">
        <v>79</v>
      </c>
      <c r="Q492" s="71">
        <v>46125</v>
      </c>
      <c r="R492" s="6">
        <v>46125</v>
      </c>
      <c r="S492" s="64">
        <v>52291.58</v>
      </c>
      <c r="T492" s="22">
        <v>5</v>
      </c>
      <c r="U492" s="64">
        <f t="shared" si="126"/>
        <v>2614.5790000000002</v>
      </c>
      <c r="V492" s="22">
        <v>0</v>
      </c>
      <c r="W492" s="22">
        <v>106902</v>
      </c>
      <c r="X492" s="62" t="s">
        <v>801</v>
      </c>
      <c r="Y492" s="62">
        <v>58164251110</v>
      </c>
      <c r="Z492" s="62" t="s">
        <v>1112</v>
      </c>
      <c r="AA492" s="65">
        <v>4</v>
      </c>
      <c r="AB492" s="66"/>
      <c r="AC492" s="1" t="s">
        <v>1435</v>
      </c>
      <c r="AD492" s="62" t="str">
        <f>VLOOKUP(X492,'Customer List'!B:C,2,)</f>
        <v>Mumbai</v>
      </c>
      <c r="AE492" s="67"/>
      <c r="AF492" s="6">
        <v>46127</v>
      </c>
      <c r="AG492" s="62">
        <f t="shared" si="127"/>
        <v>2</v>
      </c>
      <c r="AH492" s="62" t="str">
        <f t="shared" si="128"/>
        <v>Sunday</v>
      </c>
      <c r="AI492" s="62" t="str">
        <f t="shared" si="121"/>
        <v>Wednesday</v>
      </c>
      <c r="AJ492" s="62" t="str">
        <f>VLOOKUP(AC492,'Currency Sheet'!A:C,3,)</f>
        <v>DOLLAR</v>
      </c>
      <c r="AK492" s="62" t="str">
        <f>VLOOKUP(X492,'Customer List'!B:D,3,)</f>
        <v>OutStation</v>
      </c>
    </row>
    <row r="493" spans="1:37" hidden="1" x14ac:dyDescent="0.25">
      <c r="A493" s="62">
        <f t="shared" si="122"/>
        <v>479</v>
      </c>
      <c r="B493" s="62" t="s">
        <v>893</v>
      </c>
      <c r="C493" s="62">
        <v>187916</v>
      </c>
      <c r="D493" s="6">
        <v>46112</v>
      </c>
      <c r="E493" s="6">
        <v>46125</v>
      </c>
      <c r="F493" s="63">
        <v>2790.9</v>
      </c>
      <c r="G493" s="64">
        <f t="shared" si="123"/>
        <v>245599.2</v>
      </c>
      <c r="H493" s="64">
        <f t="shared" si="124"/>
        <v>245599.2</v>
      </c>
      <c r="I493" s="70" t="s">
        <v>1433</v>
      </c>
      <c r="J493" s="62"/>
      <c r="K493" s="8" t="s">
        <v>1439</v>
      </c>
      <c r="L493" s="10">
        <v>46477</v>
      </c>
      <c r="M493" s="62">
        <v>1</v>
      </c>
      <c r="N493" s="8">
        <v>1</v>
      </c>
      <c r="O493" s="62">
        <f t="shared" si="125"/>
        <v>0</v>
      </c>
      <c r="P493" s="70">
        <v>80</v>
      </c>
      <c r="Q493" s="71">
        <v>46125</v>
      </c>
      <c r="R493" s="6">
        <v>46125</v>
      </c>
      <c r="S493" s="64">
        <v>353281.43</v>
      </c>
      <c r="T493" s="22">
        <v>5</v>
      </c>
      <c r="U493" s="64">
        <f t="shared" si="126"/>
        <v>17664.071500000002</v>
      </c>
      <c r="V493" s="22">
        <v>-0.5</v>
      </c>
      <c r="W493" s="22">
        <v>370945</v>
      </c>
      <c r="X493" s="62" t="s">
        <v>1434</v>
      </c>
      <c r="Y493" s="62">
        <v>58164250616</v>
      </c>
      <c r="Z493" s="62" t="s">
        <v>1112</v>
      </c>
      <c r="AA493" s="65">
        <v>4</v>
      </c>
      <c r="AB493" s="66"/>
      <c r="AC493" s="1" t="s">
        <v>1435</v>
      </c>
      <c r="AD493" s="62" t="str">
        <f>VLOOKUP(X493,'Customer List'!B:C,2,)</f>
        <v>Mumbai</v>
      </c>
      <c r="AE493" s="67"/>
      <c r="AF493" s="6">
        <v>46126</v>
      </c>
      <c r="AG493" s="62">
        <f t="shared" si="127"/>
        <v>1</v>
      </c>
      <c r="AH493" s="62" t="str">
        <f t="shared" si="128"/>
        <v>Thursday</v>
      </c>
      <c r="AI493" s="62" t="str">
        <f t="shared" si="121"/>
        <v>Tuesday</v>
      </c>
      <c r="AJ493" s="62" t="str">
        <f>VLOOKUP(AC493,'Currency Sheet'!A:C,3,)</f>
        <v>DOLLAR</v>
      </c>
      <c r="AK493" s="62" t="str">
        <f>VLOOKUP(X493,'Customer List'!B:D,3,)</f>
        <v>OutStation</v>
      </c>
    </row>
    <row r="494" spans="1:37" hidden="1" x14ac:dyDescent="0.25">
      <c r="A494" s="62">
        <f t="shared" si="122"/>
        <v>480</v>
      </c>
      <c r="B494" s="62" t="s">
        <v>893</v>
      </c>
      <c r="C494" s="62">
        <v>187917</v>
      </c>
      <c r="D494" s="6">
        <v>46112</v>
      </c>
      <c r="E494" s="6">
        <v>46125</v>
      </c>
      <c r="F494" s="63">
        <v>391.2</v>
      </c>
      <c r="G494" s="64">
        <f t="shared" si="123"/>
        <v>34425.599999999999</v>
      </c>
      <c r="H494" s="64">
        <f t="shared" si="124"/>
        <v>68851.199999999997</v>
      </c>
      <c r="I494" s="70" t="s">
        <v>883</v>
      </c>
      <c r="J494" s="62"/>
      <c r="K494" s="8" t="s">
        <v>1440</v>
      </c>
      <c r="L494" s="10">
        <v>46477</v>
      </c>
      <c r="M494" s="62">
        <v>2</v>
      </c>
      <c r="N494" s="8">
        <v>2</v>
      </c>
      <c r="O494" s="62">
        <f t="shared" si="125"/>
        <v>0</v>
      </c>
      <c r="P494" s="70">
        <v>81</v>
      </c>
      <c r="Q494" s="71">
        <v>46125</v>
      </c>
      <c r="R494" s="6">
        <v>46125</v>
      </c>
      <c r="S494" s="64">
        <v>92649.2</v>
      </c>
      <c r="T494" s="22">
        <v>5</v>
      </c>
      <c r="U494" s="64">
        <f t="shared" si="126"/>
        <v>4632.46</v>
      </c>
      <c r="V494" s="22">
        <v>0.34</v>
      </c>
      <c r="W494" s="22">
        <v>97282</v>
      </c>
      <c r="X494" s="62" t="s">
        <v>1364</v>
      </c>
      <c r="Y494" s="62">
        <v>58164249706</v>
      </c>
      <c r="Z494" s="62" t="s">
        <v>1112</v>
      </c>
      <c r="AA494" s="65">
        <v>4</v>
      </c>
      <c r="AB494" s="66"/>
      <c r="AC494" s="1" t="s">
        <v>1435</v>
      </c>
      <c r="AD494" s="62" t="str">
        <f>VLOOKUP(X494,'Customer List'!B:C,2,)</f>
        <v>Kolkata</v>
      </c>
      <c r="AE494" s="67"/>
      <c r="AF494" s="6">
        <v>46126</v>
      </c>
      <c r="AG494" s="62">
        <f t="shared" si="127"/>
        <v>1</v>
      </c>
      <c r="AH494" s="62" t="str">
        <f t="shared" si="128"/>
        <v>Wednesday</v>
      </c>
      <c r="AI494" s="62" t="str">
        <f t="shared" si="121"/>
        <v>Tuesday</v>
      </c>
      <c r="AJ494" s="62" t="str">
        <f>VLOOKUP(AC494,'Currency Sheet'!A:C,3,)</f>
        <v>DOLLAR</v>
      </c>
      <c r="AK494" s="62" t="str">
        <f>VLOOKUP(X494,'Customer List'!B:D,3,)</f>
        <v>OutStation</v>
      </c>
    </row>
    <row r="495" spans="1:37" hidden="1" x14ac:dyDescent="0.25">
      <c r="A495" s="62">
        <f t="shared" si="122"/>
        <v>481</v>
      </c>
      <c r="B495" s="62" t="s">
        <v>893</v>
      </c>
      <c r="C495" s="62">
        <v>187918</v>
      </c>
      <c r="D495" s="6">
        <v>46112</v>
      </c>
      <c r="E495" s="6">
        <v>46125</v>
      </c>
      <c r="F495" s="63">
        <v>2558.3200000000002</v>
      </c>
      <c r="G495" s="64">
        <f t="shared" si="123"/>
        <v>225132.16</v>
      </c>
      <c r="H495" s="64">
        <f t="shared" si="124"/>
        <v>675396.48</v>
      </c>
      <c r="I495" s="70" t="s">
        <v>1436</v>
      </c>
      <c r="J495" s="62"/>
      <c r="K495" s="8" t="s">
        <v>1441</v>
      </c>
      <c r="L495" s="10">
        <v>46477</v>
      </c>
      <c r="M495" s="62">
        <v>3</v>
      </c>
      <c r="N495" s="8">
        <v>3</v>
      </c>
      <c r="O495" s="62">
        <f t="shared" si="125"/>
        <v>0</v>
      </c>
      <c r="P495" s="70">
        <v>83</v>
      </c>
      <c r="Q495" s="71">
        <v>46125</v>
      </c>
      <c r="R495" s="6">
        <v>46125</v>
      </c>
      <c r="S495" s="64">
        <v>962860.5</v>
      </c>
      <c r="T495" s="22">
        <v>5</v>
      </c>
      <c r="U495" s="64">
        <f t="shared" si="126"/>
        <v>48143.025000000001</v>
      </c>
      <c r="V495" s="22">
        <v>0.47</v>
      </c>
      <c r="W495" s="22">
        <v>1011004</v>
      </c>
      <c r="X495" s="62" t="s">
        <v>1390</v>
      </c>
      <c r="Y495" s="62">
        <v>58164247923</v>
      </c>
      <c r="Z495" s="62" t="s">
        <v>1112</v>
      </c>
      <c r="AA495" s="65">
        <v>4</v>
      </c>
      <c r="AB495" s="66"/>
      <c r="AC495" s="1" t="s">
        <v>1435</v>
      </c>
      <c r="AD495" s="62" t="str">
        <f>VLOOKUP(X495,'Customer List'!B:C,2,)</f>
        <v>Gujrat</v>
      </c>
      <c r="AE495" s="67"/>
      <c r="AF495" s="6">
        <v>46126</v>
      </c>
      <c r="AG495" s="62">
        <f t="shared" si="127"/>
        <v>1</v>
      </c>
      <c r="AH495" s="62" t="str">
        <f t="shared" si="128"/>
        <v>Tuesday</v>
      </c>
      <c r="AI495" s="62" t="str">
        <f t="shared" si="121"/>
        <v>Tuesday</v>
      </c>
      <c r="AJ495" s="62" t="str">
        <f>VLOOKUP(AC495,'Currency Sheet'!A:C,3,)</f>
        <v>DOLLAR</v>
      </c>
      <c r="AK495" s="62" t="str">
        <f>VLOOKUP(X495,'Customer List'!B:D,3,)</f>
        <v>OutStation</v>
      </c>
    </row>
    <row r="496" spans="1:37" hidden="1" x14ac:dyDescent="0.25">
      <c r="A496" s="62">
        <f t="shared" si="122"/>
        <v>482</v>
      </c>
      <c r="B496" s="62" t="s">
        <v>893</v>
      </c>
      <c r="C496" s="62">
        <v>188266</v>
      </c>
      <c r="D496" s="6">
        <v>46119</v>
      </c>
      <c r="E496" s="6">
        <v>46125</v>
      </c>
      <c r="F496" s="63">
        <v>509.1</v>
      </c>
      <c r="G496" s="64">
        <f t="shared" si="123"/>
        <v>44800.800000000003</v>
      </c>
      <c r="H496" s="64">
        <f t="shared" si="124"/>
        <v>44800.800000000003</v>
      </c>
      <c r="I496" s="70" t="s">
        <v>1442</v>
      </c>
      <c r="J496" s="62"/>
      <c r="K496" s="8" t="s">
        <v>1445</v>
      </c>
      <c r="L496" s="10">
        <v>46572</v>
      </c>
      <c r="M496" s="62">
        <v>1</v>
      </c>
      <c r="N496" s="8">
        <v>1</v>
      </c>
      <c r="O496" s="62">
        <f t="shared" si="125"/>
        <v>0</v>
      </c>
      <c r="P496" s="70">
        <v>88</v>
      </c>
      <c r="Q496" s="71">
        <v>46126</v>
      </c>
      <c r="R496" s="6">
        <v>46126</v>
      </c>
      <c r="S496" s="64">
        <v>68304.25</v>
      </c>
      <c r="T496" s="22">
        <v>5</v>
      </c>
      <c r="U496" s="64">
        <f t="shared" si="126"/>
        <v>3415.2125000000001</v>
      </c>
      <c r="V496" s="22">
        <v>-0.46</v>
      </c>
      <c r="W496" s="22">
        <v>71719</v>
      </c>
      <c r="X496" s="62" t="s">
        <v>1448</v>
      </c>
      <c r="Y496" s="62">
        <v>58164283461</v>
      </c>
      <c r="Z496" s="62" t="s">
        <v>1112</v>
      </c>
      <c r="AA496" s="65">
        <v>4</v>
      </c>
      <c r="AB496" s="66"/>
      <c r="AC496" s="1" t="s">
        <v>1435</v>
      </c>
      <c r="AD496" s="62" t="str">
        <f>VLOOKUP(X496,'Customer List'!B:C,2,)</f>
        <v>Hyderabad</v>
      </c>
      <c r="AE496" s="67"/>
      <c r="AF496" s="6"/>
      <c r="AG496" s="62" t="str">
        <f t="shared" si="127"/>
        <v/>
      </c>
      <c r="AH496" s="62" t="str">
        <f t="shared" si="128"/>
        <v>Thursday</v>
      </c>
      <c r="AI496" s="62" t="str">
        <f t="shared" si="121"/>
        <v/>
      </c>
      <c r="AJ496" s="62" t="str">
        <f>VLOOKUP(AC496,'Currency Sheet'!A:C,3,)</f>
        <v>DOLLAR</v>
      </c>
      <c r="AK496" s="62" t="str">
        <f>VLOOKUP(X496,'Customer List'!B:D,3,)</f>
        <v>OutStation</v>
      </c>
    </row>
    <row r="497" spans="1:37" hidden="1" x14ac:dyDescent="0.25">
      <c r="A497" s="62">
        <f t="shared" si="122"/>
        <v>483</v>
      </c>
      <c r="B497" s="62" t="s">
        <v>893</v>
      </c>
      <c r="C497" s="62">
        <v>188266</v>
      </c>
      <c r="D497" s="6">
        <v>46119</v>
      </c>
      <c r="E497" s="6">
        <v>46125</v>
      </c>
      <c r="F497" s="63">
        <v>106.8</v>
      </c>
      <c r="G497" s="64">
        <f t="shared" si="123"/>
        <v>9398.4</v>
      </c>
      <c r="H497" s="64">
        <f t="shared" si="124"/>
        <v>9398.4</v>
      </c>
      <c r="I497" s="70" t="s">
        <v>1443</v>
      </c>
      <c r="J497" s="62"/>
      <c r="K497" s="8" t="s">
        <v>1446</v>
      </c>
      <c r="L497" s="10">
        <v>46572</v>
      </c>
      <c r="M497" s="62">
        <v>1</v>
      </c>
      <c r="N497" s="8">
        <v>1</v>
      </c>
      <c r="O497" s="62">
        <f t="shared" si="125"/>
        <v>0</v>
      </c>
      <c r="P497" s="70">
        <v>89</v>
      </c>
      <c r="Q497" s="71">
        <v>46126</v>
      </c>
      <c r="R497" s="6">
        <v>46126</v>
      </c>
      <c r="S497" s="64">
        <v>18067</v>
      </c>
      <c r="T497" s="22">
        <v>5</v>
      </c>
      <c r="U497" s="64">
        <f t="shared" si="126"/>
        <v>903.35</v>
      </c>
      <c r="V497" s="22">
        <v>1700</v>
      </c>
      <c r="W497" s="22">
        <v>39726</v>
      </c>
      <c r="X497" s="62" t="s">
        <v>1417</v>
      </c>
      <c r="Y497" s="62">
        <v>58164283004</v>
      </c>
      <c r="Z497" s="62" t="s">
        <v>1112</v>
      </c>
      <c r="AA497" s="65">
        <v>4</v>
      </c>
      <c r="AB497" s="66"/>
      <c r="AC497" s="1" t="s">
        <v>1435</v>
      </c>
      <c r="AD497" s="62" t="str">
        <f>VLOOKUP(X497,'Customer List'!B:C,2,)</f>
        <v>Banglore</v>
      </c>
      <c r="AE497" s="67"/>
      <c r="AF497" s="6"/>
      <c r="AG497" s="62" t="str">
        <f t="shared" si="127"/>
        <v/>
      </c>
      <c r="AH497" s="62" t="str">
        <f t="shared" si="128"/>
        <v>Saturday</v>
      </c>
      <c r="AI497" s="62" t="str">
        <f t="shared" si="121"/>
        <v/>
      </c>
      <c r="AJ497" s="62" t="str">
        <f>VLOOKUP(AC497,'Currency Sheet'!A:C,3,)</f>
        <v>DOLLAR</v>
      </c>
      <c r="AK497" s="62" t="str">
        <f>VLOOKUP(X497,'Customer List'!B:D,3,)</f>
        <v>OutStation</v>
      </c>
    </row>
    <row r="498" spans="1:37" hidden="1" x14ac:dyDescent="0.25">
      <c r="A498" s="62">
        <f t="shared" si="122"/>
        <v>484</v>
      </c>
      <c r="B498" s="62" t="s">
        <v>893</v>
      </c>
      <c r="C498" s="62">
        <v>188266</v>
      </c>
      <c r="D498" s="6">
        <v>46119</v>
      </c>
      <c r="E498" s="6">
        <v>46125</v>
      </c>
      <c r="F498" s="63">
        <v>106.8</v>
      </c>
      <c r="G498" s="64">
        <f t="shared" si="123"/>
        <v>9398.4</v>
      </c>
      <c r="H498" s="64">
        <f t="shared" si="124"/>
        <v>9398.4</v>
      </c>
      <c r="I498" s="70" t="s">
        <v>1444</v>
      </c>
      <c r="J498" s="62"/>
      <c r="K498" s="8" t="s">
        <v>1447</v>
      </c>
      <c r="L498" s="10">
        <v>46572</v>
      </c>
      <c r="M498" s="62">
        <v>1</v>
      </c>
      <c r="N498" s="8">
        <v>1</v>
      </c>
      <c r="O498" s="62">
        <f t="shared" si="125"/>
        <v>0</v>
      </c>
      <c r="P498" s="70">
        <v>89</v>
      </c>
      <c r="Q498" s="71">
        <v>46126</v>
      </c>
      <c r="R498" s="6">
        <v>46126</v>
      </c>
      <c r="S498" s="64">
        <v>18067</v>
      </c>
      <c r="T498" s="22">
        <v>5</v>
      </c>
      <c r="U498" s="64">
        <f t="shared" si="126"/>
        <v>903.35</v>
      </c>
      <c r="V498" s="22">
        <v>0.3</v>
      </c>
      <c r="W498" s="22">
        <v>39726</v>
      </c>
      <c r="X498" s="62" t="s">
        <v>1417</v>
      </c>
      <c r="Y498" s="62">
        <v>58164283004</v>
      </c>
      <c r="Z498" s="62" t="s">
        <v>1112</v>
      </c>
      <c r="AA498" s="65">
        <v>4</v>
      </c>
      <c r="AB498" s="66"/>
      <c r="AC498" s="1" t="s">
        <v>1435</v>
      </c>
      <c r="AD498" s="62" t="str">
        <f>VLOOKUP(X498,'Customer List'!B:C,2,)</f>
        <v>Banglore</v>
      </c>
      <c r="AE498" s="67"/>
      <c r="AF498" s="6"/>
      <c r="AG498" s="62" t="str">
        <f t="shared" si="127"/>
        <v/>
      </c>
      <c r="AH498" s="62" t="str">
        <f t="shared" si="128"/>
        <v>Saturday</v>
      </c>
      <c r="AI498" s="62" t="str">
        <f t="shared" si="121"/>
        <v/>
      </c>
      <c r="AJ498" s="62" t="str">
        <f>VLOOKUP(AC498,'Currency Sheet'!A:C,3,)</f>
        <v>DOLLAR</v>
      </c>
      <c r="AK498" s="62" t="str">
        <f>VLOOKUP(X498,'Customer List'!B:D,3,)</f>
        <v>OutStation</v>
      </c>
    </row>
    <row r="499" spans="1:37" hidden="1" x14ac:dyDescent="0.25">
      <c r="A499" s="62">
        <f t="shared" si="122"/>
        <v>485</v>
      </c>
      <c r="B499" s="62" t="s">
        <v>824</v>
      </c>
      <c r="C499" s="62" t="s">
        <v>1457</v>
      </c>
      <c r="D499" s="6">
        <v>46112</v>
      </c>
      <c r="E499" s="6">
        <v>46128</v>
      </c>
      <c r="F499" s="63">
        <v>100.1</v>
      </c>
      <c r="G499" s="64">
        <f t="shared" si="123"/>
        <v>8808.7999999999993</v>
      </c>
      <c r="H499" s="64">
        <f t="shared" si="124"/>
        <v>8808.7999999999993</v>
      </c>
      <c r="I499" s="70">
        <v>100204</v>
      </c>
      <c r="J499" s="62" t="s">
        <v>759</v>
      </c>
      <c r="K499" s="8" t="s">
        <v>1458</v>
      </c>
      <c r="L499" s="10">
        <v>48423</v>
      </c>
      <c r="M499" s="62">
        <v>1</v>
      </c>
      <c r="N499" s="8">
        <v>1</v>
      </c>
      <c r="O499" s="62">
        <f t="shared" si="125"/>
        <v>0</v>
      </c>
      <c r="P499" s="70">
        <v>116</v>
      </c>
      <c r="Q499" s="71">
        <v>46129</v>
      </c>
      <c r="R499" s="6">
        <v>46130</v>
      </c>
      <c r="S499" s="64">
        <v>12226.5</v>
      </c>
      <c r="T499" s="22">
        <v>5</v>
      </c>
      <c r="U499" s="64">
        <f t="shared" si="126"/>
        <v>611.32500000000005</v>
      </c>
      <c r="V499" s="22">
        <v>0.17</v>
      </c>
      <c r="W499" s="22">
        <v>12838</v>
      </c>
      <c r="X499" s="62" t="s">
        <v>801</v>
      </c>
      <c r="Y499" s="62">
        <v>58164461692</v>
      </c>
      <c r="Z499" s="62" t="s">
        <v>1112</v>
      </c>
      <c r="AA499" s="65">
        <v>4</v>
      </c>
      <c r="AB499" s="66"/>
      <c r="AC499" s="1" t="s">
        <v>13</v>
      </c>
      <c r="AD499" s="62" t="str">
        <f>VLOOKUP(X499,'Customer List'!B:C,2,)</f>
        <v>Mumbai</v>
      </c>
      <c r="AE499" s="67"/>
      <c r="AF499" s="6">
        <v>46132</v>
      </c>
      <c r="AG499" s="62">
        <f t="shared" si="127"/>
        <v>2</v>
      </c>
      <c r="AH499" s="62" t="str">
        <f t="shared" si="128"/>
        <v>Wednesday</v>
      </c>
      <c r="AI499" s="62" t="str">
        <f t="shared" si="121"/>
        <v>Monday</v>
      </c>
      <c r="AJ499" s="62" t="str">
        <f>VLOOKUP(AC499,'Currency Sheet'!A:C,3,)</f>
        <v>DOLLAR</v>
      </c>
      <c r="AK499" s="62" t="str">
        <f>VLOOKUP(X499,'Customer List'!B:D,3,)</f>
        <v>OutStation</v>
      </c>
    </row>
    <row r="500" spans="1:37" hidden="1" x14ac:dyDescent="0.25">
      <c r="A500" s="62">
        <f t="shared" si="122"/>
        <v>486</v>
      </c>
      <c r="B500" s="62" t="s">
        <v>824</v>
      </c>
      <c r="C500" s="62" t="s">
        <v>1457</v>
      </c>
      <c r="D500" s="6">
        <v>46112</v>
      </c>
      <c r="E500" s="6">
        <v>46128</v>
      </c>
      <c r="F500" s="63">
        <v>100.1</v>
      </c>
      <c r="G500" s="64">
        <f t="shared" si="123"/>
        <v>8808.7999999999993</v>
      </c>
      <c r="H500" s="64">
        <f t="shared" si="124"/>
        <v>8808.7999999999993</v>
      </c>
      <c r="I500" s="70">
        <v>100206</v>
      </c>
      <c r="J500" s="62" t="s">
        <v>759</v>
      </c>
      <c r="K500" s="8" t="s">
        <v>1459</v>
      </c>
      <c r="L500" s="10">
        <v>47681</v>
      </c>
      <c r="M500" s="62">
        <v>1</v>
      </c>
      <c r="N500" s="8">
        <v>1</v>
      </c>
      <c r="O500" s="62">
        <f t="shared" si="125"/>
        <v>0</v>
      </c>
      <c r="P500" s="70">
        <v>100</v>
      </c>
      <c r="Q500" s="71">
        <v>46129</v>
      </c>
      <c r="R500" s="6">
        <v>46130</v>
      </c>
      <c r="S500" s="64">
        <v>13299</v>
      </c>
      <c r="T500" s="22">
        <v>5</v>
      </c>
      <c r="U500" s="64">
        <f t="shared" si="126"/>
        <v>664.95</v>
      </c>
      <c r="V500" s="22">
        <v>0.4</v>
      </c>
      <c r="W500" s="22">
        <v>84370</v>
      </c>
      <c r="X500" s="62" t="s">
        <v>1448</v>
      </c>
      <c r="Y500" s="62">
        <v>58164464783</v>
      </c>
      <c r="Z500" s="62" t="s">
        <v>1112</v>
      </c>
      <c r="AA500" s="65">
        <v>4</v>
      </c>
      <c r="AB500" s="66"/>
      <c r="AC500" s="1" t="s">
        <v>13</v>
      </c>
      <c r="AD500" s="62" t="str">
        <f>VLOOKUP(X500,'Customer List'!B:C,2,)</f>
        <v>Hyderabad</v>
      </c>
      <c r="AE500" s="67"/>
      <c r="AF500" s="6">
        <v>46132</v>
      </c>
      <c r="AG500" s="62">
        <f t="shared" si="127"/>
        <v>2</v>
      </c>
      <c r="AH500" s="62" t="str">
        <f t="shared" si="128"/>
        <v>Friday</v>
      </c>
      <c r="AI500" s="62" t="str">
        <f t="shared" si="121"/>
        <v>Monday</v>
      </c>
      <c r="AJ500" s="62" t="str">
        <f>VLOOKUP(AC500,'Currency Sheet'!A:C,3,)</f>
        <v>DOLLAR</v>
      </c>
      <c r="AK500" s="62" t="str">
        <f>VLOOKUP(X500,'Customer List'!B:D,3,)</f>
        <v>OutStation</v>
      </c>
    </row>
    <row r="501" spans="1:37" hidden="1" x14ac:dyDescent="0.25">
      <c r="A501" s="62">
        <f t="shared" si="122"/>
        <v>487</v>
      </c>
      <c r="B501" s="62" t="s">
        <v>824</v>
      </c>
      <c r="C501" s="62" t="s">
        <v>1457</v>
      </c>
      <c r="D501" s="6">
        <v>46112</v>
      </c>
      <c r="E501" s="6">
        <v>46128</v>
      </c>
      <c r="F501" s="63">
        <v>204.4</v>
      </c>
      <c r="G501" s="64">
        <f t="shared" si="123"/>
        <v>17987.2</v>
      </c>
      <c r="H501" s="64">
        <f t="shared" si="124"/>
        <v>71948.800000000003</v>
      </c>
      <c r="I501" s="70">
        <v>101228</v>
      </c>
      <c r="J501" s="62" t="s">
        <v>917</v>
      </c>
      <c r="K501" s="8" t="s">
        <v>1460</v>
      </c>
      <c r="L501" s="10">
        <v>47310</v>
      </c>
      <c r="M501" s="62">
        <v>4</v>
      </c>
      <c r="N501" s="8">
        <v>4</v>
      </c>
      <c r="O501" s="62">
        <f t="shared" si="125"/>
        <v>0</v>
      </c>
      <c r="P501" s="70">
        <v>117</v>
      </c>
      <c r="Q501" s="71">
        <v>46129</v>
      </c>
      <c r="R501" s="6">
        <v>46130</v>
      </c>
      <c r="S501" s="64">
        <v>121296.8</v>
      </c>
      <c r="T501" s="22">
        <v>5</v>
      </c>
      <c r="U501" s="64">
        <f t="shared" si="126"/>
        <v>6064.84</v>
      </c>
      <c r="V501" s="22">
        <v>-0.17</v>
      </c>
      <c r="W501" s="22">
        <v>747050</v>
      </c>
      <c r="X501" s="62" t="s">
        <v>1366</v>
      </c>
      <c r="Y501" s="62">
        <v>58164467126</v>
      </c>
      <c r="Z501" s="62" t="s">
        <v>1112</v>
      </c>
      <c r="AA501" s="65">
        <v>4</v>
      </c>
      <c r="AB501" s="66"/>
      <c r="AC501" s="1" t="s">
        <v>13</v>
      </c>
      <c r="AD501" s="62" t="str">
        <f>VLOOKUP(X501,'Customer List'!B:C,2,)</f>
        <v>Lucknow</v>
      </c>
      <c r="AE501" s="67"/>
      <c r="AF501" s="6">
        <v>46133</v>
      </c>
      <c r="AG501" s="62">
        <f t="shared" si="127"/>
        <v>3</v>
      </c>
      <c r="AH501" s="62" t="str">
        <f t="shared" si="128"/>
        <v>Saturday</v>
      </c>
      <c r="AI501" s="62" t="str">
        <f t="shared" si="121"/>
        <v>Tuesday</v>
      </c>
      <c r="AJ501" s="62" t="str">
        <f>VLOOKUP(AC501,'Currency Sheet'!A:C,3,)</f>
        <v>DOLLAR</v>
      </c>
      <c r="AK501" s="62" t="str">
        <f>VLOOKUP(X501,'Customer List'!B:D,3,)</f>
        <v>OutStation</v>
      </c>
    </row>
    <row r="502" spans="1:37" hidden="1" x14ac:dyDescent="0.25">
      <c r="A502" s="62">
        <f t="shared" si="122"/>
        <v>488</v>
      </c>
      <c r="B502" s="62" t="s">
        <v>824</v>
      </c>
      <c r="C502" s="62" t="s">
        <v>1457</v>
      </c>
      <c r="D502" s="6">
        <v>46112</v>
      </c>
      <c r="E502" s="6">
        <v>46128</v>
      </c>
      <c r="F502" s="63">
        <v>160.30000000000001</v>
      </c>
      <c r="G502" s="64">
        <f t="shared" si="123"/>
        <v>14106.400000000001</v>
      </c>
      <c r="H502" s="64">
        <f t="shared" si="124"/>
        <v>14106.400000000001</v>
      </c>
      <c r="I502" s="70">
        <v>101320</v>
      </c>
      <c r="J502" s="62" t="s">
        <v>1461</v>
      </c>
      <c r="K502" s="8" t="s">
        <v>1462</v>
      </c>
      <c r="L502" s="10">
        <v>48683</v>
      </c>
      <c r="M502" s="62">
        <v>1</v>
      </c>
      <c r="N502" s="8">
        <v>1</v>
      </c>
      <c r="O502" s="62">
        <f t="shared" si="125"/>
        <v>0</v>
      </c>
      <c r="P502" s="70">
        <v>98</v>
      </c>
      <c r="Q502" s="71">
        <v>46129</v>
      </c>
      <c r="R502" s="6">
        <v>46130</v>
      </c>
      <c r="S502" s="64">
        <v>21297</v>
      </c>
      <c r="T502" s="22">
        <v>5</v>
      </c>
      <c r="U502" s="64">
        <f t="shared" si="126"/>
        <v>1064.8500000000001</v>
      </c>
      <c r="V502" s="22">
        <v>0.15</v>
      </c>
      <c r="W502" s="22">
        <v>22362</v>
      </c>
      <c r="X502" s="62" t="s">
        <v>1448</v>
      </c>
      <c r="Y502" s="62">
        <v>58164464783</v>
      </c>
      <c r="Z502" s="62" t="s">
        <v>1112</v>
      </c>
      <c r="AA502" s="65">
        <v>4</v>
      </c>
      <c r="AB502" s="66"/>
      <c r="AC502" s="1" t="s">
        <v>13</v>
      </c>
      <c r="AD502" s="62" t="str">
        <f>VLOOKUP(X502,'Customer List'!B:C,2,)</f>
        <v>Hyderabad</v>
      </c>
      <c r="AE502" s="67"/>
      <c r="AF502" s="6">
        <v>46132</v>
      </c>
      <c r="AG502" s="62">
        <f t="shared" si="127"/>
        <v>2</v>
      </c>
      <c r="AH502" s="62" t="str">
        <f t="shared" si="128"/>
        <v>Tuesday</v>
      </c>
      <c r="AI502" s="62" t="str">
        <f t="shared" si="121"/>
        <v>Monday</v>
      </c>
      <c r="AJ502" s="62" t="str">
        <f>VLOOKUP(AC502,'Currency Sheet'!A:C,3,)</f>
        <v>DOLLAR</v>
      </c>
      <c r="AK502" s="62" t="str">
        <f>VLOOKUP(X502,'Customer List'!B:D,3,)</f>
        <v>OutStation</v>
      </c>
    </row>
    <row r="503" spans="1:37" hidden="1" x14ac:dyDescent="0.25">
      <c r="A503" s="62">
        <f t="shared" si="122"/>
        <v>489</v>
      </c>
      <c r="B503" s="62" t="s">
        <v>824</v>
      </c>
      <c r="C503" s="62" t="s">
        <v>1457</v>
      </c>
      <c r="D503" s="6">
        <v>46112</v>
      </c>
      <c r="E503" s="6">
        <v>46128</v>
      </c>
      <c r="F503" s="63">
        <v>160.30000000000001</v>
      </c>
      <c r="G503" s="64">
        <f t="shared" si="123"/>
        <v>14106.400000000001</v>
      </c>
      <c r="H503" s="64">
        <f t="shared" si="124"/>
        <v>56425.600000000006</v>
      </c>
      <c r="I503" s="70">
        <v>101320</v>
      </c>
      <c r="J503" s="62" t="s">
        <v>1461</v>
      </c>
      <c r="K503" s="8" t="s">
        <v>1462</v>
      </c>
      <c r="L503" s="10">
        <v>48683</v>
      </c>
      <c r="M503" s="62">
        <v>4</v>
      </c>
      <c r="N503" s="8">
        <v>4</v>
      </c>
      <c r="O503" s="62">
        <f t="shared" si="125"/>
        <v>0</v>
      </c>
      <c r="P503" s="70">
        <v>117</v>
      </c>
      <c r="Q503" s="71">
        <v>46129</v>
      </c>
      <c r="R503" s="6">
        <v>46130</v>
      </c>
      <c r="S503" s="64">
        <v>95126.6</v>
      </c>
      <c r="T503" s="22">
        <v>5</v>
      </c>
      <c r="U503" s="64">
        <f t="shared" si="126"/>
        <v>4756.3300000000008</v>
      </c>
      <c r="V503" s="22">
        <v>0</v>
      </c>
      <c r="W503" s="22">
        <v>747050</v>
      </c>
      <c r="X503" s="62" t="s">
        <v>1366</v>
      </c>
      <c r="Y503" s="62">
        <v>58164467126</v>
      </c>
      <c r="Z503" s="62" t="s">
        <v>1112</v>
      </c>
      <c r="AA503" s="65">
        <v>4</v>
      </c>
      <c r="AB503" s="66"/>
      <c r="AC503" s="1" t="s">
        <v>13</v>
      </c>
      <c r="AD503" s="62" t="str">
        <f>VLOOKUP(X503,'Customer List'!B:C,2,)</f>
        <v>Lucknow</v>
      </c>
      <c r="AE503" s="67"/>
      <c r="AF503" s="6">
        <v>46133</v>
      </c>
      <c r="AG503" s="62">
        <f t="shared" si="127"/>
        <v>3</v>
      </c>
      <c r="AH503" s="62" t="str">
        <f t="shared" si="128"/>
        <v>Tuesday</v>
      </c>
      <c r="AI503" s="62" t="str">
        <f t="shared" si="121"/>
        <v>Tuesday</v>
      </c>
      <c r="AJ503" s="62" t="str">
        <f>VLOOKUP(AC503,'Currency Sheet'!A:C,3,)</f>
        <v>DOLLAR</v>
      </c>
      <c r="AK503" s="62" t="str">
        <f>VLOOKUP(X503,'Customer List'!B:D,3,)</f>
        <v>OutStation</v>
      </c>
    </row>
    <row r="504" spans="1:37" hidden="1" x14ac:dyDescent="0.25">
      <c r="A504" s="62">
        <f t="shared" si="122"/>
        <v>490</v>
      </c>
      <c r="B504" s="62" t="s">
        <v>824</v>
      </c>
      <c r="C504" s="62" t="s">
        <v>1457</v>
      </c>
      <c r="D504" s="6">
        <v>46112</v>
      </c>
      <c r="E504" s="6">
        <v>46128</v>
      </c>
      <c r="F504" s="63">
        <v>160.30000000000001</v>
      </c>
      <c r="G504" s="64">
        <f t="shared" si="123"/>
        <v>14106.400000000001</v>
      </c>
      <c r="H504" s="64">
        <f t="shared" si="124"/>
        <v>14106.400000000001</v>
      </c>
      <c r="I504" s="70">
        <v>102742</v>
      </c>
      <c r="J504" s="62" t="s">
        <v>1463</v>
      </c>
      <c r="K504" s="8" t="s">
        <v>1464</v>
      </c>
      <c r="L504" s="10">
        <v>47603</v>
      </c>
      <c r="M504" s="62">
        <v>1</v>
      </c>
      <c r="N504" s="8">
        <v>1</v>
      </c>
      <c r="O504" s="62">
        <f t="shared" si="125"/>
        <v>0</v>
      </c>
      <c r="P504" s="70">
        <v>102</v>
      </c>
      <c r="Q504" s="71">
        <v>46129</v>
      </c>
      <c r="R504" s="6">
        <v>46129</v>
      </c>
      <c r="S504" s="64">
        <v>24136</v>
      </c>
      <c r="T504" s="22">
        <v>5</v>
      </c>
      <c r="U504" s="64">
        <f t="shared" si="126"/>
        <v>1206.8</v>
      </c>
      <c r="V504" s="22">
        <v>-0.05</v>
      </c>
      <c r="W504" s="22">
        <v>139000</v>
      </c>
      <c r="X504" s="62" t="s">
        <v>1365</v>
      </c>
      <c r="Y504" s="62" t="s">
        <v>1668</v>
      </c>
      <c r="Z504" s="62" t="s">
        <v>1112</v>
      </c>
      <c r="AA504" s="65">
        <v>4</v>
      </c>
      <c r="AB504" s="66"/>
      <c r="AC504" s="1" t="s">
        <v>13</v>
      </c>
      <c r="AD504" s="62" t="str">
        <f>VLOOKUP(X504,'Customer List'!B:C,2,)</f>
        <v>Punjab</v>
      </c>
      <c r="AE504" s="67"/>
      <c r="AF504" s="6">
        <v>46133</v>
      </c>
      <c r="AG504" s="62">
        <f t="shared" si="127"/>
        <v>4</v>
      </c>
      <c r="AH504" s="62" t="str">
        <f t="shared" si="128"/>
        <v>Saturday</v>
      </c>
      <c r="AI504" s="62" t="str">
        <f t="shared" si="121"/>
        <v>Tuesday</v>
      </c>
      <c r="AJ504" s="62" t="str">
        <f>VLOOKUP(AC504,'Currency Sheet'!A:C,3,)</f>
        <v>DOLLAR</v>
      </c>
      <c r="AK504" s="62" t="str">
        <f>VLOOKUP(X504,'Customer List'!B:D,3,)</f>
        <v>OutStation</v>
      </c>
    </row>
    <row r="505" spans="1:37" hidden="1" x14ac:dyDescent="0.25">
      <c r="A505" s="62">
        <f t="shared" si="122"/>
        <v>491</v>
      </c>
      <c r="B505" s="62" t="s">
        <v>824</v>
      </c>
      <c r="C505" s="62" t="s">
        <v>1457</v>
      </c>
      <c r="D505" s="6">
        <v>46112</v>
      </c>
      <c r="E505" s="6">
        <v>46128</v>
      </c>
      <c r="F505" s="63">
        <v>181.5</v>
      </c>
      <c r="G505" s="64">
        <f t="shared" si="123"/>
        <v>15972</v>
      </c>
      <c r="H505" s="64">
        <f t="shared" si="124"/>
        <v>63888</v>
      </c>
      <c r="I505" s="70">
        <v>103134</v>
      </c>
      <c r="J505" s="62" t="s">
        <v>921</v>
      </c>
      <c r="K505" s="8" t="s">
        <v>1465</v>
      </c>
      <c r="L505" s="10">
        <v>46909</v>
      </c>
      <c r="M505" s="62">
        <v>4</v>
      </c>
      <c r="N505" s="8">
        <v>4</v>
      </c>
      <c r="O505" s="62">
        <f t="shared" si="125"/>
        <v>0</v>
      </c>
      <c r="P505" s="70">
        <v>117</v>
      </c>
      <c r="Q505" s="71">
        <v>46129</v>
      </c>
      <c r="R505" s="6">
        <v>46130</v>
      </c>
      <c r="S505" s="64">
        <v>100526.8</v>
      </c>
      <c r="T505" s="22">
        <v>5</v>
      </c>
      <c r="U505" s="64">
        <f t="shared" si="126"/>
        <v>5026.34</v>
      </c>
      <c r="V505" s="22">
        <v>0</v>
      </c>
      <c r="W505" s="22">
        <v>747050</v>
      </c>
      <c r="X505" s="62" t="s">
        <v>1366</v>
      </c>
      <c r="Y505" s="62">
        <v>58164467126</v>
      </c>
      <c r="Z505" s="62" t="s">
        <v>1112</v>
      </c>
      <c r="AA505" s="65">
        <v>4</v>
      </c>
      <c r="AB505" s="66"/>
      <c r="AC505" s="1" t="s">
        <v>13</v>
      </c>
      <c r="AD505" s="62" t="str">
        <f>VLOOKUP(X505,'Customer List'!B:C,2,)</f>
        <v>Lucknow</v>
      </c>
      <c r="AE505" s="67"/>
      <c r="AF505" s="6">
        <v>46133</v>
      </c>
      <c r="AG505" s="62">
        <f t="shared" si="127"/>
        <v>3</v>
      </c>
      <c r="AH505" s="62" t="str">
        <f t="shared" si="128"/>
        <v>Friday</v>
      </c>
      <c r="AI505" s="62" t="str">
        <f t="shared" si="121"/>
        <v>Tuesday</v>
      </c>
      <c r="AJ505" s="62" t="str">
        <f>VLOOKUP(AC505,'Currency Sheet'!A:C,3,)</f>
        <v>DOLLAR</v>
      </c>
      <c r="AK505" s="62" t="str">
        <f>VLOOKUP(X505,'Customer List'!B:D,3,)</f>
        <v>OutStation</v>
      </c>
    </row>
    <row r="506" spans="1:37" hidden="1" x14ac:dyDescent="0.25">
      <c r="A506" s="62">
        <f t="shared" si="122"/>
        <v>492</v>
      </c>
      <c r="B506" s="62" t="s">
        <v>824</v>
      </c>
      <c r="C506" s="62" t="s">
        <v>1457</v>
      </c>
      <c r="D506" s="6">
        <v>46112</v>
      </c>
      <c r="E506" s="6">
        <v>46128</v>
      </c>
      <c r="F506" s="63">
        <v>162.4</v>
      </c>
      <c r="G506" s="64">
        <f t="shared" si="123"/>
        <v>14291.2</v>
      </c>
      <c r="H506" s="64">
        <f t="shared" si="124"/>
        <v>14291.2</v>
      </c>
      <c r="I506" s="70">
        <v>103226</v>
      </c>
      <c r="J506" s="62" t="s">
        <v>1183</v>
      </c>
      <c r="K506" s="8" t="s">
        <v>1466</v>
      </c>
      <c r="L506" s="10">
        <v>47225</v>
      </c>
      <c r="M506" s="62">
        <v>1</v>
      </c>
      <c r="N506" s="8">
        <v>1</v>
      </c>
      <c r="O506" s="62">
        <f t="shared" si="125"/>
        <v>0</v>
      </c>
      <c r="P506" s="70" t="s">
        <v>1862</v>
      </c>
      <c r="Q506" s="71">
        <v>46132</v>
      </c>
      <c r="R506" s="6">
        <v>46132</v>
      </c>
      <c r="S506" s="64">
        <v>25172</v>
      </c>
      <c r="T506" s="22">
        <v>5</v>
      </c>
      <c r="U506" s="64">
        <f t="shared" si="126"/>
        <v>1258.6000000000001</v>
      </c>
      <c r="V506" s="22">
        <v>0.46</v>
      </c>
      <c r="W506" s="22">
        <v>181483</v>
      </c>
      <c r="X506" s="62" t="s">
        <v>1589</v>
      </c>
      <c r="Y506" s="62" t="s">
        <v>1120</v>
      </c>
      <c r="Z506" s="62" t="s">
        <v>1863</v>
      </c>
      <c r="AA506" s="65">
        <v>4</v>
      </c>
      <c r="AB506" s="66"/>
      <c r="AC506" s="1" t="s">
        <v>13</v>
      </c>
      <c r="AD506" s="62" t="str">
        <f>VLOOKUP(X506,'Customer List'!B:C,2,)</f>
        <v>Delhi</v>
      </c>
      <c r="AE506" s="67"/>
      <c r="AF506" s="6"/>
      <c r="AG506" s="62" t="str">
        <f t="shared" si="127"/>
        <v/>
      </c>
      <c r="AH506" s="62" t="str">
        <f t="shared" si="128"/>
        <v>Saturday</v>
      </c>
      <c r="AI506" s="62" t="str">
        <f t="shared" si="121"/>
        <v/>
      </c>
      <c r="AJ506" s="62" t="str">
        <f>VLOOKUP(AC506,'Currency Sheet'!A:C,3,)</f>
        <v>DOLLAR</v>
      </c>
      <c r="AK506" s="62" t="str">
        <f>VLOOKUP(X506,'Customer List'!B:D,3,)</f>
        <v>Local</v>
      </c>
    </row>
    <row r="507" spans="1:37" hidden="1" x14ac:dyDescent="0.25">
      <c r="A507" s="62">
        <f t="shared" si="122"/>
        <v>493</v>
      </c>
      <c r="B507" s="62" t="s">
        <v>824</v>
      </c>
      <c r="C507" s="62" t="s">
        <v>1457</v>
      </c>
      <c r="D507" s="6">
        <v>46112</v>
      </c>
      <c r="E507" s="6">
        <v>46128</v>
      </c>
      <c r="F507" s="63">
        <v>147.69999999999999</v>
      </c>
      <c r="G507" s="64">
        <f t="shared" si="123"/>
        <v>12997.599999999999</v>
      </c>
      <c r="H507" s="64">
        <f t="shared" si="124"/>
        <v>12997.599999999999</v>
      </c>
      <c r="I507" s="70">
        <v>105814</v>
      </c>
      <c r="J507" s="62" t="s">
        <v>1189</v>
      </c>
      <c r="K507" s="8" t="s">
        <v>1467</v>
      </c>
      <c r="L507" s="10">
        <v>47323</v>
      </c>
      <c r="M507" s="62">
        <v>1</v>
      </c>
      <c r="N507" s="8">
        <v>1</v>
      </c>
      <c r="O507" s="62">
        <f t="shared" si="125"/>
        <v>0</v>
      </c>
      <c r="P507" s="70" t="s">
        <v>1612</v>
      </c>
      <c r="Q507" s="71">
        <v>46128</v>
      </c>
      <c r="R507" s="6">
        <v>46128</v>
      </c>
      <c r="S507" s="64">
        <v>26164</v>
      </c>
      <c r="T507" s="22">
        <v>5</v>
      </c>
      <c r="U507" s="64">
        <f t="shared" si="126"/>
        <v>1308.2</v>
      </c>
      <c r="V507" s="22">
        <v>0.2</v>
      </c>
      <c r="W507" s="22">
        <v>492026</v>
      </c>
      <c r="X507" s="62" t="s">
        <v>1094</v>
      </c>
      <c r="Y507" s="62" t="s">
        <v>1105</v>
      </c>
      <c r="Z507" s="62" t="s">
        <v>1105</v>
      </c>
      <c r="AA507" s="65">
        <v>4</v>
      </c>
      <c r="AB507" s="66"/>
      <c r="AC507" s="1" t="s">
        <v>13</v>
      </c>
      <c r="AD507" s="62" t="str">
        <f>VLOOKUP(X507,'Customer List'!B:C,2,)</f>
        <v>Delhi</v>
      </c>
      <c r="AE507" s="67" t="s">
        <v>821</v>
      </c>
      <c r="AF507" s="6"/>
      <c r="AG507" s="62" t="str">
        <f t="shared" si="127"/>
        <v/>
      </c>
      <c r="AH507" s="62" t="str">
        <f t="shared" si="128"/>
        <v>Thursday</v>
      </c>
      <c r="AI507" s="62" t="str">
        <f t="shared" si="121"/>
        <v/>
      </c>
      <c r="AJ507" s="62" t="str">
        <f>VLOOKUP(AC507,'Currency Sheet'!A:C,3,)</f>
        <v>DOLLAR</v>
      </c>
      <c r="AK507" s="62" t="str">
        <f>VLOOKUP(X507,'Customer List'!B:D,3,)</f>
        <v>Local</v>
      </c>
    </row>
    <row r="508" spans="1:37" hidden="1" x14ac:dyDescent="0.25">
      <c r="A508" s="62">
        <f t="shared" si="122"/>
        <v>494</v>
      </c>
      <c r="B508" s="62" t="s">
        <v>824</v>
      </c>
      <c r="C508" s="62" t="s">
        <v>1457</v>
      </c>
      <c r="D508" s="6">
        <v>46112</v>
      </c>
      <c r="E508" s="6">
        <v>46128</v>
      </c>
      <c r="F508" s="63">
        <v>204.4</v>
      </c>
      <c r="G508" s="64">
        <f t="shared" si="123"/>
        <v>17987.2</v>
      </c>
      <c r="H508" s="64">
        <f t="shared" si="124"/>
        <v>17987.2</v>
      </c>
      <c r="I508" s="70">
        <v>107628</v>
      </c>
      <c r="J508" s="62" t="s">
        <v>1468</v>
      </c>
      <c r="K508" s="8" t="s">
        <v>1469</v>
      </c>
      <c r="L508" s="10">
        <v>47105</v>
      </c>
      <c r="M508" s="62">
        <v>1</v>
      </c>
      <c r="N508" s="8">
        <v>1</v>
      </c>
      <c r="O508" s="62">
        <f t="shared" si="125"/>
        <v>0</v>
      </c>
      <c r="P508" s="70" t="s">
        <v>1862</v>
      </c>
      <c r="Q508" s="71">
        <v>46132</v>
      </c>
      <c r="R508" s="6">
        <v>46132</v>
      </c>
      <c r="S508" s="64">
        <v>31682</v>
      </c>
      <c r="T508" s="22">
        <v>5</v>
      </c>
      <c r="U508" s="64">
        <f t="shared" si="126"/>
        <v>1584.1000000000001</v>
      </c>
      <c r="V508" s="22">
        <v>0</v>
      </c>
      <c r="W508" s="22">
        <v>181483</v>
      </c>
      <c r="X508" s="62" t="s">
        <v>1589</v>
      </c>
      <c r="Y508" s="62" t="s">
        <v>1120</v>
      </c>
      <c r="Z508" s="62" t="s">
        <v>1863</v>
      </c>
      <c r="AA508" s="65">
        <v>4</v>
      </c>
      <c r="AB508" s="66"/>
      <c r="AC508" s="1" t="s">
        <v>13</v>
      </c>
      <c r="AD508" s="62" t="str">
        <f>VLOOKUP(X508,'Customer List'!B:C,2,)</f>
        <v>Delhi</v>
      </c>
      <c r="AE508" s="67"/>
      <c r="AF508" s="6"/>
      <c r="AG508" s="62" t="str">
        <f t="shared" si="127"/>
        <v/>
      </c>
      <c r="AH508" s="62" t="str">
        <f t="shared" si="128"/>
        <v>Saturday</v>
      </c>
      <c r="AI508" s="62" t="str">
        <f t="shared" si="121"/>
        <v/>
      </c>
      <c r="AJ508" s="62" t="str">
        <f>VLOOKUP(AC508,'Currency Sheet'!A:C,3,)</f>
        <v>DOLLAR</v>
      </c>
      <c r="AK508" s="62" t="str">
        <f>VLOOKUP(X508,'Customer List'!B:D,3,)</f>
        <v>Local</v>
      </c>
    </row>
    <row r="509" spans="1:37" hidden="1" x14ac:dyDescent="0.25">
      <c r="A509" s="62">
        <f t="shared" si="122"/>
        <v>495</v>
      </c>
      <c r="B509" s="62" t="s">
        <v>824</v>
      </c>
      <c r="C509" s="62" t="s">
        <v>1457</v>
      </c>
      <c r="D509" s="6">
        <v>46112</v>
      </c>
      <c r="E509" s="6">
        <v>46128</v>
      </c>
      <c r="F509" s="63">
        <v>242.9</v>
      </c>
      <c r="G509" s="64">
        <f t="shared" si="123"/>
        <v>21375.200000000001</v>
      </c>
      <c r="H509" s="64">
        <f t="shared" si="124"/>
        <v>21375.200000000001</v>
      </c>
      <c r="I509" s="70">
        <v>108916</v>
      </c>
      <c r="J509" s="62" t="s">
        <v>1470</v>
      </c>
      <c r="K509" s="8" t="s">
        <v>1471</v>
      </c>
      <c r="L509" s="10">
        <v>47443</v>
      </c>
      <c r="M509" s="62">
        <v>1</v>
      </c>
      <c r="N509" s="8">
        <v>1</v>
      </c>
      <c r="O509" s="62">
        <f t="shared" si="125"/>
        <v>0</v>
      </c>
      <c r="P509" s="70">
        <v>100</v>
      </c>
      <c r="Q509" s="71">
        <v>46129</v>
      </c>
      <c r="R509" s="6">
        <v>46130</v>
      </c>
      <c r="S509" s="64">
        <v>32271</v>
      </c>
      <c r="T509" s="22">
        <v>5</v>
      </c>
      <c r="U509" s="64">
        <f t="shared" si="126"/>
        <v>1613.5500000000002</v>
      </c>
      <c r="V509" s="22">
        <v>0</v>
      </c>
      <c r="W509" s="22">
        <v>84370</v>
      </c>
      <c r="X509" s="62" t="s">
        <v>1448</v>
      </c>
      <c r="Y509" s="62">
        <v>58164464783</v>
      </c>
      <c r="Z509" s="62" t="s">
        <v>1112</v>
      </c>
      <c r="AA509" s="65">
        <v>4</v>
      </c>
      <c r="AB509" s="66"/>
      <c r="AC509" s="1" t="s">
        <v>13</v>
      </c>
      <c r="AD509" s="62" t="str">
        <f>VLOOKUP(X509,'Customer List'!B:C,2,)</f>
        <v>Hyderabad</v>
      </c>
      <c r="AE509" s="67"/>
      <c r="AF509" s="6">
        <v>46132</v>
      </c>
      <c r="AG509" s="62">
        <f t="shared" si="127"/>
        <v>2</v>
      </c>
      <c r="AH509" s="62" t="str">
        <f t="shared" si="128"/>
        <v>Sunday</v>
      </c>
      <c r="AI509" s="62" t="str">
        <f t="shared" ref="AI509:AI572" si="129">IF(AF509="", "", TEXT(AF509, "dddd"))</f>
        <v>Monday</v>
      </c>
      <c r="AJ509" s="62" t="str">
        <f>VLOOKUP(AC509,'Currency Sheet'!A:C,3,)</f>
        <v>DOLLAR</v>
      </c>
      <c r="AK509" s="62" t="str">
        <f>VLOOKUP(X509,'Customer List'!B:D,3,)</f>
        <v>OutStation</v>
      </c>
    </row>
    <row r="510" spans="1:37" hidden="1" x14ac:dyDescent="0.25">
      <c r="A510" s="62">
        <f t="shared" si="122"/>
        <v>496</v>
      </c>
      <c r="B510" s="62" t="s">
        <v>824</v>
      </c>
      <c r="C510" s="62" t="s">
        <v>1457</v>
      </c>
      <c r="D510" s="6">
        <v>46112</v>
      </c>
      <c r="E510" s="6">
        <v>46128</v>
      </c>
      <c r="F510" s="63">
        <v>212.8</v>
      </c>
      <c r="G510" s="64">
        <f t="shared" si="123"/>
        <v>18726.400000000001</v>
      </c>
      <c r="H510" s="64">
        <f t="shared" si="124"/>
        <v>18726.400000000001</v>
      </c>
      <c r="I510" s="70">
        <v>113808</v>
      </c>
      <c r="J510" s="62" t="s">
        <v>1472</v>
      </c>
      <c r="K510" s="8" t="s">
        <v>1473</v>
      </c>
      <c r="L510" s="10">
        <v>47857</v>
      </c>
      <c r="M510" s="62">
        <v>1</v>
      </c>
      <c r="N510" s="8">
        <v>1</v>
      </c>
      <c r="O510" s="62">
        <f t="shared" si="125"/>
        <v>0</v>
      </c>
      <c r="P510" s="70">
        <v>114</v>
      </c>
      <c r="Q510" s="71">
        <v>46129</v>
      </c>
      <c r="R510" s="6">
        <v>46129</v>
      </c>
      <c r="S510" s="64">
        <v>32984</v>
      </c>
      <c r="T510" s="22">
        <v>5</v>
      </c>
      <c r="U510" s="64">
        <f t="shared" si="126"/>
        <v>1649.2</v>
      </c>
      <c r="V510" s="22">
        <v>0.38</v>
      </c>
      <c r="W510" s="22">
        <v>190483</v>
      </c>
      <c r="X510" s="62" t="s">
        <v>1590</v>
      </c>
      <c r="Y510" s="62" t="s">
        <v>1669</v>
      </c>
      <c r="Z510" s="62" t="s">
        <v>1112</v>
      </c>
      <c r="AA510" s="65">
        <v>4</v>
      </c>
      <c r="AB510" s="66"/>
      <c r="AC510" s="1" t="s">
        <v>13</v>
      </c>
      <c r="AD510" s="62" t="str">
        <f>VLOOKUP(X510,'Customer List'!B:C,2,)</f>
        <v>Chandigarh</v>
      </c>
      <c r="AE510" s="67"/>
      <c r="AF510" s="6"/>
      <c r="AG510" s="62" t="str">
        <f t="shared" si="127"/>
        <v/>
      </c>
      <c r="AH510" s="62" t="str">
        <f t="shared" si="128"/>
        <v>Saturday</v>
      </c>
      <c r="AI510" s="62" t="str">
        <f t="shared" si="129"/>
        <v/>
      </c>
      <c r="AJ510" s="62" t="str">
        <f>VLOOKUP(AC510,'Currency Sheet'!A:C,3,)</f>
        <v>DOLLAR</v>
      </c>
      <c r="AK510" s="62" t="str">
        <f>VLOOKUP(X510,'Customer List'!B:D,3,)</f>
        <v>OutStation</v>
      </c>
    </row>
    <row r="511" spans="1:37" hidden="1" x14ac:dyDescent="0.25">
      <c r="A511" s="62">
        <f t="shared" si="122"/>
        <v>497</v>
      </c>
      <c r="B511" s="62" t="s">
        <v>824</v>
      </c>
      <c r="C511" s="62" t="s">
        <v>1457</v>
      </c>
      <c r="D511" s="6">
        <v>46112</v>
      </c>
      <c r="E511" s="6">
        <v>46128</v>
      </c>
      <c r="F511" s="63">
        <v>280.5</v>
      </c>
      <c r="G511" s="64">
        <f t="shared" si="123"/>
        <v>24684</v>
      </c>
      <c r="H511" s="64">
        <f t="shared" si="124"/>
        <v>24684</v>
      </c>
      <c r="I511" s="70">
        <v>115538</v>
      </c>
      <c r="J511" s="62" t="s">
        <v>1474</v>
      </c>
      <c r="K511" s="8" t="s">
        <v>1475</v>
      </c>
      <c r="L511" s="10">
        <v>46957</v>
      </c>
      <c r="M511" s="62">
        <v>1</v>
      </c>
      <c r="N511" s="8">
        <v>1</v>
      </c>
      <c r="O511" s="62">
        <f t="shared" si="125"/>
        <v>0</v>
      </c>
      <c r="P511" s="70">
        <v>100</v>
      </c>
      <c r="Q511" s="71">
        <v>46129</v>
      </c>
      <c r="R511" s="6">
        <v>46130</v>
      </c>
      <c r="S511" s="64">
        <v>34782</v>
      </c>
      <c r="T511" s="22">
        <v>5</v>
      </c>
      <c r="U511" s="64">
        <f t="shared" si="126"/>
        <v>1739.1000000000001</v>
      </c>
      <c r="V511" s="22">
        <v>0</v>
      </c>
      <c r="W511" s="22">
        <v>84370</v>
      </c>
      <c r="X511" s="62" t="s">
        <v>1448</v>
      </c>
      <c r="Y511" s="62">
        <v>58164464783</v>
      </c>
      <c r="Z511" s="62" t="s">
        <v>1112</v>
      </c>
      <c r="AA511" s="65">
        <v>4</v>
      </c>
      <c r="AB511" s="66"/>
      <c r="AC511" s="1" t="s">
        <v>13</v>
      </c>
      <c r="AD511" s="62" t="str">
        <f>VLOOKUP(X511,'Customer List'!B:C,2,)</f>
        <v>Hyderabad</v>
      </c>
      <c r="AE511" s="67"/>
      <c r="AF511" s="6">
        <v>46132</v>
      </c>
      <c r="AG511" s="62">
        <f t="shared" si="127"/>
        <v>2</v>
      </c>
      <c r="AH511" s="62" t="str">
        <f t="shared" si="128"/>
        <v>Friday</v>
      </c>
      <c r="AI511" s="62" t="str">
        <f t="shared" si="129"/>
        <v>Monday</v>
      </c>
      <c r="AJ511" s="62" t="str">
        <f>VLOOKUP(AC511,'Currency Sheet'!A:C,3,)</f>
        <v>DOLLAR</v>
      </c>
      <c r="AK511" s="62" t="str">
        <f>VLOOKUP(X511,'Customer List'!B:D,3,)</f>
        <v>OutStation</v>
      </c>
    </row>
    <row r="512" spans="1:37" hidden="1" x14ac:dyDescent="0.25">
      <c r="A512" s="62">
        <f t="shared" si="122"/>
        <v>498</v>
      </c>
      <c r="B512" s="62" t="s">
        <v>824</v>
      </c>
      <c r="C512" s="62" t="s">
        <v>1457</v>
      </c>
      <c r="D512" s="6">
        <v>46112</v>
      </c>
      <c r="E512" s="6">
        <v>46128</v>
      </c>
      <c r="F512" s="63">
        <v>58.1</v>
      </c>
      <c r="G512" s="64">
        <f t="shared" si="123"/>
        <v>5112.8</v>
      </c>
      <c r="H512" s="64">
        <f t="shared" si="124"/>
        <v>5112.8</v>
      </c>
      <c r="I512" s="70">
        <v>116105</v>
      </c>
      <c r="J512" s="62" t="s">
        <v>1476</v>
      </c>
      <c r="K512" s="8" t="s">
        <v>1477</v>
      </c>
      <c r="L512" s="10">
        <v>48546</v>
      </c>
      <c r="M512" s="62">
        <v>1</v>
      </c>
      <c r="N512" s="8">
        <v>1</v>
      </c>
      <c r="O512" s="62">
        <f t="shared" si="125"/>
        <v>0</v>
      </c>
      <c r="P512" s="70">
        <v>101</v>
      </c>
      <c r="Q512" s="71">
        <v>46129</v>
      </c>
      <c r="R512" s="6">
        <v>46129</v>
      </c>
      <c r="S512" s="64">
        <v>8748</v>
      </c>
      <c r="T512" s="22">
        <v>5</v>
      </c>
      <c r="U512" s="64">
        <f t="shared" si="126"/>
        <v>437.40000000000003</v>
      </c>
      <c r="V512" s="22">
        <v>-0.25</v>
      </c>
      <c r="W512" s="22">
        <v>37406</v>
      </c>
      <c r="X512" s="62" t="s">
        <v>1365</v>
      </c>
      <c r="Y512" s="62" t="s">
        <v>1668</v>
      </c>
      <c r="Z512" s="62" t="s">
        <v>1112</v>
      </c>
      <c r="AA512" s="65">
        <v>4</v>
      </c>
      <c r="AB512" s="66"/>
      <c r="AC512" s="1" t="s">
        <v>13</v>
      </c>
      <c r="AD512" s="62" t="str">
        <f>VLOOKUP(X512,'Customer List'!B:C,2,)</f>
        <v>Punjab</v>
      </c>
      <c r="AE512" s="67"/>
      <c r="AF512" s="6">
        <v>46133</v>
      </c>
      <c r="AG512" s="62">
        <f t="shared" si="127"/>
        <v>4</v>
      </c>
      <c r="AH512" s="62" t="str">
        <f t="shared" si="128"/>
        <v>Thursday</v>
      </c>
      <c r="AI512" s="62" t="str">
        <f t="shared" si="129"/>
        <v>Tuesday</v>
      </c>
      <c r="AJ512" s="62" t="str">
        <f>VLOOKUP(AC512,'Currency Sheet'!A:C,3,)</f>
        <v>DOLLAR</v>
      </c>
      <c r="AK512" s="62" t="str">
        <f>VLOOKUP(X512,'Customer List'!B:D,3,)</f>
        <v>OutStation</v>
      </c>
    </row>
    <row r="513" spans="1:37" hidden="1" x14ac:dyDescent="0.25">
      <c r="A513" s="62">
        <f t="shared" si="122"/>
        <v>499</v>
      </c>
      <c r="B513" s="62" t="s">
        <v>824</v>
      </c>
      <c r="C513" s="62" t="s">
        <v>1457</v>
      </c>
      <c r="D513" s="6">
        <v>46112</v>
      </c>
      <c r="E513" s="6">
        <v>46128</v>
      </c>
      <c r="F513" s="63">
        <v>67.2</v>
      </c>
      <c r="G513" s="64">
        <f t="shared" si="123"/>
        <v>5913.6</v>
      </c>
      <c r="H513" s="64">
        <f t="shared" si="124"/>
        <v>5913.6</v>
      </c>
      <c r="I513" s="70">
        <v>116605</v>
      </c>
      <c r="J513" s="62" t="s">
        <v>1478</v>
      </c>
      <c r="K513" s="8" t="s">
        <v>1479</v>
      </c>
      <c r="L513" s="10">
        <v>48378</v>
      </c>
      <c r="M513" s="62">
        <v>1</v>
      </c>
      <c r="N513" s="8">
        <v>1</v>
      </c>
      <c r="O513" s="62">
        <f t="shared" si="125"/>
        <v>0</v>
      </c>
      <c r="P513" s="70" t="s">
        <v>1862</v>
      </c>
      <c r="Q513" s="71">
        <v>46132</v>
      </c>
      <c r="R513" s="6">
        <v>46132</v>
      </c>
      <c r="S513" s="64">
        <v>10416</v>
      </c>
      <c r="T513" s="22">
        <v>5</v>
      </c>
      <c r="U513" s="64">
        <f t="shared" si="126"/>
        <v>520.80000000000007</v>
      </c>
      <c r="V513" s="22">
        <v>0</v>
      </c>
      <c r="W513" s="22">
        <v>181483</v>
      </c>
      <c r="X513" s="62" t="s">
        <v>1589</v>
      </c>
      <c r="Y513" s="62" t="s">
        <v>1120</v>
      </c>
      <c r="Z513" s="62" t="s">
        <v>1863</v>
      </c>
      <c r="AA513" s="65">
        <v>4</v>
      </c>
      <c r="AB513" s="66"/>
      <c r="AC513" s="1" t="s">
        <v>13</v>
      </c>
      <c r="AD513" s="62" t="str">
        <f>VLOOKUP(X513,'Customer List'!B:C,2,)</f>
        <v>Delhi</v>
      </c>
      <c r="AE513" s="67"/>
      <c r="AF513" s="6"/>
      <c r="AG513" s="62" t="str">
        <f t="shared" si="127"/>
        <v/>
      </c>
      <c r="AH513" s="62" t="str">
        <f t="shared" si="128"/>
        <v>Saturday</v>
      </c>
      <c r="AI513" s="62" t="str">
        <f t="shared" si="129"/>
        <v/>
      </c>
      <c r="AJ513" s="62" t="str">
        <f>VLOOKUP(AC513,'Currency Sheet'!A:C,3,)</f>
        <v>DOLLAR</v>
      </c>
      <c r="AK513" s="62" t="str">
        <f>VLOOKUP(X513,'Customer List'!B:D,3,)</f>
        <v>Local</v>
      </c>
    </row>
    <row r="514" spans="1:37" hidden="1" x14ac:dyDescent="0.25">
      <c r="A514" s="62">
        <f t="shared" ref="A514:A577" si="130">A513+1</f>
        <v>500</v>
      </c>
      <c r="B514" s="62" t="s">
        <v>824</v>
      </c>
      <c r="C514" s="62" t="s">
        <v>1457</v>
      </c>
      <c r="D514" s="6">
        <v>46112</v>
      </c>
      <c r="E514" s="6">
        <v>46128</v>
      </c>
      <c r="F514" s="63">
        <v>132</v>
      </c>
      <c r="G514" s="64">
        <f t="shared" si="123"/>
        <v>11616</v>
      </c>
      <c r="H514" s="64">
        <f t="shared" si="124"/>
        <v>11616</v>
      </c>
      <c r="I514" s="70">
        <v>117337</v>
      </c>
      <c r="J514" s="62" t="s">
        <v>1480</v>
      </c>
      <c r="K514" s="8" t="s">
        <v>1481</v>
      </c>
      <c r="L514" s="10">
        <v>47007</v>
      </c>
      <c r="M514" s="62">
        <v>1</v>
      </c>
      <c r="N514" s="8">
        <v>1</v>
      </c>
      <c r="O514" s="62">
        <f t="shared" si="125"/>
        <v>0</v>
      </c>
      <c r="P514" s="70">
        <v>117</v>
      </c>
      <c r="Q514" s="71">
        <v>46129</v>
      </c>
      <c r="R514" s="6">
        <v>46130</v>
      </c>
      <c r="S514" s="64">
        <v>18277.599999999999</v>
      </c>
      <c r="T514" s="22">
        <v>5</v>
      </c>
      <c r="U514" s="64">
        <f t="shared" si="126"/>
        <v>913.88</v>
      </c>
      <c r="V514" s="22">
        <v>0</v>
      </c>
      <c r="W514" s="22">
        <v>747050</v>
      </c>
      <c r="X514" s="62" t="s">
        <v>1366</v>
      </c>
      <c r="Y514" s="62">
        <v>58164467126</v>
      </c>
      <c r="Z514" s="62" t="s">
        <v>1112</v>
      </c>
      <c r="AA514" s="65">
        <v>4</v>
      </c>
      <c r="AB514" s="66"/>
      <c r="AC514" s="1" t="s">
        <v>13</v>
      </c>
      <c r="AD514" s="62" t="str">
        <f>VLOOKUP(X514,'Customer List'!B:C,2,)</f>
        <v>Lucknow</v>
      </c>
      <c r="AE514" s="67"/>
      <c r="AF514" s="6">
        <v>46133</v>
      </c>
      <c r="AG514" s="62">
        <f t="shared" si="127"/>
        <v>3</v>
      </c>
      <c r="AH514" s="62" t="str">
        <f t="shared" si="128"/>
        <v>Saturday</v>
      </c>
      <c r="AI514" s="62" t="str">
        <f t="shared" si="129"/>
        <v>Tuesday</v>
      </c>
      <c r="AJ514" s="62" t="str">
        <f>VLOOKUP(AC514,'Currency Sheet'!A:C,3,)</f>
        <v>DOLLAR</v>
      </c>
      <c r="AK514" s="62" t="str">
        <f>VLOOKUP(X514,'Customer List'!B:D,3,)</f>
        <v>OutStation</v>
      </c>
    </row>
    <row r="515" spans="1:37" hidden="1" x14ac:dyDescent="0.25">
      <c r="A515" s="62">
        <f t="shared" si="130"/>
        <v>501</v>
      </c>
      <c r="B515" s="62" t="s">
        <v>824</v>
      </c>
      <c r="C515" s="62" t="s">
        <v>1457</v>
      </c>
      <c r="D515" s="6">
        <v>46112</v>
      </c>
      <c r="E515" s="6">
        <v>46128</v>
      </c>
      <c r="F515" s="63">
        <v>71.400000000000006</v>
      </c>
      <c r="G515" s="64">
        <f t="shared" si="123"/>
        <v>6283.2000000000007</v>
      </c>
      <c r="H515" s="64">
        <f t="shared" si="124"/>
        <v>6283.2000000000007</v>
      </c>
      <c r="I515" s="70">
        <v>118205</v>
      </c>
      <c r="J515" s="62" t="s">
        <v>1482</v>
      </c>
      <c r="K515" s="8" t="s">
        <v>1483</v>
      </c>
      <c r="L515" s="10">
        <v>46853</v>
      </c>
      <c r="M515" s="62">
        <v>1</v>
      </c>
      <c r="N515" s="8">
        <v>1</v>
      </c>
      <c r="O515" s="62">
        <f t="shared" si="125"/>
        <v>0</v>
      </c>
      <c r="P515" s="70">
        <v>101</v>
      </c>
      <c r="Q515" s="71">
        <v>46129</v>
      </c>
      <c r="R515" s="6">
        <v>46129</v>
      </c>
      <c r="S515" s="64">
        <v>10751</v>
      </c>
      <c r="T515" s="22">
        <v>5</v>
      </c>
      <c r="U515" s="64">
        <f t="shared" si="126"/>
        <v>537.55000000000007</v>
      </c>
      <c r="V515" s="22">
        <v>0</v>
      </c>
      <c r="W515" s="22">
        <v>37406</v>
      </c>
      <c r="X515" s="62" t="s">
        <v>1365</v>
      </c>
      <c r="Y515" s="62" t="s">
        <v>1668</v>
      </c>
      <c r="Z515" s="62" t="s">
        <v>1112</v>
      </c>
      <c r="AA515" s="65">
        <v>4</v>
      </c>
      <c r="AB515" s="66"/>
      <c r="AC515" s="1" t="s">
        <v>13</v>
      </c>
      <c r="AD515" s="62" t="str">
        <f>VLOOKUP(X515,'Customer List'!B:C,2,)</f>
        <v>Punjab</v>
      </c>
      <c r="AE515" s="67"/>
      <c r="AF515" s="6">
        <v>46133</v>
      </c>
      <c r="AG515" s="62">
        <f t="shared" si="127"/>
        <v>4</v>
      </c>
      <c r="AH515" s="62" t="str">
        <f t="shared" si="128"/>
        <v>Friday</v>
      </c>
      <c r="AI515" s="62" t="str">
        <f t="shared" si="129"/>
        <v>Tuesday</v>
      </c>
      <c r="AJ515" s="62" t="str">
        <f>VLOOKUP(AC515,'Currency Sheet'!A:C,3,)</f>
        <v>DOLLAR</v>
      </c>
      <c r="AK515" s="62" t="str">
        <f>VLOOKUP(X515,'Customer List'!B:D,3,)</f>
        <v>OutStation</v>
      </c>
    </row>
    <row r="516" spans="1:37" hidden="1" x14ac:dyDescent="0.25">
      <c r="A516" s="62">
        <f t="shared" si="130"/>
        <v>502</v>
      </c>
      <c r="B516" s="62" t="s">
        <v>824</v>
      </c>
      <c r="C516" s="62" t="s">
        <v>1457</v>
      </c>
      <c r="D516" s="6">
        <v>46112</v>
      </c>
      <c r="E516" s="6">
        <v>46128</v>
      </c>
      <c r="F516" s="63">
        <v>202.5</v>
      </c>
      <c r="G516" s="64">
        <f t="shared" si="123"/>
        <v>17820</v>
      </c>
      <c r="H516" s="64">
        <f t="shared" si="124"/>
        <v>17820</v>
      </c>
      <c r="I516" s="70">
        <v>121525</v>
      </c>
      <c r="J516" s="62" t="s">
        <v>1484</v>
      </c>
      <c r="K516" s="8" t="s">
        <v>1485</v>
      </c>
      <c r="L516" s="10">
        <v>46340</v>
      </c>
      <c r="M516" s="62">
        <v>1</v>
      </c>
      <c r="N516" s="8">
        <v>1</v>
      </c>
      <c r="O516" s="62">
        <f t="shared" si="125"/>
        <v>0</v>
      </c>
      <c r="P516" s="70">
        <v>99</v>
      </c>
      <c r="Q516" s="71">
        <v>46129</v>
      </c>
      <c r="R516" s="6">
        <v>46130</v>
      </c>
      <c r="S516" s="64">
        <v>25110</v>
      </c>
      <c r="T516" s="22">
        <v>5</v>
      </c>
      <c r="U516" s="64">
        <f t="shared" si="126"/>
        <v>1255.5</v>
      </c>
      <c r="V516" s="22">
        <v>0.5</v>
      </c>
      <c r="W516" s="22">
        <v>26366</v>
      </c>
      <c r="X516" s="62" t="s">
        <v>1448</v>
      </c>
      <c r="Y516" s="62">
        <v>58164464783</v>
      </c>
      <c r="Z516" s="62" t="s">
        <v>1112</v>
      </c>
      <c r="AA516" s="65">
        <v>4</v>
      </c>
      <c r="AB516" s="66"/>
      <c r="AC516" s="1" t="s">
        <v>13</v>
      </c>
      <c r="AD516" s="62" t="str">
        <f>VLOOKUP(X516,'Customer List'!B:C,2,)</f>
        <v>Hyderabad</v>
      </c>
      <c r="AE516" s="67"/>
      <c r="AF516" s="6">
        <v>46132</v>
      </c>
      <c r="AG516" s="62">
        <f t="shared" si="127"/>
        <v>2</v>
      </c>
      <c r="AH516" s="62" t="str">
        <f t="shared" si="128"/>
        <v>Sunday</v>
      </c>
      <c r="AI516" s="62" t="str">
        <f t="shared" si="129"/>
        <v>Monday</v>
      </c>
      <c r="AJ516" s="62" t="str">
        <f>VLOOKUP(AC516,'Currency Sheet'!A:C,3,)</f>
        <v>DOLLAR</v>
      </c>
      <c r="AK516" s="62" t="str">
        <f>VLOOKUP(X516,'Customer List'!B:D,3,)</f>
        <v>OutStation</v>
      </c>
    </row>
    <row r="517" spans="1:37" hidden="1" x14ac:dyDescent="0.25">
      <c r="A517" s="62">
        <f t="shared" si="130"/>
        <v>503</v>
      </c>
      <c r="B517" s="62" t="s">
        <v>824</v>
      </c>
      <c r="C517" s="62" t="s">
        <v>1457</v>
      </c>
      <c r="D517" s="6">
        <v>46112</v>
      </c>
      <c r="E517" s="6">
        <v>46128</v>
      </c>
      <c r="F517" s="63">
        <v>41.3</v>
      </c>
      <c r="G517" s="64">
        <f t="shared" si="123"/>
        <v>3634.3999999999996</v>
      </c>
      <c r="H517" s="64">
        <f t="shared" si="124"/>
        <v>3634.3999999999996</v>
      </c>
      <c r="I517" s="70">
        <v>122501</v>
      </c>
      <c r="J517" s="62" t="s">
        <v>1193</v>
      </c>
      <c r="K517" s="8" t="s">
        <v>1486</v>
      </c>
      <c r="L517" s="10">
        <v>46624</v>
      </c>
      <c r="M517" s="62">
        <v>1</v>
      </c>
      <c r="N517" s="8">
        <v>1</v>
      </c>
      <c r="O517" s="62">
        <f t="shared" si="125"/>
        <v>0</v>
      </c>
      <c r="P517" s="70">
        <v>117</v>
      </c>
      <c r="Q517" s="71">
        <v>46129</v>
      </c>
      <c r="R517" s="6">
        <v>46130</v>
      </c>
      <c r="S517" s="64">
        <v>6127.15</v>
      </c>
      <c r="T517" s="22">
        <v>5</v>
      </c>
      <c r="U517" s="64">
        <f t="shared" si="126"/>
        <v>306.35750000000002</v>
      </c>
      <c r="V517" s="22">
        <v>0</v>
      </c>
      <c r="W517" s="22">
        <v>747050</v>
      </c>
      <c r="X517" s="62" t="s">
        <v>1366</v>
      </c>
      <c r="Y517" s="62">
        <v>58164467126</v>
      </c>
      <c r="Z517" s="62" t="s">
        <v>1112</v>
      </c>
      <c r="AA517" s="65">
        <v>4</v>
      </c>
      <c r="AB517" s="66"/>
      <c r="AC517" s="1" t="s">
        <v>13</v>
      </c>
      <c r="AD517" s="62" t="str">
        <f>VLOOKUP(X517,'Customer List'!B:C,2,)</f>
        <v>Lucknow</v>
      </c>
      <c r="AE517" s="67"/>
      <c r="AF517" s="6">
        <v>46133</v>
      </c>
      <c r="AG517" s="62">
        <f t="shared" si="127"/>
        <v>3</v>
      </c>
      <c r="AH517" s="62" t="str">
        <f t="shared" si="128"/>
        <v>Monday</v>
      </c>
      <c r="AI517" s="62" t="str">
        <f t="shared" si="129"/>
        <v>Tuesday</v>
      </c>
      <c r="AJ517" s="62" t="str">
        <f>VLOOKUP(AC517,'Currency Sheet'!A:C,3,)</f>
        <v>DOLLAR</v>
      </c>
      <c r="AK517" s="62" t="str">
        <f>VLOOKUP(X517,'Customer List'!B:D,3,)</f>
        <v>OutStation</v>
      </c>
    </row>
    <row r="518" spans="1:37" hidden="1" x14ac:dyDescent="0.25">
      <c r="A518" s="62">
        <f t="shared" si="130"/>
        <v>504</v>
      </c>
      <c r="B518" s="62" t="s">
        <v>824</v>
      </c>
      <c r="C518" s="62" t="s">
        <v>1457</v>
      </c>
      <c r="D518" s="6">
        <v>46112</v>
      </c>
      <c r="E518" s="6">
        <v>46128</v>
      </c>
      <c r="F518" s="63">
        <v>100.1</v>
      </c>
      <c r="G518" s="64">
        <f t="shared" si="123"/>
        <v>8808.7999999999993</v>
      </c>
      <c r="H518" s="64">
        <f t="shared" si="124"/>
        <v>35235.199999999997</v>
      </c>
      <c r="I518" s="70">
        <v>123116</v>
      </c>
      <c r="J518" s="62" t="s">
        <v>1487</v>
      </c>
      <c r="K518" s="8" t="s">
        <v>1488</v>
      </c>
      <c r="L518" s="10">
        <v>47640</v>
      </c>
      <c r="M518" s="62">
        <v>4</v>
      </c>
      <c r="N518" s="8">
        <v>4</v>
      </c>
      <c r="O518" s="62">
        <f t="shared" si="125"/>
        <v>0</v>
      </c>
      <c r="P518" s="70">
        <v>117</v>
      </c>
      <c r="Q518" s="71">
        <v>46129</v>
      </c>
      <c r="R518" s="6">
        <v>46130</v>
      </c>
      <c r="S518" s="64">
        <v>59402.2</v>
      </c>
      <c r="T518" s="22">
        <v>5</v>
      </c>
      <c r="U518" s="64">
        <f t="shared" si="126"/>
        <v>2970.11</v>
      </c>
      <c r="V518" s="22">
        <v>0</v>
      </c>
      <c r="W518" s="22">
        <v>747050</v>
      </c>
      <c r="X518" s="62" t="s">
        <v>1366</v>
      </c>
      <c r="Y518" s="62">
        <v>58164467126</v>
      </c>
      <c r="Z518" s="62" t="s">
        <v>1112</v>
      </c>
      <c r="AA518" s="65">
        <v>4</v>
      </c>
      <c r="AB518" s="66"/>
      <c r="AC518" s="1" t="s">
        <v>13</v>
      </c>
      <c r="AD518" s="62" t="str">
        <f>VLOOKUP(X518,'Customer List'!B:C,2,)</f>
        <v>Lucknow</v>
      </c>
      <c r="AE518" s="67"/>
      <c r="AF518" s="6">
        <v>46133</v>
      </c>
      <c r="AG518" s="62">
        <f t="shared" si="127"/>
        <v>3</v>
      </c>
      <c r="AH518" s="62" t="str">
        <f t="shared" si="128"/>
        <v>Saturday</v>
      </c>
      <c r="AI518" s="62" t="str">
        <f t="shared" si="129"/>
        <v>Tuesday</v>
      </c>
      <c r="AJ518" s="62" t="str">
        <f>VLOOKUP(AC518,'Currency Sheet'!A:C,3,)</f>
        <v>DOLLAR</v>
      </c>
      <c r="AK518" s="62" t="str">
        <f>VLOOKUP(X518,'Customer List'!B:D,3,)</f>
        <v>OutStation</v>
      </c>
    </row>
    <row r="519" spans="1:37" hidden="1" x14ac:dyDescent="0.25">
      <c r="A519" s="62">
        <f t="shared" si="130"/>
        <v>505</v>
      </c>
      <c r="B519" s="62" t="s">
        <v>824</v>
      </c>
      <c r="C519" s="62" t="s">
        <v>1457</v>
      </c>
      <c r="D519" s="6">
        <v>46112</v>
      </c>
      <c r="E519" s="6">
        <v>46128</v>
      </c>
      <c r="F519" s="63">
        <v>985.6</v>
      </c>
      <c r="G519" s="64">
        <f t="shared" si="123"/>
        <v>86732.800000000003</v>
      </c>
      <c r="H519" s="64">
        <f t="shared" si="124"/>
        <v>86732.800000000003</v>
      </c>
      <c r="I519" s="70">
        <v>127650</v>
      </c>
      <c r="J519" s="62" t="s">
        <v>1206</v>
      </c>
      <c r="K519" s="8" t="s">
        <v>1489</v>
      </c>
      <c r="L519" s="10">
        <v>48477</v>
      </c>
      <c r="M519" s="62">
        <v>1</v>
      </c>
      <c r="N519" s="8">
        <v>1</v>
      </c>
      <c r="O519" s="62">
        <f t="shared" si="125"/>
        <v>0</v>
      </c>
      <c r="P519" s="70">
        <v>117</v>
      </c>
      <c r="Q519" s="71">
        <v>46129</v>
      </c>
      <c r="R519" s="6">
        <v>46130</v>
      </c>
      <c r="S519" s="64">
        <v>146220.79999999999</v>
      </c>
      <c r="T519" s="22">
        <v>5</v>
      </c>
      <c r="U519" s="64">
        <f t="shared" si="126"/>
        <v>7311.04</v>
      </c>
      <c r="V519" s="22">
        <v>0</v>
      </c>
      <c r="W519" s="22">
        <v>747050</v>
      </c>
      <c r="X519" s="62" t="s">
        <v>1366</v>
      </c>
      <c r="Y519" s="62">
        <v>58164467126</v>
      </c>
      <c r="Z519" s="62" t="s">
        <v>1112</v>
      </c>
      <c r="AA519" s="65">
        <v>4</v>
      </c>
      <c r="AB519" s="66"/>
      <c r="AC519" s="1" t="s">
        <v>13</v>
      </c>
      <c r="AD519" s="62" t="str">
        <f>VLOOKUP(X519,'Customer List'!B:C,2,)</f>
        <v>Lucknow</v>
      </c>
      <c r="AE519" s="67"/>
      <c r="AF519" s="6">
        <v>46133</v>
      </c>
      <c r="AG519" s="62">
        <f t="shared" si="127"/>
        <v>3</v>
      </c>
      <c r="AH519" s="62" t="str">
        <f t="shared" si="128"/>
        <v>Wednesday</v>
      </c>
      <c r="AI519" s="62" t="str">
        <f t="shared" si="129"/>
        <v>Tuesday</v>
      </c>
      <c r="AJ519" s="62" t="str">
        <f>VLOOKUP(AC519,'Currency Sheet'!A:C,3,)</f>
        <v>DOLLAR</v>
      </c>
      <c r="AK519" s="62" t="str">
        <f>VLOOKUP(X519,'Customer List'!B:D,3,)</f>
        <v>OutStation</v>
      </c>
    </row>
    <row r="520" spans="1:37" hidden="1" x14ac:dyDescent="0.25">
      <c r="A520" s="62">
        <f t="shared" si="130"/>
        <v>506</v>
      </c>
      <c r="B520" s="62" t="s">
        <v>824</v>
      </c>
      <c r="C520" s="62" t="s">
        <v>1457</v>
      </c>
      <c r="D520" s="6">
        <v>46112</v>
      </c>
      <c r="E520" s="6">
        <v>46128</v>
      </c>
      <c r="F520" s="63">
        <v>234.5</v>
      </c>
      <c r="G520" s="64">
        <f t="shared" si="123"/>
        <v>20636</v>
      </c>
      <c r="H520" s="64">
        <f t="shared" si="124"/>
        <v>20636</v>
      </c>
      <c r="I520" s="70">
        <v>128610</v>
      </c>
      <c r="J520" s="62" t="s">
        <v>1210</v>
      </c>
      <c r="K520" s="8" t="s">
        <v>1490</v>
      </c>
      <c r="L520" s="10">
        <v>46778</v>
      </c>
      <c r="M520" s="62">
        <v>1</v>
      </c>
      <c r="N520" s="8">
        <v>1</v>
      </c>
      <c r="O520" s="62">
        <f t="shared" si="125"/>
        <v>0</v>
      </c>
      <c r="P520" s="70" t="s">
        <v>1612</v>
      </c>
      <c r="Q520" s="71">
        <v>46128</v>
      </c>
      <c r="R520" s="6">
        <v>46128</v>
      </c>
      <c r="S520" s="64">
        <v>41540</v>
      </c>
      <c r="T520" s="22">
        <v>5</v>
      </c>
      <c r="U520" s="64">
        <f t="shared" si="126"/>
        <v>2077</v>
      </c>
      <c r="V520" s="22">
        <v>0</v>
      </c>
      <c r="W520" s="22">
        <v>492026</v>
      </c>
      <c r="X520" s="62" t="s">
        <v>1094</v>
      </c>
      <c r="Y520" s="62" t="s">
        <v>1105</v>
      </c>
      <c r="Z520" s="62" t="s">
        <v>1105</v>
      </c>
      <c r="AA520" s="65">
        <v>4</v>
      </c>
      <c r="AB520" s="66"/>
      <c r="AC520" s="1" t="s">
        <v>13</v>
      </c>
      <c r="AD520" s="62" t="str">
        <f>VLOOKUP(X520,'Customer List'!B:C,2,)</f>
        <v>Delhi</v>
      </c>
      <c r="AE520" s="67" t="s">
        <v>821</v>
      </c>
      <c r="AF520" s="6"/>
      <c r="AG520" s="62" t="str">
        <f t="shared" si="127"/>
        <v/>
      </c>
      <c r="AH520" s="62" t="str">
        <f t="shared" si="128"/>
        <v>Monday</v>
      </c>
      <c r="AI520" s="62" t="str">
        <f t="shared" si="129"/>
        <v/>
      </c>
      <c r="AJ520" s="62" t="str">
        <f>VLOOKUP(AC520,'Currency Sheet'!A:C,3,)</f>
        <v>DOLLAR</v>
      </c>
      <c r="AK520" s="62" t="str">
        <f>VLOOKUP(X520,'Customer List'!B:D,3,)</f>
        <v>Local</v>
      </c>
    </row>
    <row r="521" spans="1:37" hidden="1" x14ac:dyDescent="0.25">
      <c r="A521" s="62">
        <f t="shared" si="130"/>
        <v>507</v>
      </c>
      <c r="B521" s="62" t="s">
        <v>824</v>
      </c>
      <c r="C521" s="62" t="s">
        <v>1457</v>
      </c>
      <c r="D521" s="6">
        <v>46112</v>
      </c>
      <c r="E521" s="6">
        <v>46128</v>
      </c>
      <c r="F521" s="63">
        <v>205.1</v>
      </c>
      <c r="G521" s="64">
        <f t="shared" si="123"/>
        <v>18048.8</v>
      </c>
      <c r="H521" s="64">
        <f t="shared" si="124"/>
        <v>18048.8</v>
      </c>
      <c r="I521" s="70">
        <v>130002</v>
      </c>
      <c r="J521" s="62" t="s">
        <v>1491</v>
      </c>
      <c r="K521" s="8" t="s">
        <v>1492</v>
      </c>
      <c r="L521" s="10">
        <v>47981</v>
      </c>
      <c r="M521" s="62">
        <v>1</v>
      </c>
      <c r="N521" s="8">
        <v>1</v>
      </c>
      <c r="O521" s="62">
        <f t="shared" si="125"/>
        <v>0</v>
      </c>
      <c r="P521" s="70">
        <v>117</v>
      </c>
      <c r="Q521" s="71">
        <v>46129</v>
      </c>
      <c r="R521" s="6">
        <v>46130</v>
      </c>
      <c r="S521" s="64">
        <v>30428.05</v>
      </c>
      <c r="T521" s="22">
        <v>5</v>
      </c>
      <c r="U521" s="64">
        <f t="shared" si="126"/>
        <v>1521.4025000000001</v>
      </c>
      <c r="V521" s="22">
        <v>0</v>
      </c>
      <c r="W521" s="22">
        <v>747050</v>
      </c>
      <c r="X521" s="62" t="s">
        <v>1366</v>
      </c>
      <c r="Y521" s="62">
        <v>58164467126</v>
      </c>
      <c r="Z521" s="62" t="s">
        <v>1112</v>
      </c>
      <c r="AA521" s="65">
        <v>4</v>
      </c>
      <c r="AB521" s="66"/>
      <c r="AC521" s="1" t="s">
        <v>13</v>
      </c>
      <c r="AD521" s="62" t="str">
        <f>VLOOKUP(X521,'Customer List'!B:C,2,)</f>
        <v>Lucknow</v>
      </c>
      <c r="AE521" s="67"/>
      <c r="AF521" s="6">
        <v>46133</v>
      </c>
      <c r="AG521" s="62">
        <f t="shared" si="127"/>
        <v>3</v>
      </c>
      <c r="AH521" s="62" t="str">
        <f t="shared" si="128"/>
        <v>Friday</v>
      </c>
      <c r="AI521" s="62" t="str">
        <f t="shared" si="129"/>
        <v>Tuesday</v>
      </c>
      <c r="AJ521" s="62" t="str">
        <f>VLOOKUP(AC521,'Currency Sheet'!A:C,3,)</f>
        <v>DOLLAR</v>
      </c>
      <c r="AK521" s="62" t="str">
        <f>VLOOKUP(X521,'Customer List'!B:D,3,)</f>
        <v>OutStation</v>
      </c>
    </row>
    <row r="522" spans="1:37" hidden="1" x14ac:dyDescent="0.25">
      <c r="A522" s="62">
        <f t="shared" si="130"/>
        <v>508</v>
      </c>
      <c r="B522" s="62" t="s">
        <v>824</v>
      </c>
      <c r="C522" s="62" t="s">
        <v>1457</v>
      </c>
      <c r="D522" s="6">
        <v>46112</v>
      </c>
      <c r="E522" s="6">
        <v>46128</v>
      </c>
      <c r="F522" s="63">
        <v>267.39999999999998</v>
      </c>
      <c r="G522" s="64">
        <f t="shared" ref="G522:G585" si="131">IF(AJ522="DOLLAR",F522*88,F522)</f>
        <v>23531.199999999997</v>
      </c>
      <c r="H522" s="64">
        <f t="shared" ref="H522:H585" si="132">G522*M522</f>
        <v>23531.199999999997</v>
      </c>
      <c r="I522" s="70">
        <v>130010</v>
      </c>
      <c r="J522" s="62" t="s">
        <v>1491</v>
      </c>
      <c r="K522" s="8" t="s">
        <v>1493</v>
      </c>
      <c r="L522" s="10">
        <v>47534</v>
      </c>
      <c r="M522" s="62">
        <v>1</v>
      </c>
      <c r="N522" s="8">
        <v>1</v>
      </c>
      <c r="O522" s="62">
        <f t="shared" ref="O522:O585" si="133">M522-N522</f>
        <v>0</v>
      </c>
      <c r="P522" s="70">
        <v>117</v>
      </c>
      <c r="Q522" s="71">
        <v>46129</v>
      </c>
      <c r="R522" s="6">
        <v>46130</v>
      </c>
      <c r="S522" s="64">
        <v>39670.699999999997</v>
      </c>
      <c r="T522" s="22">
        <v>5</v>
      </c>
      <c r="U522" s="64">
        <f t="shared" ref="U522:U585" si="134">S522*T522%</f>
        <v>1983.5349999999999</v>
      </c>
      <c r="V522" s="22">
        <v>0</v>
      </c>
      <c r="W522" s="22">
        <v>747050</v>
      </c>
      <c r="X522" s="62" t="s">
        <v>1366</v>
      </c>
      <c r="Y522" s="62">
        <v>58164467126</v>
      </c>
      <c r="Z522" s="62" t="s">
        <v>1112</v>
      </c>
      <c r="AA522" s="65">
        <v>4</v>
      </c>
      <c r="AB522" s="66"/>
      <c r="AC522" s="1" t="s">
        <v>13</v>
      </c>
      <c r="AD522" s="62" t="str">
        <f>VLOOKUP(X522,'Customer List'!B:C,2,)</f>
        <v>Lucknow</v>
      </c>
      <c r="AE522" s="67"/>
      <c r="AF522" s="6">
        <v>46133</v>
      </c>
      <c r="AG522" s="62">
        <f t="shared" ref="AG522:AG585" si="135">IF(AF522="", "", AF522-R522)</f>
        <v>3</v>
      </c>
      <c r="AH522" s="62" t="str">
        <f t="shared" ref="AH522:AH585" si="136">IF(S522="", "", TEXT(S522, "dddd"))</f>
        <v>Sunday</v>
      </c>
      <c r="AI522" s="62" t="str">
        <f t="shared" si="129"/>
        <v>Tuesday</v>
      </c>
      <c r="AJ522" s="62" t="str">
        <f>VLOOKUP(AC522,'Currency Sheet'!A:C,3,)</f>
        <v>DOLLAR</v>
      </c>
      <c r="AK522" s="62" t="str">
        <f>VLOOKUP(X522,'Customer List'!B:D,3,)</f>
        <v>OutStation</v>
      </c>
    </row>
    <row r="523" spans="1:37" hidden="1" x14ac:dyDescent="0.25">
      <c r="A523" s="62">
        <f t="shared" si="130"/>
        <v>509</v>
      </c>
      <c r="B523" s="62" t="s">
        <v>824</v>
      </c>
      <c r="C523" s="62" t="s">
        <v>1457</v>
      </c>
      <c r="D523" s="6">
        <v>46112</v>
      </c>
      <c r="E523" s="6">
        <v>46128</v>
      </c>
      <c r="F523" s="63">
        <v>219</v>
      </c>
      <c r="G523" s="64">
        <f t="shared" si="131"/>
        <v>19272</v>
      </c>
      <c r="H523" s="64">
        <f t="shared" si="132"/>
        <v>19272</v>
      </c>
      <c r="I523" s="70">
        <v>134019</v>
      </c>
      <c r="J523" s="62" t="s">
        <v>932</v>
      </c>
      <c r="K523" s="8" t="s">
        <v>1494</v>
      </c>
      <c r="L523" s="10">
        <v>47057</v>
      </c>
      <c r="M523" s="62">
        <v>1</v>
      </c>
      <c r="N523" s="8">
        <v>1</v>
      </c>
      <c r="O523" s="62">
        <f t="shared" si="133"/>
        <v>0</v>
      </c>
      <c r="P523" s="70" t="s">
        <v>1616</v>
      </c>
      <c r="Q523" s="71">
        <v>46129</v>
      </c>
      <c r="R523" s="6">
        <v>46129</v>
      </c>
      <c r="S523" s="64">
        <v>0</v>
      </c>
      <c r="T523" s="22">
        <v>0</v>
      </c>
      <c r="U523" s="64">
        <f t="shared" si="134"/>
        <v>0</v>
      </c>
      <c r="V523" s="22">
        <v>0</v>
      </c>
      <c r="W523" s="22">
        <v>0</v>
      </c>
      <c r="X523" s="62" t="s">
        <v>1591</v>
      </c>
      <c r="Y523" s="62" t="s">
        <v>1105</v>
      </c>
      <c r="Z523" s="62" t="s">
        <v>1105</v>
      </c>
      <c r="AA523" s="65">
        <v>4</v>
      </c>
      <c r="AB523" s="66" t="s">
        <v>1617</v>
      </c>
      <c r="AC523" s="1" t="s">
        <v>13</v>
      </c>
      <c r="AD523" s="62" t="str">
        <f>VLOOKUP(X523,'Customer List'!B:C,2,)</f>
        <v>Noida</v>
      </c>
      <c r="AE523" s="67" t="s">
        <v>211</v>
      </c>
      <c r="AF523" s="6"/>
      <c r="AG523" s="62" t="str">
        <f t="shared" si="135"/>
        <v/>
      </c>
      <c r="AH523" s="62" t="str">
        <f t="shared" si="136"/>
        <v>Saturday</v>
      </c>
      <c r="AI523" s="62" t="str">
        <f t="shared" si="129"/>
        <v/>
      </c>
      <c r="AJ523" s="62" t="str">
        <f>VLOOKUP(AC523,'Currency Sheet'!A:C,3,)</f>
        <v>DOLLAR</v>
      </c>
      <c r="AK523" s="62" t="str">
        <f>VLOOKUP(X523,'Customer List'!B:D,3,)</f>
        <v>Local</v>
      </c>
    </row>
    <row r="524" spans="1:37" hidden="1" x14ac:dyDescent="0.25">
      <c r="A524" s="62">
        <f t="shared" si="130"/>
        <v>510</v>
      </c>
      <c r="B524" s="62" t="s">
        <v>824</v>
      </c>
      <c r="C524" s="62" t="s">
        <v>1457</v>
      </c>
      <c r="D524" s="6">
        <v>46112</v>
      </c>
      <c r="E524" s="6">
        <v>46128</v>
      </c>
      <c r="F524" s="63">
        <v>207.2</v>
      </c>
      <c r="G524" s="64">
        <f t="shared" si="131"/>
        <v>18233.599999999999</v>
      </c>
      <c r="H524" s="64">
        <f t="shared" si="132"/>
        <v>18233.599999999999</v>
      </c>
      <c r="I524" s="70">
        <v>141708</v>
      </c>
      <c r="J524" s="62" t="s">
        <v>1495</v>
      </c>
      <c r="K524" s="8" t="s">
        <v>1496</v>
      </c>
      <c r="L524" s="10">
        <v>47493</v>
      </c>
      <c r="M524" s="62">
        <v>1</v>
      </c>
      <c r="N524" s="8">
        <v>1</v>
      </c>
      <c r="O524" s="62">
        <f t="shared" si="133"/>
        <v>0</v>
      </c>
      <c r="P524" s="70">
        <v>97</v>
      </c>
      <c r="Q524" s="71">
        <v>46129</v>
      </c>
      <c r="R524" s="6">
        <v>46129</v>
      </c>
      <c r="S524" s="64">
        <v>29008</v>
      </c>
      <c r="T524" s="22">
        <v>5</v>
      </c>
      <c r="U524" s="64">
        <f t="shared" si="134"/>
        <v>1450.4</v>
      </c>
      <c r="V524" s="22">
        <v>-0.4</v>
      </c>
      <c r="W524" s="22">
        <v>30458</v>
      </c>
      <c r="X524" s="62" t="s">
        <v>20</v>
      </c>
      <c r="Y524" s="62" t="s">
        <v>1105</v>
      </c>
      <c r="Z524" s="62" t="s">
        <v>1105</v>
      </c>
      <c r="AA524" s="65">
        <v>4</v>
      </c>
      <c r="AB524" s="66"/>
      <c r="AC524" s="1" t="s">
        <v>13</v>
      </c>
      <c r="AD524" s="62" t="str">
        <f>VLOOKUP(X524,'Customer List'!B:C,2,)</f>
        <v>Delhi</v>
      </c>
      <c r="AE524" s="67"/>
      <c r="AF524" s="6"/>
      <c r="AG524" s="62" t="str">
        <f t="shared" si="135"/>
        <v/>
      </c>
      <c r="AH524" s="62" t="str">
        <f t="shared" si="136"/>
        <v>Saturday</v>
      </c>
      <c r="AI524" s="62" t="str">
        <f t="shared" si="129"/>
        <v/>
      </c>
      <c r="AJ524" s="62" t="str">
        <f>VLOOKUP(AC524,'Currency Sheet'!A:C,3,)</f>
        <v>DOLLAR</v>
      </c>
      <c r="AK524" s="62" t="str">
        <f>VLOOKUP(X524,'Customer List'!B:D,3,)</f>
        <v>Local</v>
      </c>
    </row>
    <row r="525" spans="1:37" hidden="1" x14ac:dyDescent="0.25">
      <c r="A525" s="62">
        <f t="shared" si="130"/>
        <v>511</v>
      </c>
      <c r="B525" s="62" t="s">
        <v>824</v>
      </c>
      <c r="C525" s="62" t="s">
        <v>1457</v>
      </c>
      <c r="D525" s="6">
        <v>46112</v>
      </c>
      <c r="E525" s="6">
        <v>46128</v>
      </c>
      <c r="F525" s="63">
        <v>197.4</v>
      </c>
      <c r="G525" s="64">
        <f t="shared" si="131"/>
        <v>17371.2</v>
      </c>
      <c r="H525" s="64">
        <f t="shared" si="132"/>
        <v>17371.2</v>
      </c>
      <c r="I525" s="70">
        <v>142432</v>
      </c>
      <c r="J525" s="62" t="s">
        <v>1497</v>
      </c>
      <c r="K525" s="8" t="s">
        <v>1498</v>
      </c>
      <c r="L525" s="10">
        <v>47404</v>
      </c>
      <c r="M525" s="62">
        <v>1</v>
      </c>
      <c r="N525" s="8">
        <v>1</v>
      </c>
      <c r="O525" s="62">
        <f t="shared" si="133"/>
        <v>0</v>
      </c>
      <c r="P525" s="70">
        <v>122</v>
      </c>
      <c r="Q525" s="71">
        <v>46129</v>
      </c>
      <c r="R525" s="6">
        <v>46130</v>
      </c>
      <c r="S525" s="64">
        <v>21420.720000000001</v>
      </c>
      <c r="T525" s="22">
        <v>5</v>
      </c>
      <c r="U525" s="64">
        <f t="shared" si="134"/>
        <v>1071.0360000000001</v>
      </c>
      <c r="V525" s="22">
        <v>0.24</v>
      </c>
      <c r="W525" s="22">
        <v>22492</v>
      </c>
      <c r="X525" s="62" t="s">
        <v>802</v>
      </c>
      <c r="Y525" s="62">
        <v>58164463232</v>
      </c>
      <c r="Z525" s="62" t="s">
        <v>1112</v>
      </c>
      <c r="AA525" s="65">
        <v>4</v>
      </c>
      <c r="AB525" s="66"/>
      <c r="AC525" s="1" t="s">
        <v>13</v>
      </c>
      <c r="AD525" s="62" t="str">
        <f>VLOOKUP(X525,'Customer List'!B:C,2,)</f>
        <v>Pune</v>
      </c>
      <c r="AE525" s="67"/>
      <c r="AF525" s="6">
        <v>46132</v>
      </c>
      <c r="AG525" s="62">
        <f t="shared" si="135"/>
        <v>2</v>
      </c>
      <c r="AH525" s="62" t="str">
        <f t="shared" si="136"/>
        <v>Saturday</v>
      </c>
      <c r="AI525" s="62" t="str">
        <f t="shared" si="129"/>
        <v>Monday</v>
      </c>
      <c r="AJ525" s="62" t="str">
        <f>VLOOKUP(AC525,'Currency Sheet'!A:C,3,)</f>
        <v>DOLLAR</v>
      </c>
      <c r="AK525" s="62" t="str">
        <f>VLOOKUP(X525,'Customer List'!B:D,3,)</f>
        <v>OutStation</v>
      </c>
    </row>
    <row r="526" spans="1:37" hidden="1" x14ac:dyDescent="0.25">
      <c r="A526" s="62">
        <f t="shared" si="130"/>
        <v>512</v>
      </c>
      <c r="B526" s="62" t="s">
        <v>824</v>
      </c>
      <c r="C526" s="62" t="s">
        <v>1457</v>
      </c>
      <c r="D526" s="6">
        <v>46112</v>
      </c>
      <c r="E526" s="6">
        <v>46128</v>
      </c>
      <c r="F526" s="63">
        <v>217.7</v>
      </c>
      <c r="G526" s="64">
        <f t="shared" si="131"/>
        <v>19157.599999999999</v>
      </c>
      <c r="H526" s="64">
        <f t="shared" si="132"/>
        <v>19157.599999999999</v>
      </c>
      <c r="I526" s="70">
        <v>144904</v>
      </c>
      <c r="J526" s="62" t="s">
        <v>1499</v>
      </c>
      <c r="K526" s="8" t="s">
        <v>1500</v>
      </c>
      <c r="L526" s="10">
        <v>47639</v>
      </c>
      <c r="M526" s="62">
        <v>1</v>
      </c>
      <c r="N526" s="8">
        <v>1</v>
      </c>
      <c r="O526" s="62">
        <f t="shared" si="133"/>
        <v>0</v>
      </c>
      <c r="P526" s="70" t="s">
        <v>1862</v>
      </c>
      <c r="Q526" s="71">
        <v>46132</v>
      </c>
      <c r="R526" s="6">
        <v>46132</v>
      </c>
      <c r="S526" s="64">
        <v>33743.5</v>
      </c>
      <c r="T526" s="22">
        <v>5</v>
      </c>
      <c r="U526" s="64">
        <f t="shared" si="134"/>
        <v>1687.1750000000002</v>
      </c>
      <c r="V526" s="22">
        <v>0</v>
      </c>
      <c r="W526" s="22">
        <v>181483</v>
      </c>
      <c r="X526" s="62" t="s">
        <v>1589</v>
      </c>
      <c r="Y526" s="62" t="s">
        <v>1120</v>
      </c>
      <c r="Z526" s="62" t="s">
        <v>1863</v>
      </c>
      <c r="AA526" s="65">
        <v>4</v>
      </c>
      <c r="AB526" s="66"/>
      <c r="AC526" s="1" t="s">
        <v>13</v>
      </c>
      <c r="AD526" s="62" t="str">
        <f>VLOOKUP(X526,'Customer List'!B:C,2,)</f>
        <v>Delhi</v>
      </c>
      <c r="AE526" s="67"/>
      <c r="AF526" s="6"/>
      <c r="AG526" s="62" t="str">
        <f t="shared" si="135"/>
        <v/>
      </c>
      <c r="AH526" s="62" t="str">
        <f t="shared" si="136"/>
        <v>Tuesday</v>
      </c>
      <c r="AI526" s="62" t="str">
        <f t="shared" si="129"/>
        <v/>
      </c>
      <c r="AJ526" s="62" t="str">
        <f>VLOOKUP(AC526,'Currency Sheet'!A:C,3,)</f>
        <v>DOLLAR</v>
      </c>
      <c r="AK526" s="62" t="str">
        <f>VLOOKUP(X526,'Customer List'!B:D,3,)</f>
        <v>Local</v>
      </c>
    </row>
    <row r="527" spans="1:37" hidden="1" x14ac:dyDescent="0.25">
      <c r="A527" s="62">
        <f t="shared" si="130"/>
        <v>513</v>
      </c>
      <c r="B527" s="62" t="s">
        <v>824</v>
      </c>
      <c r="C527" s="62" t="s">
        <v>1457</v>
      </c>
      <c r="D527" s="6">
        <v>46112</v>
      </c>
      <c r="E527" s="6">
        <v>46128</v>
      </c>
      <c r="F527" s="63">
        <v>219</v>
      </c>
      <c r="G527" s="64">
        <f t="shared" si="131"/>
        <v>19272</v>
      </c>
      <c r="H527" s="64">
        <f t="shared" si="132"/>
        <v>19272</v>
      </c>
      <c r="I527" s="70">
        <v>148222</v>
      </c>
      <c r="J527" s="62" t="s">
        <v>1501</v>
      </c>
      <c r="K527" s="8" t="s">
        <v>1502</v>
      </c>
      <c r="L527" s="10">
        <v>46838</v>
      </c>
      <c r="M527" s="62">
        <v>1</v>
      </c>
      <c r="N527" s="8">
        <v>1</v>
      </c>
      <c r="O527" s="62">
        <f t="shared" si="133"/>
        <v>0</v>
      </c>
      <c r="P527" s="70" t="s">
        <v>1862</v>
      </c>
      <c r="Q527" s="71">
        <v>46132</v>
      </c>
      <c r="R527" s="6">
        <v>46132</v>
      </c>
      <c r="S527" s="64">
        <v>31682</v>
      </c>
      <c r="T527" s="22">
        <v>5</v>
      </c>
      <c r="U527" s="64">
        <f t="shared" si="134"/>
        <v>1584.1000000000001</v>
      </c>
      <c r="V527" s="22">
        <v>0</v>
      </c>
      <c r="W527" s="22">
        <v>181483</v>
      </c>
      <c r="X527" s="62" t="s">
        <v>1589</v>
      </c>
      <c r="Y527" s="62" t="s">
        <v>1120</v>
      </c>
      <c r="Z527" s="62" t="s">
        <v>1863</v>
      </c>
      <c r="AA527" s="65">
        <v>4</v>
      </c>
      <c r="AB527" s="66"/>
      <c r="AC527" s="1" t="s">
        <v>13</v>
      </c>
      <c r="AD527" s="62" t="str">
        <f>VLOOKUP(X527,'Customer List'!B:C,2,)</f>
        <v>Delhi</v>
      </c>
      <c r="AE527" s="67"/>
      <c r="AF527" s="6"/>
      <c r="AG527" s="62" t="str">
        <f t="shared" si="135"/>
        <v/>
      </c>
      <c r="AH527" s="62" t="str">
        <f t="shared" si="136"/>
        <v>Saturday</v>
      </c>
      <c r="AI527" s="62" t="str">
        <f t="shared" si="129"/>
        <v/>
      </c>
      <c r="AJ527" s="62" t="str">
        <f>VLOOKUP(AC527,'Currency Sheet'!A:C,3,)</f>
        <v>DOLLAR</v>
      </c>
      <c r="AK527" s="62" t="str">
        <f>VLOOKUP(X527,'Customer List'!B:D,3,)</f>
        <v>Local</v>
      </c>
    </row>
    <row r="528" spans="1:37" hidden="1" x14ac:dyDescent="0.25">
      <c r="A528" s="62">
        <f t="shared" si="130"/>
        <v>514</v>
      </c>
      <c r="B528" s="62" t="s">
        <v>824</v>
      </c>
      <c r="C528" s="62" t="s">
        <v>1457</v>
      </c>
      <c r="D528" s="6">
        <v>46112</v>
      </c>
      <c r="E528" s="6">
        <v>46128</v>
      </c>
      <c r="F528" s="63">
        <v>120.4</v>
      </c>
      <c r="G528" s="64">
        <f t="shared" si="131"/>
        <v>10595.2</v>
      </c>
      <c r="H528" s="64">
        <f t="shared" si="132"/>
        <v>10595.2</v>
      </c>
      <c r="I528" s="70">
        <v>154711</v>
      </c>
      <c r="J528" s="62" t="s">
        <v>1503</v>
      </c>
      <c r="K528" s="8" t="s">
        <v>1504</v>
      </c>
      <c r="L528" s="10">
        <v>46610</v>
      </c>
      <c r="M528" s="62">
        <v>1</v>
      </c>
      <c r="N528" s="8">
        <v>1</v>
      </c>
      <c r="O528" s="62">
        <f t="shared" si="133"/>
        <v>0</v>
      </c>
      <c r="P528" s="70" t="s">
        <v>2248</v>
      </c>
      <c r="Q528" s="71">
        <v>46144</v>
      </c>
      <c r="R528" s="6">
        <v>46144</v>
      </c>
      <c r="S528" s="64">
        <v>0</v>
      </c>
      <c r="T528" s="22">
        <v>5</v>
      </c>
      <c r="U528" s="64">
        <f t="shared" si="134"/>
        <v>0</v>
      </c>
      <c r="V528" s="22">
        <v>0</v>
      </c>
      <c r="W528" s="22">
        <v>0</v>
      </c>
      <c r="X528" s="62" t="s">
        <v>800</v>
      </c>
      <c r="Y528" s="62" t="s">
        <v>1120</v>
      </c>
      <c r="Z528" s="62" t="s">
        <v>1863</v>
      </c>
      <c r="AA528" s="65">
        <v>4</v>
      </c>
      <c r="AB528" s="66" t="s">
        <v>2249</v>
      </c>
      <c r="AC528" s="1" t="s">
        <v>13</v>
      </c>
      <c r="AD528" s="62" t="str">
        <f>VLOOKUP(X528,'Customer List'!B:C,2,)</f>
        <v>Delhi</v>
      </c>
      <c r="AE528" s="67" t="s">
        <v>821</v>
      </c>
      <c r="AF528" s="6"/>
      <c r="AG528" s="62" t="str">
        <f t="shared" si="135"/>
        <v/>
      </c>
      <c r="AH528" s="62" t="str">
        <f t="shared" si="136"/>
        <v>Saturday</v>
      </c>
      <c r="AI528" s="62" t="str">
        <f t="shared" si="129"/>
        <v/>
      </c>
      <c r="AJ528" s="62" t="str">
        <f>VLOOKUP(AC528,'Currency Sheet'!A:C,3,)</f>
        <v>DOLLAR</v>
      </c>
      <c r="AK528" s="62" t="str">
        <f>VLOOKUP(X528,'Customer List'!B:D,3,)</f>
        <v>Local</v>
      </c>
    </row>
    <row r="529" spans="1:37" hidden="1" x14ac:dyDescent="0.25">
      <c r="A529" s="62">
        <f t="shared" si="130"/>
        <v>515</v>
      </c>
      <c r="B529" s="62" t="s">
        <v>824</v>
      </c>
      <c r="C529" s="62" t="s">
        <v>1457</v>
      </c>
      <c r="D529" s="6">
        <v>46112</v>
      </c>
      <c r="E529" s="6">
        <v>46128</v>
      </c>
      <c r="F529" s="63">
        <v>279.3</v>
      </c>
      <c r="G529" s="64">
        <f t="shared" si="131"/>
        <v>24578.400000000001</v>
      </c>
      <c r="H529" s="64">
        <f t="shared" si="132"/>
        <v>24578.400000000001</v>
      </c>
      <c r="I529" s="70">
        <v>156708</v>
      </c>
      <c r="J529" s="62" t="s">
        <v>1505</v>
      </c>
      <c r="K529" s="8" t="s">
        <v>1506</v>
      </c>
      <c r="L529" s="10">
        <v>47231</v>
      </c>
      <c r="M529" s="62">
        <v>1</v>
      </c>
      <c r="N529" s="8">
        <v>1</v>
      </c>
      <c r="O529" s="62">
        <f t="shared" si="133"/>
        <v>0</v>
      </c>
      <c r="P529" s="70">
        <v>117</v>
      </c>
      <c r="Q529" s="71">
        <v>46129</v>
      </c>
      <c r="R529" s="6">
        <v>46130</v>
      </c>
      <c r="S529" s="64">
        <v>41436.15</v>
      </c>
      <c r="T529" s="22">
        <v>5</v>
      </c>
      <c r="U529" s="64">
        <f t="shared" si="134"/>
        <v>2071.8075000000003</v>
      </c>
      <c r="V529" s="22">
        <v>0</v>
      </c>
      <c r="W529" s="22">
        <v>747050</v>
      </c>
      <c r="X529" s="62" t="s">
        <v>1366</v>
      </c>
      <c r="Y529" s="62">
        <v>58164467126</v>
      </c>
      <c r="Z529" s="62" t="s">
        <v>1112</v>
      </c>
      <c r="AA529" s="65">
        <v>4</v>
      </c>
      <c r="AB529" s="66"/>
      <c r="AC529" s="1" t="s">
        <v>13</v>
      </c>
      <c r="AD529" s="62" t="str">
        <f>VLOOKUP(X529,'Customer List'!B:C,2,)</f>
        <v>Lucknow</v>
      </c>
      <c r="AE529" s="67"/>
      <c r="AF529" s="6">
        <v>46133</v>
      </c>
      <c r="AG529" s="62">
        <f t="shared" si="135"/>
        <v>3</v>
      </c>
      <c r="AH529" s="62" t="str">
        <f t="shared" si="136"/>
        <v>Tuesday</v>
      </c>
      <c r="AI529" s="62" t="str">
        <f t="shared" si="129"/>
        <v>Tuesday</v>
      </c>
      <c r="AJ529" s="62" t="str">
        <f>VLOOKUP(AC529,'Currency Sheet'!A:C,3,)</f>
        <v>DOLLAR</v>
      </c>
      <c r="AK529" s="62" t="str">
        <f>VLOOKUP(X529,'Customer List'!B:D,3,)</f>
        <v>OutStation</v>
      </c>
    </row>
    <row r="530" spans="1:37" hidden="1" x14ac:dyDescent="0.25">
      <c r="A530" s="62">
        <f t="shared" si="130"/>
        <v>516</v>
      </c>
      <c r="B530" s="62" t="s">
        <v>824</v>
      </c>
      <c r="C530" s="62" t="s">
        <v>1457</v>
      </c>
      <c r="D530" s="6">
        <v>46112</v>
      </c>
      <c r="E530" s="6">
        <v>46128</v>
      </c>
      <c r="F530" s="63">
        <v>107.1</v>
      </c>
      <c r="G530" s="64">
        <f t="shared" si="131"/>
        <v>9424.7999999999993</v>
      </c>
      <c r="H530" s="64">
        <f t="shared" si="132"/>
        <v>9424.7999999999993</v>
      </c>
      <c r="I530" s="70">
        <v>164302</v>
      </c>
      <c r="J530" s="62" t="s">
        <v>1507</v>
      </c>
      <c r="K530" s="8" t="s">
        <v>1508</v>
      </c>
      <c r="L530" s="10">
        <v>47691</v>
      </c>
      <c r="M530" s="62">
        <v>1</v>
      </c>
      <c r="N530" s="8">
        <v>1</v>
      </c>
      <c r="O530" s="62">
        <f t="shared" si="133"/>
        <v>0</v>
      </c>
      <c r="P530" s="70">
        <v>101</v>
      </c>
      <c r="Q530" s="71">
        <v>46129</v>
      </c>
      <c r="R530" s="6">
        <v>46129</v>
      </c>
      <c r="S530" s="64">
        <v>16126</v>
      </c>
      <c r="T530" s="22">
        <v>5</v>
      </c>
      <c r="U530" s="64">
        <f t="shared" si="134"/>
        <v>806.30000000000007</v>
      </c>
      <c r="V530" s="22">
        <v>0</v>
      </c>
      <c r="W530" s="22">
        <v>37406</v>
      </c>
      <c r="X530" s="62" t="s">
        <v>1365</v>
      </c>
      <c r="Y530" s="62" t="s">
        <v>1668</v>
      </c>
      <c r="Z530" s="62" t="s">
        <v>1112</v>
      </c>
      <c r="AA530" s="65">
        <v>4</v>
      </c>
      <c r="AB530" s="66"/>
      <c r="AC530" s="1" t="s">
        <v>13</v>
      </c>
      <c r="AD530" s="62" t="str">
        <f>VLOOKUP(X530,'Customer List'!B:C,2,)</f>
        <v>Punjab</v>
      </c>
      <c r="AE530" s="67"/>
      <c r="AF530" s="6">
        <v>46133</v>
      </c>
      <c r="AG530" s="62">
        <f t="shared" si="135"/>
        <v>4</v>
      </c>
      <c r="AH530" s="62" t="str">
        <f t="shared" si="136"/>
        <v>Thursday</v>
      </c>
      <c r="AI530" s="62" t="str">
        <f t="shared" si="129"/>
        <v>Tuesday</v>
      </c>
      <c r="AJ530" s="62" t="str">
        <f>VLOOKUP(AC530,'Currency Sheet'!A:C,3,)</f>
        <v>DOLLAR</v>
      </c>
      <c r="AK530" s="62" t="str">
        <f>VLOOKUP(X530,'Customer List'!B:D,3,)</f>
        <v>OutStation</v>
      </c>
    </row>
    <row r="531" spans="1:37" hidden="1" x14ac:dyDescent="0.25">
      <c r="A531" s="62">
        <f t="shared" si="130"/>
        <v>517</v>
      </c>
      <c r="B531" s="62" t="s">
        <v>824</v>
      </c>
      <c r="C531" s="62" t="s">
        <v>1457</v>
      </c>
      <c r="D531" s="6">
        <v>46112</v>
      </c>
      <c r="E531" s="6">
        <v>46128</v>
      </c>
      <c r="F531" s="63">
        <v>234.5</v>
      </c>
      <c r="G531" s="64">
        <f t="shared" si="131"/>
        <v>20636</v>
      </c>
      <c r="H531" s="64">
        <f t="shared" si="132"/>
        <v>82544</v>
      </c>
      <c r="I531" s="70">
        <v>300428</v>
      </c>
      <c r="J531" s="62" t="s">
        <v>749</v>
      </c>
      <c r="K531" s="8" t="s">
        <v>1509</v>
      </c>
      <c r="L531" s="10">
        <v>46913</v>
      </c>
      <c r="M531" s="62">
        <v>4</v>
      </c>
      <c r="N531" s="8">
        <v>4</v>
      </c>
      <c r="O531" s="62">
        <f t="shared" si="133"/>
        <v>0</v>
      </c>
      <c r="P531" s="70">
        <v>108</v>
      </c>
      <c r="Q531" s="71">
        <v>46129</v>
      </c>
      <c r="R531" s="6">
        <v>46130</v>
      </c>
      <c r="S531" s="64">
        <v>127300</v>
      </c>
      <c r="T531" s="22">
        <v>5</v>
      </c>
      <c r="U531" s="64">
        <f t="shared" si="134"/>
        <v>6365</v>
      </c>
      <c r="V531" s="22">
        <v>0.5</v>
      </c>
      <c r="W531" s="22">
        <v>227231</v>
      </c>
      <c r="X531" s="62" t="s">
        <v>902</v>
      </c>
      <c r="Y531" s="62">
        <v>58164466544</v>
      </c>
      <c r="Z531" s="62" t="s">
        <v>1112</v>
      </c>
      <c r="AA531" s="65">
        <v>4</v>
      </c>
      <c r="AB531" s="66"/>
      <c r="AC531" s="1" t="s">
        <v>13</v>
      </c>
      <c r="AD531" s="62" t="str">
        <f>VLOOKUP(X531,'Customer List'!B:C,2,)</f>
        <v>Hyderabad</v>
      </c>
      <c r="AE531" s="67"/>
      <c r="AF531" s="6">
        <v>46132</v>
      </c>
      <c r="AG531" s="62">
        <f t="shared" si="135"/>
        <v>2</v>
      </c>
      <c r="AH531" s="62" t="str">
        <f t="shared" si="136"/>
        <v>Thursday</v>
      </c>
      <c r="AI531" s="62" t="str">
        <f t="shared" si="129"/>
        <v>Monday</v>
      </c>
      <c r="AJ531" s="62" t="str">
        <f>VLOOKUP(AC531,'Currency Sheet'!A:C,3,)</f>
        <v>DOLLAR</v>
      </c>
      <c r="AK531" s="62" t="str">
        <f>VLOOKUP(X531,'Customer List'!B:D,3,)</f>
        <v>OutStation</v>
      </c>
    </row>
    <row r="532" spans="1:37" hidden="1" x14ac:dyDescent="0.25">
      <c r="A532" s="62">
        <f t="shared" si="130"/>
        <v>518</v>
      </c>
      <c r="B532" s="62" t="s">
        <v>824</v>
      </c>
      <c r="C532" s="62" t="s">
        <v>1457</v>
      </c>
      <c r="D532" s="6">
        <v>46112</v>
      </c>
      <c r="E532" s="6">
        <v>46128</v>
      </c>
      <c r="F532" s="63">
        <v>50.4</v>
      </c>
      <c r="G532" s="64">
        <f t="shared" si="131"/>
        <v>4435.2</v>
      </c>
      <c r="H532" s="64">
        <f t="shared" si="132"/>
        <v>17740.8</v>
      </c>
      <c r="I532" s="70">
        <v>300514</v>
      </c>
      <c r="J532" s="62" t="s">
        <v>744</v>
      </c>
      <c r="K532" s="8" t="s">
        <v>1510</v>
      </c>
      <c r="L532" s="10">
        <v>46593</v>
      </c>
      <c r="M532" s="62">
        <v>4</v>
      </c>
      <c r="N532" s="8">
        <v>4</v>
      </c>
      <c r="O532" s="62">
        <f t="shared" si="133"/>
        <v>0</v>
      </c>
      <c r="P532" s="70">
        <v>108</v>
      </c>
      <c r="Q532" s="71">
        <v>46129</v>
      </c>
      <c r="R532" s="6">
        <v>46130</v>
      </c>
      <c r="S532" s="64">
        <v>27360</v>
      </c>
      <c r="T532" s="22">
        <v>5</v>
      </c>
      <c r="U532" s="64">
        <f t="shared" si="134"/>
        <v>1368</v>
      </c>
      <c r="V532" s="22">
        <v>0</v>
      </c>
      <c r="W532" s="22">
        <v>227231</v>
      </c>
      <c r="X532" s="62" t="s">
        <v>902</v>
      </c>
      <c r="Y532" s="62">
        <v>58164466544</v>
      </c>
      <c r="Z532" s="62" t="s">
        <v>1112</v>
      </c>
      <c r="AA532" s="65">
        <v>4</v>
      </c>
      <c r="AB532" s="66"/>
      <c r="AC532" s="1" t="s">
        <v>13</v>
      </c>
      <c r="AD532" s="62" t="str">
        <f>VLOOKUP(X532,'Customer List'!B:C,2,)</f>
        <v>Hyderabad</v>
      </c>
      <c r="AE532" s="67"/>
      <c r="AF532" s="6">
        <v>46132</v>
      </c>
      <c r="AG532" s="62">
        <f t="shared" si="135"/>
        <v>2</v>
      </c>
      <c r="AH532" s="62" t="str">
        <f t="shared" si="136"/>
        <v>Wednesday</v>
      </c>
      <c r="AI532" s="62" t="str">
        <f t="shared" si="129"/>
        <v>Monday</v>
      </c>
      <c r="AJ532" s="62" t="str">
        <f>VLOOKUP(AC532,'Currency Sheet'!A:C,3,)</f>
        <v>DOLLAR</v>
      </c>
      <c r="AK532" s="62" t="str">
        <f>VLOOKUP(X532,'Customer List'!B:D,3,)</f>
        <v>OutStation</v>
      </c>
    </row>
    <row r="533" spans="1:37" hidden="1" x14ac:dyDescent="0.25">
      <c r="A533" s="62">
        <f t="shared" si="130"/>
        <v>519</v>
      </c>
      <c r="B533" s="62" t="s">
        <v>824</v>
      </c>
      <c r="C533" s="62" t="s">
        <v>1457</v>
      </c>
      <c r="D533" s="6">
        <v>46112</v>
      </c>
      <c r="E533" s="6">
        <v>46128</v>
      </c>
      <c r="F533" s="63">
        <v>38.5</v>
      </c>
      <c r="G533" s="64">
        <f t="shared" si="131"/>
        <v>3388</v>
      </c>
      <c r="H533" s="64">
        <f t="shared" si="132"/>
        <v>3388</v>
      </c>
      <c r="I533" s="70">
        <v>300906</v>
      </c>
      <c r="J533" s="62" t="s">
        <v>763</v>
      </c>
      <c r="K533" s="8" t="s">
        <v>1511</v>
      </c>
      <c r="L533" s="10">
        <v>47290</v>
      </c>
      <c r="M533" s="62">
        <v>1</v>
      </c>
      <c r="N533" s="8">
        <v>1</v>
      </c>
      <c r="O533" s="62">
        <f t="shared" si="133"/>
        <v>0</v>
      </c>
      <c r="P533" s="70">
        <v>114</v>
      </c>
      <c r="Q533" s="71">
        <v>46129</v>
      </c>
      <c r="R533" s="6">
        <v>46129</v>
      </c>
      <c r="S533" s="64">
        <v>5967.5</v>
      </c>
      <c r="T533" s="22">
        <v>5</v>
      </c>
      <c r="U533" s="64">
        <f t="shared" si="134"/>
        <v>298.375</v>
      </c>
      <c r="V533" s="22">
        <v>0</v>
      </c>
      <c r="W533" s="22">
        <v>190483</v>
      </c>
      <c r="X533" s="62" t="s">
        <v>1590</v>
      </c>
      <c r="Y533" s="62" t="s">
        <v>1669</v>
      </c>
      <c r="Z533" s="62" t="s">
        <v>1112</v>
      </c>
      <c r="AA533" s="65">
        <v>4</v>
      </c>
      <c r="AB533" s="66"/>
      <c r="AC533" s="1" t="s">
        <v>13</v>
      </c>
      <c r="AD533" s="62" t="str">
        <f>VLOOKUP(X533,'Customer List'!B:C,2,)</f>
        <v>Chandigarh</v>
      </c>
      <c r="AE533" s="67"/>
      <c r="AF533" s="6"/>
      <c r="AG533" s="62" t="str">
        <f t="shared" si="135"/>
        <v/>
      </c>
      <c r="AH533" s="62" t="str">
        <f t="shared" si="136"/>
        <v>Tuesday</v>
      </c>
      <c r="AI533" s="62" t="str">
        <f t="shared" si="129"/>
        <v/>
      </c>
      <c r="AJ533" s="62" t="str">
        <f>VLOOKUP(AC533,'Currency Sheet'!A:C,3,)</f>
        <v>DOLLAR</v>
      </c>
      <c r="AK533" s="62" t="str">
        <f>VLOOKUP(X533,'Customer List'!B:D,3,)</f>
        <v>OutStation</v>
      </c>
    </row>
    <row r="534" spans="1:37" hidden="1" x14ac:dyDescent="0.25">
      <c r="A534" s="62">
        <f t="shared" si="130"/>
        <v>520</v>
      </c>
      <c r="B534" s="62" t="s">
        <v>824</v>
      </c>
      <c r="C534" s="62" t="s">
        <v>1457</v>
      </c>
      <c r="D534" s="6">
        <v>46112</v>
      </c>
      <c r="E534" s="6">
        <v>46128</v>
      </c>
      <c r="F534" s="63">
        <v>326.25</v>
      </c>
      <c r="G534" s="64">
        <f t="shared" si="131"/>
        <v>28710</v>
      </c>
      <c r="H534" s="64">
        <f t="shared" si="132"/>
        <v>28710</v>
      </c>
      <c r="I534" s="70">
        <v>301334</v>
      </c>
      <c r="J534" s="62" t="s">
        <v>1512</v>
      </c>
      <c r="K534" s="8" t="s">
        <v>1513</v>
      </c>
      <c r="L534" s="10">
        <v>46895</v>
      </c>
      <c r="M534" s="62">
        <v>1</v>
      </c>
      <c r="N534" s="8">
        <v>1</v>
      </c>
      <c r="O534" s="62">
        <f t="shared" si="133"/>
        <v>0</v>
      </c>
      <c r="P534" s="70" t="s">
        <v>1612</v>
      </c>
      <c r="Q534" s="71">
        <v>46128</v>
      </c>
      <c r="R534" s="6">
        <v>46128</v>
      </c>
      <c r="S534" s="64">
        <v>53940</v>
      </c>
      <c r="T534" s="22">
        <v>5</v>
      </c>
      <c r="U534" s="64">
        <f t="shared" si="134"/>
        <v>2697</v>
      </c>
      <c r="V534" s="22">
        <v>0</v>
      </c>
      <c r="W534" s="22">
        <v>492026</v>
      </c>
      <c r="X534" s="62" t="s">
        <v>1094</v>
      </c>
      <c r="Y534" s="62" t="s">
        <v>1105</v>
      </c>
      <c r="Z534" s="62" t="s">
        <v>1105</v>
      </c>
      <c r="AA534" s="65">
        <v>4</v>
      </c>
      <c r="AB534" s="66"/>
      <c r="AC534" s="1" t="s">
        <v>13</v>
      </c>
      <c r="AD534" s="62" t="str">
        <f>VLOOKUP(X534,'Customer List'!B:C,2,)</f>
        <v>Delhi</v>
      </c>
      <c r="AE534" s="67" t="s">
        <v>821</v>
      </c>
      <c r="AF534" s="6"/>
      <c r="AG534" s="62" t="str">
        <f t="shared" si="135"/>
        <v/>
      </c>
      <c r="AH534" s="62" t="str">
        <f t="shared" si="136"/>
        <v>Thursday</v>
      </c>
      <c r="AI534" s="62" t="str">
        <f t="shared" si="129"/>
        <v/>
      </c>
      <c r="AJ534" s="62" t="str">
        <f>VLOOKUP(AC534,'Currency Sheet'!A:C,3,)</f>
        <v>DOLLAR</v>
      </c>
      <c r="AK534" s="62" t="str">
        <f>VLOOKUP(X534,'Customer List'!B:D,3,)</f>
        <v>Local</v>
      </c>
    </row>
    <row r="535" spans="1:37" hidden="1" x14ac:dyDescent="0.25">
      <c r="A535" s="62">
        <f t="shared" si="130"/>
        <v>521</v>
      </c>
      <c r="B535" s="62" t="s">
        <v>824</v>
      </c>
      <c r="C535" s="62" t="s">
        <v>1457</v>
      </c>
      <c r="D535" s="6">
        <v>46112</v>
      </c>
      <c r="E535" s="6">
        <v>46128</v>
      </c>
      <c r="F535" s="63">
        <v>204.4</v>
      </c>
      <c r="G535" s="64">
        <f t="shared" si="131"/>
        <v>17987.2</v>
      </c>
      <c r="H535" s="64">
        <f t="shared" si="132"/>
        <v>17987.2</v>
      </c>
      <c r="I535" s="70">
        <v>302612</v>
      </c>
      <c r="J535" s="62" t="s">
        <v>751</v>
      </c>
      <c r="K535" s="8" t="s">
        <v>1514</v>
      </c>
      <c r="L535" s="10">
        <v>46712</v>
      </c>
      <c r="M535" s="62">
        <v>1</v>
      </c>
      <c r="N535" s="8">
        <v>1</v>
      </c>
      <c r="O535" s="62">
        <f t="shared" si="133"/>
        <v>0</v>
      </c>
      <c r="P535" s="70">
        <v>114</v>
      </c>
      <c r="Q535" s="71">
        <v>46129</v>
      </c>
      <c r="R535" s="6">
        <v>46129</v>
      </c>
      <c r="S535" s="64">
        <v>31682</v>
      </c>
      <c r="T535" s="22">
        <v>5</v>
      </c>
      <c r="U535" s="64">
        <f t="shared" si="134"/>
        <v>1584.1000000000001</v>
      </c>
      <c r="V535" s="22">
        <v>0</v>
      </c>
      <c r="W535" s="22">
        <v>190483</v>
      </c>
      <c r="X535" s="62" t="s">
        <v>1590</v>
      </c>
      <c r="Y535" s="62" t="s">
        <v>1669</v>
      </c>
      <c r="Z535" s="62" t="s">
        <v>1112</v>
      </c>
      <c r="AA535" s="65">
        <v>4</v>
      </c>
      <c r="AB535" s="66"/>
      <c r="AC535" s="1" t="s">
        <v>13</v>
      </c>
      <c r="AD535" s="62" t="str">
        <f>VLOOKUP(X535,'Customer List'!B:C,2,)</f>
        <v>Chandigarh</v>
      </c>
      <c r="AE535" s="67"/>
      <c r="AF535" s="6"/>
      <c r="AG535" s="62" t="str">
        <f t="shared" si="135"/>
        <v/>
      </c>
      <c r="AH535" s="62" t="str">
        <f t="shared" si="136"/>
        <v>Saturday</v>
      </c>
      <c r="AI535" s="62" t="str">
        <f t="shared" si="129"/>
        <v/>
      </c>
      <c r="AJ535" s="62" t="str">
        <f>VLOOKUP(AC535,'Currency Sheet'!A:C,3,)</f>
        <v>DOLLAR</v>
      </c>
      <c r="AK535" s="62" t="str">
        <f>VLOOKUP(X535,'Customer List'!B:D,3,)</f>
        <v>OutStation</v>
      </c>
    </row>
    <row r="536" spans="1:37" hidden="1" x14ac:dyDescent="0.25">
      <c r="A536" s="62">
        <f t="shared" si="130"/>
        <v>522</v>
      </c>
      <c r="B536" s="62" t="s">
        <v>824</v>
      </c>
      <c r="C536" s="62" t="s">
        <v>1457</v>
      </c>
      <c r="D536" s="6">
        <v>46112</v>
      </c>
      <c r="E536" s="6">
        <v>46128</v>
      </c>
      <c r="F536" s="63">
        <v>104.3</v>
      </c>
      <c r="G536" s="64">
        <f t="shared" si="131"/>
        <v>9178.4</v>
      </c>
      <c r="H536" s="64">
        <f t="shared" si="132"/>
        <v>9178.4</v>
      </c>
      <c r="I536" s="70">
        <v>302934</v>
      </c>
      <c r="J536" s="62" t="s">
        <v>957</v>
      </c>
      <c r="K536" s="8" t="s">
        <v>1515</v>
      </c>
      <c r="L536" s="10">
        <v>48666</v>
      </c>
      <c r="M536" s="62">
        <v>1</v>
      </c>
      <c r="N536" s="8">
        <v>1</v>
      </c>
      <c r="O536" s="62">
        <f t="shared" si="133"/>
        <v>0</v>
      </c>
      <c r="P536" s="70">
        <v>165</v>
      </c>
      <c r="Q536" s="71">
        <v>46136</v>
      </c>
      <c r="R536" s="6">
        <v>46139</v>
      </c>
      <c r="S536" s="64">
        <v>16166.5</v>
      </c>
      <c r="T536" s="22">
        <v>5</v>
      </c>
      <c r="U536" s="64">
        <f t="shared" si="134"/>
        <v>808.32500000000005</v>
      </c>
      <c r="V536" s="22">
        <v>0.26</v>
      </c>
      <c r="W536" s="22">
        <v>74849</v>
      </c>
      <c r="X536" s="62" t="s">
        <v>524</v>
      </c>
      <c r="Y536" s="62">
        <v>58164797670</v>
      </c>
      <c r="Z536" s="62" t="s">
        <v>1112</v>
      </c>
      <c r="AA536" s="65">
        <v>4</v>
      </c>
      <c r="AB536" s="66" t="s">
        <v>1936</v>
      </c>
      <c r="AC536" s="1" t="s">
        <v>13</v>
      </c>
      <c r="AD536" s="62" t="str">
        <f>VLOOKUP(X536,'Customer List'!B:C,2,)</f>
        <v>SHRINAGAR</v>
      </c>
      <c r="AE536" s="67"/>
      <c r="AF536" s="6">
        <v>46141</v>
      </c>
      <c r="AG536" s="62">
        <f t="shared" si="135"/>
        <v>2</v>
      </c>
      <c r="AH536" s="62" t="str">
        <f t="shared" si="136"/>
        <v>Tuesday</v>
      </c>
      <c r="AI536" s="62" t="str">
        <f t="shared" si="129"/>
        <v>Wednesday</v>
      </c>
      <c r="AJ536" s="62" t="str">
        <f>VLOOKUP(AC536,'Currency Sheet'!A:C,3,)</f>
        <v>DOLLAR</v>
      </c>
      <c r="AK536" s="62" t="str">
        <f>VLOOKUP(X536,'Customer List'!B:D,3,)</f>
        <v>OutStation</v>
      </c>
    </row>
    <row r="537" spans="1:37" hidden="1" x14ac:dyDescent="0.25">
      <c r="A537" s="62">
        <f t="shared" si="130"/>
        <v>523</v>
      </c>
      <c r="B537" s="62" t="s">
        <v>824</v>
      </c>
      <c r="C537" s="62" t="s">
        <v>1457</v>
      </c>
      <c r="D537" s="6">
        <v>46112</v>
      </c>
      <c r="E537" s="6">
        <v>46128</v>
      </c>
      <c r="F537" s="63">
        <v>71.400000000000006</v>
      </c>
      <c r="G537" s="64">
        <f t="shared" si="131"/>
        <v>6283.2000000000007</v>
      </c>
      <c r="H537" s="64">
        <f t="shared" si="132"/>
        <v>6283.2000000000007</v>
      </c>
      <c r="I537" s="70">
        <v>303302</v>
      </c>
      <c r="J537" s="62" t="s">
        <v>959</v>
      </c>
      <c r="K537" s="8" t="s">
        <v>1516</v>
      </c>
      <c r="L537" s="10">
        <v>47038</v>
      </c>
      <c r="M537" s="62">
        <v>1</v>
      </c>
      <c r="N537" s="8">
        <v>1</v>
      </c>
      <c r="O537" s="62">
        <f t="shared" si="133"/>
        <v>0</v>
      </c>
      <c r="P537" s="70">
        <v>106</v>
      </c>
      <c r="Q537" s="71">
        <v>46129</v>
      </c>
      <c r="R537" s="6">
        <v>46130</v>
      </c>
      <c r="S537" s="64">
        <v>11383.2</v>
      </c>
      <c r="T537" s="22">
        <v>5</v>
      </c>
      <c r="U537" s="64">
        <f t="shared" si="134"/>
        <v>569.16000000000008</v>
      </c>
      <c r="V537" s="22">
        <v>0.4</v>
      </c>
      <c r="W537" s="22">
        <v>25780</v>
      </c>
      <c r="X537" s="62" t="s">
        <v>1368</v>
      </c>
      <c r="Y537" s="62">
        <v>58164465623</v>
      </c>
      <c r="Z537" s="62" t="s">
        <v>1112</v>
      </c>
      <c r="AA537" s="65">
        <v>4</v>
      </c>
      <c r="AB537" s="66"/>
      <c r="AC537" s="1" t="s">
        <v>13</v>
      </c>
      <c r="AD537" s="62" t="str">
        <f>VLOOKUP(X537,'Customer List'!B:C,2,)</f>
        <v>Banglore</v>
      </c>
      <c r="AE537" s="67"/>
      <c r="AF537" s="6">
        <v>46133</v>
      </c>
      <c r="AG537" s="62">
        <f t="shared" si="135"/>
        <v>3</v>
      </c>
      <c r="AH537" s="62" t="str">
        <f t="shared" si="136"/>
        <v>Sunday</v>
      </c>
      <c r="AI537" s="62" t="str">
        <f t="shared" si="129"/>
        <v>Tuesday</v>
      </c>
      <c r="AJ537" s="62" t="str">
        <f>VLOOKUP(AC537,'Currency Sheet'!A:C,3,)</f>
        <v>DOLLAR</v>
      </c>
      <c r="AK537" s="62" t="str">
        <f>VLOOKUP(X537,'Customer List'!B:D,3,)</f>
        <v>OutStation</v>
      </c>
    </row>
    <row r="538" spans="1:37" hidden="1" x14ac:dyDescent="0.25">
      <c r="A538" s="62">
        <f t="shared" si="130"/>
        <v>524</v>
      </c>
      <c r="B538" s="62" t="s">
        <v>824</v>
      </c>
      <c r="C538" s="62" t="s">
        <v>1457</v>
      </c>
      <c r="D538" s="6">
        <v>46112</v>
      </c>
      <c r="E538" s="6">
        <v>46128</v>
      </c>
      <c r="F538" s="63">
        <v>77</v>
      </c>
      <c r="G538" s="64">
        <f t="shared" si="131"/>
        <v>6776</v>
      </c>
      <c r="H538" s="64">
        <f t="shared" si="132"/>
        <v>6776</v>
      </c>
      <c r="I538" s="70">
        <v>303506</v>
      </c>
      <c r="J538" s="62" t="s">
        <v>767</v>
      </c>
      <c r="K538" s="8" t="s">
        <v>1517</v>
      </c>
      <c r="L538" s="10">
        <v>46547</v>
      </c>
      <c r="M538" s="62">
        <v>1</v>
      </c>
      <c r="N538" s="8">
        <v>1</v>
      </c>
      <c r="O538" s="62">
        <f t="shared" si="133"/>
        <v>0</v>
      </c>
      <c r="P538" s="70" t="s">
        <v>1612</v>
      </c>
      <c r="Q538" s="71">
        <v>46128</v>
      </c>
      <c r="R538" s="6">
        <v>46128</v>
      </c>
      <c r="S538" s="64">
        <v>13640</v>
      </c>
      <c r="T538" s="22">
        <v>5</v>
      </c>
      <c r="U538" s="64">
        <f t="shared" si="134"/>
        <v>682</v>
      </c>
      <c r="V538" s="22">
        <v>0</v>
      </c>
      <c r="W538" s="22">
        <v>492026</v>
      </c>
      <c r="X538" s="62" t="s">
        <v>1094</v>
      </c>
      <c r="Y538" s="62" t="s">
        <v>1105</v>
      </c>
      <c r="Z538" s="62" t="s">
        <v>1105</v>
      </c>
      <c r="AA538" s="65">
        <v>4</v>
      </c>
      <c r="AB538" s="66"/>
      <c r="AC538" s="1" t="s">
        <v>13</v>
      </c>
      <c r="AD538" s="62" t="str">
        <f>VLOOKUP(X538,'Customer List'!B:C,2,)</f>
        <v>Delhi</v>
      </c>
      <c r="AE538" s="67" t="s">
        <v>821</v>
      </c>
      <c r="AF538" s="6"/>
      <c r="AG538" s="62" t="str">
        <f t="shared" si="135"/>
        <v/>
      </c>
      <c r="AH538" s="62" t="str">
        <f t="shared" si="136"/>
        <v>Wednesday</v>
      </c>
      <c r="AI538" s="62" t="str">
        <f t="shared" si="129"/>
        <v/>
      </c>
      <c r="AJ538" s="62" t="str">
        <f>VLOOKUP(AC538,'Currency Sheet'!A:C,3,)</f>
        <v>DOLLAR</v>
      </c>
      <c r="AK538" s="62" t="str">
        <f>VLOOKUP(X538,'Customer List'!B:D,3,)</f>
        <v>Local</v>
      </c>
    </row>
    <row r="539" spans="1:37" hidden="1" x14ac:dyDescent="0.25">
      <c r="A539" s="62">
        <f t="shared" si="130"/>
        <v>525</v>
      </c>
      <c r="B539" s="62" t="s">
        <v>824</v>
      </c>
      <c r="C539" s="62" t="s">
        <v>1457</v>
      </c>
      <c r="D539" s="6">
        <v>46112</v>
      </c>
      <c r="E539" s="6">
        <v>46128</v>
      </c>
      <c r="F539" s="63">
        <v>227.5</v>
      </c>
      <c r="G539" s="64">
        <f t="shared" si="131"/>
        <v>20020</v>
      </c>
      <c r="H539" s="64">
        <f t="shared" si="132"/>
        <v>20020</v>
      </c>
      <c r="I539" s="70">
        <v>304126</v>
      </c>
      <c r="J539" s="62" t="s">
        <v>965</v>
      </c>
      <c r="K539" s="8" t="s">
        <v>1518</v>
      </c>
      <c r="L539" s="10">
        <v>46881</v>
      </c>
      <c r="M539" s="62">
        <v>1</v>
      </c>
      <c r="N539" s="8">
        <v>1</v>
      </c>
      <c r="O539" s="62">
        <f t="shared" si="133"/>
        <v>0</v>
      </c>
      <c r="P539" s="70" t="s">
        <v>1612</v>
      </c>
      <c r="Q539" s="71">
        <v>46128</v>
      </c>
      <c r="R539" s="6">
        <v>46128</v>
      </c>
      <c r="S539" s="64">
        <v>40300</v>
      </c>
      <c r="T539" s="22">
        <v>5</v>
      </c>
      <c r="U539" s="64">
        <f t="shared" si="134"/>
        <v>2015</v>
      </c>
      <c r="V539" s="22">
        <v>0</v>
      </c>
      <c r="W539" s="22">
        <v>492026</v>
      </c>
      <c r="X539" s="62" t="s">
        <v>1094</v>
      </c>
      <c r="Y539" s="62" t="s">
        <v>1105</v>
      </c>
      <c r="Z539" s="62" t="s">
        <v>1105</v>
      </c>
      <c r="AA539" s="65">
        <v>4</v>
      </c>
      <c r="AB539" s="66"/>
      <c r="AC539" s="1" t="s">
        <v>13</v>
      </c>
      <c r="AD539" s="62" t="str">
        <f>VLOOKUP(X539,'Customer List'!B:C,2,)</f>
        <v>Delhi</v>
      </c>
      <c r="AE539" s="67" t="s">
        <v>821</v>
      </c>
      <c r="AF539" s="6"/>
      <c r="AG539" s="62" t="str">
        <f t="shared" si="135"/>
        <v/>
      </c>
      <c r="AH539" s="62" t="str">
        <f t="shared" si="136"/>
        <v>Sunday</v>
      </c>
      <c r="AI539" s="62" t="str">
        <f t="shared" si="129"/>
        <v/>
      </c>
      <c r="AJ539" s="62" t="str">
        <f>VLOOKUP(AC539,'Currency Sheet'!A:C,3,)</f>
        <v>DOLLAR</v>
      </c>
      <c r="AK539" s="62" t="str">
        <f>VLOOKUP(X539,'Customer List'!B:D,3,)</f>
        <v>Local</v>
      </c>
    </row>
    <row r="540" spans="1:37" hidden="1" x14ac:dyDescent="0.25">
      <c r="A540" s="62">
        <f t="shared" si="130"/>
        <v>526</v>
      </c>
      <c r="B540" s="62" t="s">
        <v>824</v>
      </c>
      <c r="C540" s="62" t="s">
        <v>1457</v>
      </c>
      <c r="D540" s="6">
        <v>46112</v>
      </c>
      <c r="E540" s="6">
        <v>46128</v>
      </c>
      <c r="F540" s="63">
        <v>58.8</v>
      </c>
      <c r="G540" s="64">
        <f t="shared" si="131"/>
        <v>5174.3999999999996</v>
      </c>
      <c r="H540" s="64">
        <f t="shared" si="132"/>
        <v>5174.3999999999996</v>
      </c>
      <c r="I540" s="70">
        <v>304803</v>
      </c>
      <c r="J540" s="62" t="s">
        <v>1519</v>
      </c>
      <c r="K540" s="8" t="s">
        <v>1520</v>
      </c>
      <c r="L540" s="10">
        <v>47334</v>
      </c>
      <c r="M540" s="62">
        <v>1</v>
      </c>
      <c r="N540" s="8">
        <v>1</v>
      </c>
      <c r="O540" s="62">
        <f t="shared" si="133"/>
        <v>0</v>
      </c>
      <c r="P540" s="70">
        <v>140</v>
      </c>
      <c r="Q540" s="71">
        <v>46132</v>
      </c>
      <c r="R540" s="6">
        <v>46133</v>
      </c>
      <c r="S540" s="64">
        <v>8853.6</v>
      </c>
      <c r="T540" s="22">
        <v>5</v>
      </c>
      <c r="U540" s="64">
        <f t="shared" si="134"/>
        <v>442.68000000000006</v>
      </c>
      <c r="V540" s="22">
        <v>-0.28000000000000003</v>
      </c>
      <c r="W540" s="22">
        <v>9296</v>
      </c>
      <c r="X540" s="62" t="s">
        <v>1364</v>
      </c>
      <c r="Y540" s="62">
        <v>58164559084</v>
      </c>
      <c r="Z540" s="62" t="s">
        <v>1112</v>
      </c>
      <c r="AA540" s="65">
        <v>4</v>
      </c>
      <c r="AB540" s="66"/>
      <c r="AC540" s="1" t="s">
        <v>13</v>
      </c>
      <c r="AD540" s="62" t="str">
        <f>VLOOKUP(X540,'Customer List'!B:C,2,)</f>
        <v>Kolkata</v>
      </c>
      <c r="AE540" s="67" t="s">
        <v>1430</v>
      </c>
      <c r="AF540" s="6">
        <v>46134</v>
      </c>
      <c r="AG540" s="62">
        <f t="shared" si="135"/>
        <v>1</v>
      </c>
      <c r="AH540" s="62" t="str">
        <f t="shared" si="136"/>
        <v>Thursday</v>
      </c>
      <c r="AI540" s="62" t="str">
        <f t="shared" si="129"/>
        <v>Wednesday</v>
      </c>
      <c r="AJ540" s="62" t="str">
        <f>VLOOKUP(AC540,'Currency Sheet'!A:C,3,)</f>
        <v>DOLLAR</v>
      </c>
      <c r="AK540" s="62" t="str">
        <f>VLOOKUP(X540,'Customer List'!B:D,3,)</f>
        <v>OutStation</v>
      </c>
    </row>
    <row r="541" spans="1:37" hidden="1" x14ac:dyDescent="0.25">
      <c r="A541" s="62">
        <f t="shared" si="130"/>
        <v>527</v>
      </c>
      <c r="B541" s="62" t="s">
        <v>824</v>
      </c>
      <c r="C541" s="62" t="s">
        <v>1457</v>
      </c>
      <c r="D541" s="6">
        <v>46112</v>
      </c>
      <c r="E541" s="6">
        <v>46128</v>
      </c>
      <c r="F541" s="63">
        <v>285</v>
      </c>
      <c r="G541" s="64">
        <f t="shared" si="131"/>
        <v>25080</v>
      </c>
      <c r="H541" s="64">
        <f t="shared" si="132"/>
        <v>25080</v>
      </c>
      <c r="I541" s="70">
        <v>307646</v>
      </c>
      <c r="J541" s="62" t="s">
        <v>752</v>
      </c>
      <c r="K541" s="8" t="s">
        <v>973</v>
      </c>
      <c r="L541" s="10">
        <v>46900</v>
      </c>
      <c r="M541" s="62">
        <v>1</v>
      </c>
      <c r="N541" s="8">
        <v>1</v>
      </c>
      <c r="O541" s="62">
        <f t="shared" si="133"/>
        <v>0</v>
      </c>
      <c r="P541" s="70">
        <v>115</v>
      </c>
      <c r="Q541" s="71">
        <v>46129</v>
      </c>
      <c r="R541" s="6">
        <v>46130</v>
      </c>
      <c r="S541" s="64">
        <v>32490</v>
      </c>
      <c r="T541" s="22">
        <v>5</v>
      </c>
      <c r="U541" s="64">
        <f t="shared" si="134"/>
        <v>1624.5</v>
      </c>
      <c r="V541" s="22">
        <v>0.5</v>
      </c>
      <c r="W541" s="22">
        <v>34115</v>
      </c>
      <c r="X541" s="62" t="s">
        <v>801</v>
      </c>
      <c r="Y541" s="62">
        <v>58164461692</v>
      </c>
      <c r="Z541" s="62" t="s">
        <v>1112</v>
      </c>
      <c r="AA541" s="65">
        <v>4</v>
      </c>
      <c r="AB541" s="66"/>
      <c r="AC541" s="1" t="s">
        <v>13</v>
      </c>
      <c r="AD541" s="62" t="str">
        <f>VLOOKUP(X541,'Customer List'!B:C,2,)</f>
        <v>Mumbai</v>
      </c>
      <c r="AE541" s="67"/>
      <c r="AF541" s="6">
        <v>46132</v>
      </c>
      <c r="AG541" s="62">
        <f t="shared" si="135"/>
        <v>2</v>
      </c>
      <c r="AH541" s="62" t="str">
        <f t="shared" si="136"/>
        <v>Tuesday</v>
      </c>
      <c r="AI541" s="62" t="str">
        <f t="shared" si="129"/>
        <v>Monday</v>
      </c>
      <c r="AJ541" s="62" t="str">
        <f>VLOOKUP(AC541,'Currency Sheet'!A:C,3,)</f>
        <v>DOLLAR</v>
      </c>
      <c r="AK541" s="62" t="str">
        <f>VLOOKUP(X541,'Customer List'!B:D,3,)</f>
        <v>OutStation</v>
      </c>
    </row>
    <row r="542" spans="1:37" hidden="1" x14ac:dyDescent="0.25">
      <c r="A542" s="62">
        <f t="shared" si="130"/>
        <v>528</v>
      </c>
      <c r="B542" s="62" t="s">
        <v>824</v>
      </c>
      <c r="C542" s="62" t="s">
        <v>1457</v>
      </c>
      <c r="D542" s="6">
        <v>46112</v>
      </c>
      <c r="E542" s="6">
        <v>46128</v>
      </c>
      <c r="F542" s="63">
        <v>100.1</v>
      </c>
      <c r="G542" s="64">
        <f t="shared" si="131"/>
        <v>8808.7999999999993</v>
      </c>
      <c r="H542" s="64">
        <f t="shared" si="132"/>
        <v>8808.7999999999993</v>
      </c>
      <c r="I542" s="70">
        <v>310906</v>
      </c>
      <c r="J542" s="62" t="s">
        <v>747</v>
      </c>
      <c r="K542" s="8" t="s">
        <v>1521</v>
      </c>
      <c r="L542" s="10">
        <v>47905</v>
      </c>
      <c r="M542" s="62">
        <v>1</v>
      </c>
      <c r="N542" s="8">
        <v>1</v>
      </c>
      <c r="O542" s="62">
        <f t="shared" si="133"/>
        <v>0</v>
      </c>
      <c r="P542" s="70">
        <v>114</v>
      </c>
      <c r="Q542" s="71">
        <v>46129</v>
      </c>
      <c r="R542" s="6">
        <v>46129</v>
      </c>
      <c r="S542" s="64">
        <v>15515.5</v>
      </c>
      <c r="T542" s="22">
        <v>5</v>
      </c>
      <c r="U542" s="64">
        <f t="shared" si="134"/>
        <v>775.77500000000009</v>
      </c>
      <c r="V542" s="22">
        <v>0</v>
      </c>
      <c r="W542" s="22">
        <v>190483</v>
      </c>
      <c r="X542" s="62" t="s">
        <v>1590</v>
      </c>
      <c r="Y542" s="62" t="s">
        <v>1669</v>
      </c>
      <c r="Z542" s="62" t="s">
        <v>1112</v>
      </c>
      <c r="AA542" s="65">
        <v>4</v>
      </c>
      <c r="AB542" s="66"/>
      <c r="AC542" s="1" t="s">
        <v>13</v>
      </c>
      <c r="AD542" s="62" t="str">
        <f>VLOOKUP(X542,'Customer List'!B:C,2,)</f>
        <v>Chandigarh</v>
      </c>
      <c r="AE542" s="67"/>
      <c r="AF542" s="6"/>
      <c r="AG542" s="62" t="str">
        <f t="shared" si="135"/>
        <v/>
      </c>
      <c r="AH542" s="62" t="str">
        <f t="shared" si="136"/>
        <v>Tuesday</v>
      </c>
      <c r="AI542" s="62" t="str">
        <f t="shared" si="129"/>
        <v/>
      </c>
      <c r="AJ542" s="62" t="str">
        <f>VLOOKUP(AC542,'Currency Sheet'!A:C,3,)</f>
        <v>DOLLAR</v>
      </c>
      <c r="AK542" s="62" t="str">
        <f>VLOOKUP(X542,'Customer List'!B:D,3,)</f>
        <v>OutStation</v>
      </c>
    </row>
    <row r="543" spans="1:37" hidden="1" x14ac:dyDescent="0.25">
      <c r="A543" s="62">
        <f t="shared" si="130"/>
        <v>529</v>
      </c>
      <c r="B543" s="62" t="s">
        <v>824</v>
      </c>
      <c r="C543" s="62" t="s">
        <v>1457</v>
      </c>
      <c r="D543" s="6">
        <v>46112</v>
      </c>
      <c r="E543" s="6">
        <v>46128</v>
      </c>
      <c r="F543" s="63">
        <v>267.39999999999998</v>
      </c>
      <c r="G543" s="64">
        <f t="shared" si="131"/>
        <v>23531.199999999997</v>
      </c>
      <c r="H543" s="64">
        <f t="shared" si="132"/>
        <v>23531.199999999997</v>
      </c>
      <c r="I543" s="70">
        <v>310926</v>
      </c>
      <c r="J543" s="62" t="s">
        <v>747</v>
      </c>
      <c r="K543" s="8" t="s">
        <v>1522</v>
      </c>
      <c r="L543" s="10">
        <v>47359</v>
      </c>
      <c r="M543" s="62">
        <v>1</v>
      </c>
      <c r="N543" s="8">
        <v>1</v>
      </c>
      <c r="O543" s="62">
        <f t="shared" si="133"/>
        <v>0</v>
      </c>
      <c r="P543" s="70">
        <v>96</v>
      </c>
      <c r="Q543" s="71">
        <v>46129</v>
      </c>
      <c r="R543" s="6">
        <v>46129</v>
      </c>
      <c r="S543" s="64">
        <v>44407.5</v>
      </c>
      <c r="T543" s="22">
        <v>5</v>
      </c>
      <c r="U543" s="64">
        <f t="shared" si="134"/>
        <v>2220.375</v>
      </c>
      <c r="V543" s="22">
        <v>0.37</v>
      </c>
      <c r="W543" s="22">
        <v>268782</v>
      </c>
      <c r="X543" s="62" t="s">
        <v>1592</v>
      </c>
      <c r="Y543" s="62" t="s">
        <v>1120</v>
      </c>
      <c r="Z543" s="62" t="s">
        <v>1116</v>
      </c>
      <c r="AA543" s="65">
        <v>4</v>
      </c>
      <c r="AB543" s="66"/>
      <c r="AC543" s="1" t="s">
        <v>13</v>
      </c>
      <c r="AD543" s="62" t="str">
        <f>VLOOKUP(X543,'Customer List'!B:C,2,)</f>
        <v>Sonipat</v>
      </c>
      <c r="AE543" s="67"/>
      <c r="AF543" s="6"/>
      <c r="AG543" s="62" t="str">
        <f t="shared" si="135"/>
        <v/>
      </c>
      <c r="AH543" s="62" t="str">
        <f t="shared" si="136"/>
        <v>Friday</v>
      </c>
      <c r="AI543" s="62" t="str">
        <f t="shared" si="129"/>
        <v/>
      </c>
      <c r="AJ543" s="62" t="str">
        <f>VLOOKUP(AC543,'Currency Sheet'!A:C,3,)</f>
        <v>DOLLAR</v>
      </c>
      <c r="AK543" s="62" t="str">
        <f>VLOOKUP(X543,'Customer List'!B:D,3,)</f>
        <v>Local</v>
      </c>
    </row>
    <row r="544" spans="1:37" hidden="1" x14ac:dyDescent="0.25">
      <c r="A544" s="62">
        <f t="shared" si="130"/>
        <v>530</v>
      </c>
      <c r="B544" s="62" t="s">
        <v>824</v>
      </c>
      <c r="C544" s="62" t="s">
        <v>1457</v>
      </c>
      <c r="D544" s="6">
        <v>46112</v>
      </c>
      <c r="E544" s="6">
        <v>46128</v>
      </c>
      <c r="F544" s="63">
        <v>273.75</v>
      </c>
      <c r="G544" s="64">
        <f t="shared" si="131"/>
        <v>24090</v>
      </c>
      <c r="H544" s="64">
        <f t="shared" si="132"/>
        <v>24090</v>
      </c>
      <c r="I544" s="70">
        <v>310938</v>
      </c>
      <c r="J544" s="62" t="s">
        <v>747</v>
      </c>
      <c r="K544" s="8" t="s">
        <v>1523</v>
      </c>
      <c r="L544" s="10">
        <v>47090</v>
      </c>
      <c r="M544" s="62">
        <v>1</v>
      </c>
      <c r="N544" s="8">
        <v>1</v>
      </c>
      <c r="O544" s="62">
        <f t="shared" si="133"/>
        <v>0</v>
      </c>
      <c r="P544" s="70">
        <v>114</v>
      </c>
      <c r="Q544" s="71">
        <v>46129</v>
      </c>
      <c r="R544" s="6">
        <v>46129</v>
      </c>
      <c r="S544" s="64">
        <v>39602.5</v>
      </c>
      <c r="T544" s="22">
        <v>5</v>
      </c>
      <c r="U544" s="64">
        <f t="shared" si="134"/>
        <v>1980.125</v>
      </c>
      <c r="V544" s="22">
        <v>0</v>
      </c>
      <c r="W544" s="22">
        <v>190483</v>
      </c>
      <c r="X544" s="62" t="s">
        <v>1590</v>
      </c>
      <c r="Y544" s="62" t="s">
        <v>1669</v>
      </c>
      <c r="Z544" s="62" t="s">
        <v>1112</v>
      </c>
      <c r="AA544" s="65">
        <v>4</v>
      </c>
      <c r="AB544" s="66"/>
      <c r="AC544" s="1" t="s">
        <v>13</v>
      </c>
      <c r="AD544" s="62" t="str">
        <f>VLOOKUP(X544,'Customer List'!B:C,2,)</f>
        <v>Chandigarh</v>
      </c>
      <c r="AE544" s="67"/>
      <c r="AF544" s="6"/>
      <c r="AG544" s="62" t="str">
        <f t="shared" si="135"/>
        <v/>
      </c>
      <c r="AH544" s="62" t="str">
        <f t="shared" si="136"/>
        <v>Tuesday</v>
      </c>
      <c r="AI544" s="62" t="str">
        <f t="shared" si="129"/>
        <v/>
      </c>
      <c r="AJ544" s="62" t="str">
        <f>VLOOKUP(AC544,'Currency Sheet'!A:C,3,)</f>
        <v>DOLLAR</v>
      </c>
      <c r="AK544" s="62" t="str">
        <f>VLOOKUP(X544,'Customer List'!B:D,3,)</f>
        <v>OutStation</v>
      </c>
    </row>
    <row r="545" spans="1:37" hidden="1" x14ac:dyDescent="0.25">
      <c r="A545" s="62">
        <f t="shared" si="130"/>
        <v>531</v>
      </c>
      <c r="B545" s="62" t="s">
        <v>824</v>
      </c>
      <c r="C545" s="62" t="s">
        <v>1457</v>
      </c>
      <c r="D545" s="6">
        <v>46112</v>
      </c>
      <c r="E545" s="6">
        <v>46128</v>
      </c>
      <c r="F545" s="63">
        <v>219.8</v>
      </c>
      <c r="G545" s="64">
        <f t="shared" si="131"/>
        <v>19342.400000000001</v>
      </c>
      <c r="H545" s="64">
        <f t="shared" si="132"/>
        <v>19342.400000000001</v>
      </c>
      <c r="I545" s="70">
        <v>313616</v>
      </c>
      <c r="J545" s="62" t="s">
        <v>1524</v>
      </c>
      <c r="K545" s="8" t="s">
        <v>1525</v>
      </c>
      <c r="L545" s="10">
        <v>46951</v>
      </c>
      <c r="M545" s="62">
        <v>1</v>
      </c>
      <c r="N545" s="8">
        <v>1</v>
      </c>
      <c r="O545" s="62">
        <f t="shared" si="133"/>
        <v>0</v>
      </c>
      <c r="P545" s="70" t="s">
        <v>1612</v>
      </c>
      <c r="Q545" s="71">
        <v>46128</v>
      </c>
      <c r="R545" s="6">
        <v>46128</v>
      </c>
      <c r="S545" s="64">
        <v>38936</v>
      </c>
      <c r="T545" s="22">
        <v>5</v>
      </c>
      <c r="U545" s="64">
        <f t="shared" si="134"/>
        <v>1946.8000000000002</v>
      </c>
      <c r="V545" s="22">
        <v>0</v>
      </c>
      <c r="W545" s="22">
        <v>492026</v>
      </c>
      <c r="X545" s="62" t="s">
        <v>1094</v>
      </c>
      <c r="Y545" s="62" t="s">
        <v>1105</v>
      </c>
      <c r="Z545" s="62" t="s">
        <v>1105</v>
      </c>
      <c r="AA545" s="65">
        <v>4</v>
      </c>
      <c r="AB545" s="66"/>
      <c r="AC545" s="1" t="s">
        <v>13</v>
      </c>
      <c r="AD545" s="62" t="str">
        <f>VLOOKUP(X545,'Customer List'!B:C,2,)</f>
        <v>Delhi</v>
      </c>
      <c r="AE545" s="67" t="s">
        <v>821</v>
      </c>
      <c r="AF545" s="6"/>
      <c r="AG545" s="62" t="str">
        <f t="shared" si="135"/>
        <v/>
      </c>
      <c r="AH545" s="62" t="str">
        <f t="shared" si="136"/>
        <v>Monday</v>
      </c>
      <c r="AI545" s="62" t="str">
        <f t="shared" si="129"/>
        <v/>
      </c>
      <c r="AJ545" s="62" t="str">
        <f>VLOOKUP(AC545,'Currency Sheet'!A:C,3,)</f>
        <v>DOLLAR</v>
      </c>
      <c r="AK545" s="62" t="str">
        <f>VLOOKUP(X545,'Customer List'!B:D,3,)</f>
        <v>Local</v>
      </c>
    </row>
    <row r="546" spans="1:37" hidden="1" x14ac:dyDescent="0.25">
      <c r="A546" s="62">
        <f t="shared" si="130"/>
        <v>532</v>
      </c>
      <c r="B546" s="62" t="s">
        <v>824</v>
      </c>
      <c r="C546" s="62" t="s">
        <v>1457</v>
      </c>
      <c r="D546" s="6">
        <v>46112</v>
      </c>
      <c r="E546" s="6">
        <v>46128</v>
      </c>
      <c r="F546" s="63">
        <v>38.5</v>
      </c>
      <c r="G546" s="64">
        <f t="shared" si="131"/>
        <v>3388</v>
      </c>
      <c r="H546" s="64">
        <f t="shared" si="132"/>
        <v>6776</v>
      </c>
      <c r="I546" s="70">
        <v>317306</v>
      </c>
      <c r="J546" s="62" t="s">
        <v>749</v>
      </c>
      <c r="K546" s="8" t="s">
        <v>981</v>
      </c>
      <c r="L546" s="10">
        <v>48150</v>
      </c>
      <c r="M546" s="62">
        <v>2</v>
      </c>
      <c r="N546" s="8">
        <v>2</v>
      </c>
      <c r="O546" s="62">
        <f t="shared" si="133"/>
        <v>0</v>
      </c>
      <c r="P546" s="70">
        <v>96</v>
      </c>
      <c r="Q546" s="71">
        <v>46129</v>
      </c>
      <c r="R546" s="6">
        <v>46129</v>
      </c>
      <c r="S546" s="64">
        <v>25575</v>
      </c>
      <c r="T546" s="22">
        <v>5</v>
      </c>
      <c r="U546" s="64">
        <f t="shared" si="134"/>
        <v>1278.75</v>
      </c>
      <c r="V546" s="22">
        <v>0</v>
      </c>
      <c r="W546" s="22">
        <v>268782</v>
      </c>
      <c r="X546" s="62" t="s">
        <v>1592</v>
      </c>
      <c r="Y546" s="62" t="s">
        <v>1120</v>
      </c>
      <c r="Z546" s="62" t="s">
        <v>1116</v>
      </c>
      <c r="AA546" s="65">
        <v>4</v>
      </c>
      <c r="AB546" s="66"/>
      <c r="AC546" s="1" t="s">
        <v>13</v>
      </c>
      <c r="AD546" s="62" t="str">
        <f>VLOOKUP(X546,'Customer List'!B:C,2,)</f>
        <v>Sonipat</v>
      </c>
      <c r="AE546" s="67"/>
      <c r="AF546" s="6"/>
      <c r="AG546" s="62" t="str">
        <f t="shared" si="135"/>
        <v/>
      </c>
      <c r="AH546" s="62" t="str">
        <f t="shared" si="136"/>
        <v>Wednesday</v>
      </c>
      <c r="AI546" s="62" t="str">
        <f t="shared" si="129"/>
        <v/>
      </c>
      <c r="AJ546" s="62" t="str">
        <f>VLOOKUP(AC546,'Currency Sheet'!A:C,3,)</f>
        <v>DOLLAR</v>
      </c>
      <c r="AK546" s="62" t="str">
        <f>VLOOKUP(X546,'Customer List'!B:D,3,)</f>
        <v>Local</v>
      </c>
    </row>
    <row r="547" spans="1:37" hidden="1" x14ac:dyDescent="0.25">
      <c r="A547" s="62">
        <f t="shared" si="130"/>
        <v>533</v>
      </c>
      <c r="B547" s="62" t="s">
        <v>824</v>
      </c>
      <c r="C547" s="62" t="s">
        <v>1457</v>
      </c>
      <c r="D547" s="6">
        <v>46112</v>
      </c>
      <c r="E547" s="6">
        <v>46128</v>
      </c>
      <c r="F547" s="63">
        <v>112.7</v>
      </c>
      <c r="G547" s="64">
        <f t="shared" si="131"/>
        <v>9917.6</v>
      </c>
      <c r="H547" s="64">
        <f t="shared" si="132"/>
        <v>9917.6</v>
      </c>
      <c r="I547" s="70">
        <v>317326</v>
      </c>
      <c r="J547" s="62" t="s">
        <v>749</v>
      </c>
      <c r="K547" s="8" t="s">
        <v>1526</v>
      </c>
      <c r="L547" s="10">
        <v>49254</v>
      </c>
      <c r="M547" s="62">
        <v>1</v>
      </c>
      <c r="N547" s="8">
        <v>1</v>
      </c>
      <c r="O547" s="62">
        <f t="shared" si="133"/>
        <v>0</v>
      </c>
      <c r="P547" s="70">
        <v>165</v>
      </c>
      <c r="Q547" s="71">
        <v>46136</v>
      </c>
      <c r="R547" s="6">
        <v>46139</v>
      </c>
      <c r="S547" s="64">
        <v>17468.5</v>
      </c>
      <c r="T547" s="22">
        <v>5</v>
      </c>
      <c r="U547" s="64">
        <f t="shared" si="134"/>
        <v>873.42500000000007</v>
      </c>
      <c r="V547" s="22">
        <v>0</v>
      </c>
      <c r="W547" s="22">
        <v>74849</v>
      </c>
      <c r="X547" s="62" t="s">
        <v>524</v>
      </c>
      <c r="Y547" s="62">
        <v>58164797670</v>
      </c>
      <c r="Z547" s="62" t="s">
        <v>1112</v>
      </c>
      <c r="AA547" s="65">
        <v>4</v>
      </c>
      <c r="AB547" s="66" t="s">
        <v>1936</v>
      </c>
      <c r="AC547" s="1" t="s">
        <v>13</v>
      </c>
      <c r="AD547" s="62" t="str">
        <f>VLOOKUP(X547,'Customer List'!B:C,2,)</f>
        <v>SHRINAGAR</v>
      </c>
      <c r="AE547" s="67"/>
      <c r="AF547" s="6">
        <v>46141</v>
      </c>
      <c r="AG547" s="62">
        <f t="shared" si="135"/>
        <v>2</v>
      </c>
      <c r="AH547" s="62" t="str">
        <f t="shared" si="136"/>
        <v>Tuesday</v>
      </c>
      <c r="AI547" s="62" t="str">
        <f t="shared" si="129"/>
        <v>Wednesday</v>
      </c>
      <c r="AJ547" s="62" t="str">
        <f>VLOOKUP(AC547,'Currency Sheet'!A:C,3,)</f>
        <v>DOLLAR</v>
      </c>
      <c r="AK547" s="62" t="str">
        <f>VLOOKUP(X547,'Customer List'!B:D,3,)</f>
        <v>OutStation</v>
      </c>
    </row>
    <row r="548" spans="1:37" hidden="1" x14ac:dyDescent="0.25">
      <c r="A548" s="62">
        <f t="shared" si="130"/>
        <v>534</v>
      </c>
      <c r="B548" s="62" t="s">
        <v>824</v>
      </c>
      <c r="C548" s="62" t="s">
        <v>1457</v>
      </c>
      <c r="D548" s="6">
        <v>46112</v>
      </c>
      <c r="E548" s="6">
        <v>46128</v>
      </c>
      <c r="F548" s="63">
        <v>313.5</v>
      </c>
      <c r="G548" s="64">
        <f t="shared" si="131"/>
        <v>27588</v>
      </c>
      <c r="H548" s="64">
        <f t="shared" si="132"/>
        <v>27588</v>
      </c>
      <c r="I548" s="70">
        <v>317328</v>
      </c>
      <c r="J548" s="62" t="s">
        <v>749</v>
      </c>
      <c r="K548" s="8" t="s">
        <v>1527</v>
      </c>
      <c r="L548" s="10">
        <v>47098</v>
      </c>
      <c r="M548" s="62">
        <v>1</v>
      </c>
      <c r="N548" s="8">
        <v>1</v>
      </c>
      <c r="O548" s="62">
        <f t="shared" si="133"/>
        <v>0</v>
      </c>
      <c r="P548" s="70">
        <v>103</v>
      </c>
      <c r="Q548" s="71">
        <v>46129</v>
      </c>
      <c r="R548" s="6">
        <v>46129</v>
      </c>
      <c r="S548" s="64">
        <v>44057</v>
      </c>
      <c r="T548" s="22">
        <v>5</v>
      </c>
      <c r="U548" s="64">
        <f t="shared" si="134"/>
        <v>2202.85</v>
      </c>
      <c r="V548" s="22">
        <v>0.15</v>
      </c>
      <c r="W548" s="22">
        <v>46260</v>
      </c>
      <c r="X548" s="62" t="s">
        <v>1365</v>
      </c>
      <c r="Y548" s="62" t="s">
        <v>1668</v>
      </c>
      <c r="Z548" s="62" t="s">
        <v>1112</v>
      </c>
      <c r="AA548" s="65">
        <v>4</v>
      </c>
      <c r="AB548" s="66"/>
      <c r="AC548" s="1" t="s">
        <v>13</v>
      </c>
      <c r="AD548" s="62" t="str">
        <f>VLOOKUP(X548,'Customer List'!B:C,2,)</f>
        <v>Punjab</v>
      </c>
      <c r="AE548" s="67"/>
      <c r="AF548" s="6">
        <v>46133</v>
      </c>
      <c r="AG548" s="62">
        <f t="shared" si="135"/>
        <v>4</v>
      </c>
      <c r="AH548" s="62" t="str">
        <f t="shared" si="136"/>
        <v>Friday</v>
      </c>
      <c r="AI548" s="62" t="str">
        <f t="shared" si="129"/>
        <v>Tuesday</v>
      </c>
      <c r="AJ548" s="62" t="str">
        <f>VLOOKUP(AC548,'Currency Sheet'!A:C,3,)</f>
        <v>DOLLAR</v>
      </c>
      <c r="AK548" s="62" t="str">
        <f>VLOOKUP(X548,'Customer List'!B:D,3,)</f>
        <v>OutStation</v>
      </c>
    </row>
    <row r="549" spans="1:37" hidden="1" x14ac:dyDescent="0.25">
      <c r="A549" s="62">
        <f t="shared" si="130"/>
        <v>535</v>
      </c>
      <c r="B549" s="62" t="s">
        <v>824</v>
      </c>
      <c r="C549" s="62" t="s">
        <v>1457</v>
      </c>
      <c r="D549" s="6">
        <v>46112</v>
      </c>
      <c r="E549" s="6">
        <v>46128</v>
      </c>
      <c r="F549" s="63">
        <v>82.6</v>
      </c>
      <c r="G549" s="64">
        <f t="shared" si="131"/>
        <v>7268.7999999999993</v>
      </c>
      <c r="H549" s="64">
        <f t="shared" si="132"/>
        <v>7268.7999999999993</v>
      </c>
      <c r="I549" s="70">
        <v>318302</v>
      </c>
      <c r="J549" s="62" t="s">
        <v>987</v>
      </c>
      <c r="K549" s="8" t="s">
        <v>1528</v>
      </c>
      <c r="L549" s="10">
        <v>48738</v>
      </c>
      <c r="M549" s="62">
        <v>1</v>
      </c>
      <c r="N549" s="8">
        <v>1</v>
      </c>
      <c r="O549" s="62">
        <f t="shared" si="133"/>
        <v>0</v>
      </c>
      <c r="P549" s="70">
        <v>106</v>
      </c>
      <c r="Q549" s="71">
        <v>46129</v>
      </c>
      <c r="R549" s="6">
        <v>46130</v>
      </c>
      <c r="S549" s="64">
        <v>13168.8</v>
      </c>
      <c r="T549" s="22">
        <v>5</v>
      </c>
      <c r="U549" s="64">
        <f t="shared" si="134"/>
        <v>658.44</v>
      </c>
      <c r="V549" s="22">
        <v>0</v>
      </c>
      <c r="W549" s="22">
        <v>25780</v>
      </c>
      <c r="X549" s="62" t="s">
        <v>1368</v>
      </c>
      <c r="Y549" s="62">
        <v>58164465623</v>
      </c>
      <c r="Z549" s="62" t="s">
        <v>1112</v>
      </c>
      <c r="AA549" s="65">
        <v>4</v>
      </c>
      <c r="AB549" s="66"/>
      <c r="AC549" s="1" t="s">
        <v>13</v>
      </c>
      <c r="AD549" s="62" t="str">
        <f>VLOOKUP(X549,'Customer List'!B:C,2,)</f>
        <v>Banglore</v>
      </c>
      <c r="AE549" s="67"/>
      <c r="AF549" s="6">
        <v>46133</v>
      </c>
      <c r="AG549" s="62">
        <f t="shared" si="135"/>
        <v>3</v>
      </c>
      <c r="AH549" s="62" t="str">
        <f t="shared" si="136"/>
        <v>Sunday</v>
      </c>
      <c r="AI549" s="62" t="str">
        <f t="shared" si="129"/>
        <v>Tuesday</v>
      </c>
      <c r="AJ549" s="62" t="str">
        <f>VLOOKUP(AC549,'Currency Sheet'!A:C,3,)</f>
        <v>DOLLAR</v>
      </c>
      <c r="AK549" s="62" t="str">
        <f>VLOOKUP(X549,'Customer List'!B:D,3,)</f>
        <v>OutStation</v>
      </c>
    </row>
    <row r="550" spans="1:37" hidden="1" x14ac:dyDescent="0.25">
      <c r="A550" s="62">
        <f t="shared" si="130"/>
        <v>536</v>
      </c>
      <c r="B550" s="62" t="s">
        <v>824</v>
      </c>
      <c r="C550" s="62" t="s">
        <v>1457</v>
      </c>
      <c r="D550" s="6">
        <v>46112</v>
      </c>
      <c r="E550" s="6">
        <v>46128</v>
      </c>
      <c r="F550" s="63">
        <v>131.25</v>
      </c>
      <c r="G550" s="64">
        <f t="shared" si="131"/>
        <v>11550</v>
      </c>
      <c r="H550" s="64">
        <f t="shared" si="132"/>
        <v>11550</v>
      </c>
      <c r="I550" s="70">
        <v>318353</v>
      </c>
      <c r="J550" s="62" t="s">
        <v>987</v>
      </c>
      <c r="K550" s="8" t="s">
        <v>1529</v>
      </c>
      <c r="L550" s="10">
        <v>46934</v>
      </c>
      <c r="M550" s="62">
        <v>1</v>
      </c>
      <c r="N550" s="8">
        <v>1</v>
      </c>
      <c r="O550" s="62">
        <f t="shared" si="133"/>
        <v>0</v>
      </c>
      <c r="P550" s="70">
        <v>109</v>
      </c>
      <c r="Q550" s="71">
        <v>46129</v>
      </c>
      <c r="R550" s="6">
        <v>46130</v>
      </c>
      <c r="S550" s="64">
        <v>15330</v>
      </c>
      <c r="T550" s="22">
        <v>5</v>
      </c>
      <c r="U550" s="64">
        <f t="shared" si="134"/>
        <v>766.5</v>
      </c>
      <c r="V550" s="22">
        <v>0.5</v>
      </c>
      <c r="W550" s="22">
        <v>16097</v>
      </c>
      <c r="X550" s="62" t="s">
        <v>806</v>
      </c>
      <c r="Y550" s="62">
        <v>58164462731</v>
      </c>
      <c r="Z550" s="62" t="s">
        <v>1112</v>
      </c>
      <c r="AA550" s="65">
        <v>4</v>
      </c>
      <c r="AB550" s="66"/>
      <c r="AC550" s="1" t="s">
        <v>13</v>
      </c>
      <c r="AD550" s="62" t="str">
        <f>VLOOKUP(X550,'Customer List'!B:C,2,)</f>
        <v>Kerala</v>
      </c>
      <c r="AE550" s="67"/>
      <c r="AF550" s="6">
        <v>46134</v>
      </c>
      <c r="AG550" s="62">
        <f t="shared" si="135"/>
        <v>4</v>
      </c>
      <c r="AH550" s="62" t="str">
        <f t="shared" si="136"/>
        <v>Saturday</v>
      </c>
      <c r="AI550" s="62" t="str">
        <f t="shared" si="129"/>
        <v>Wednesday</v>
      </c>
      <c r="AJ550" s="62" t="str">
        <f>VLOOKUP(AC550,'Currency Sheet'!A:C,3,)</f>
        <v>DOLLAR</v>
      </c>
      <c r="AK550" s="62" t="str">
        <f>VLOOKUP(X550,'Customer List'!B:D,3,)</f>
        <v>OutStation</v>
      </c>
    </row>
    <row r="551" spans="1:37" hidden="1" x14ac:dyDescent="0.25">
      <c r="A551" s="62">
        <f t="shared" si="130"/>
        <v>537</v>
      </c>
      <c r="B551" s="62" t="s">
        <v>824</v>
      </c>
      <c r="C551" s="62" t="s">
        <v>1457</v>
      </c>
      <c r="D551" s="6">
        <v>46112</v>
      </c>
      <c r="E551" s="6">
        <v>46128</v>
      </c>
      <c r="F551" s="63">
        <v>234.5</v>
      </c>
      <c r="G551" s="64">
        <f t="shared" si="131"/>
        <v>20636</v>
      </c>
      <c r="H551" s="64">
        <f t="shared" si="132"/>
        <v>20636</v>
      </c>
      <c r="I551" s="70">
        <v>321152</v>
      </c>
      <c r="J551" s="62" t="s">
        <v>1530</v>
      </c>
      <c r="K551" s="8" t="s">
        <v>1531</v>
      </c>
      <c r="L551" s="10">
        <v>47559</v>
      </c>
      <c r="M551" s="62">
        <v>1</v>
      </c>
      <c r="N551" s="8">
        <v>1</v>
      </c>
      <c r="O551" s="62">
        <f t="shared" si="133"/>
        <v>0</v>
      </c>
      <c r="P551" s="70">
        <v>96</v>
      </c>
      <c r="Q551" s="71">
        <v>46129</v>
      </c>
      <c r="R551" s="6">
        <v>46129</v>
      </c>
      <c r="S551" s="64">
        <v>38943.75</v>
      </c>
      <c r="T551" s="22">
        <v>5</v>
      </c>
      <c r="U551" s="64">
        <f t="shared" si="134"/>
        <v>1947.1875</v>
      </c>
      <c r="V551" s="22">
        <v>0</v>
      </c>
      <c r="W551" s="22">
        <v>268782</v>
      </c>
      <c r="X551" s="62" t="s">
        <v>1592</v>
      </c>
      <c r="Y551" s="62" t="s">
        <v>1120</v>
      </c>
      <c r="Z551" s="62" t="s">
        <v>1116</v>
      </c>
      <c r="AA551" s="65">
        <v>4</v>
      </c>
      <c r="AB551" s="66"/>
      <c r="AC551" s="1" t="s">
        <v>13</v>
      </c>
      <c r="AD551" s="62" t="str">
        <f>VLOOKUP(X551,'Customer List'!B:C,2,)</f>
        <v>Sonipat</v>
      </c>
      <c r="AE551" s="67"/>
      <c r="AF551" s="6"/>
      <c r="AG551" s="62" t="str">
        <f t="shared" si="135"/>
        <v/>
      </c>
      <c r="AH551" s="62" t="str">
        <f t="shared" si="136"/>
        <v>Monday</v>
      </c>
      <c r="AI551" s="62" t="str">
        <f t="shared" si="129"/>
        <v/>
      </c>
      <c r="AJ551" s="62" t="str">
        <f>VLOOKUP(AC551,'Currency Sheet'!A:C,3,)</f>
        <v>DOLLAR</v>
      </c>
      <c r="AK551" s="62" t="str">
        <f>VLOOKUP(X551,'Customer List'!B:D,3,)</f>
        <v>Local</v>
      </c>
    </row>
    <row r="552" spans="1:37" hidden="1" x14ac:dyDescent="0.25">
      <c r="A552" s="62">
        <f t="shared" si="130"/>
        <v>538</v>
      </c>
      <c r="B552" s="62" t="s">
        <v>824</v>
      </c>
      <c r="C552" s="62" t="s">
        <v>1457</v>
      </c>
      <c r="D552" s="6">
        <v>46112</v>
      </c>
      <c r="E552" s="6">
        <v>46128</v>
      </c>
      <c r="F552" s="63">
        <v>185.5</v>
      </c>
      <c r="G552" s="64">
        <f t="shared" si="131"/>
        <v>16324</v>
      </c>
      <c r="H552" s="64">
        <f t="shared" si="132"/>
        <v>16324</v>
      </c>
      <c r="I552" s="70">
        <v>322716</v>
      </c>
      <c r="J552" s="62" t="s">
        <v>1532</v>
      </c>
      <c r="K552" s="8" t="s">
        <v>1533</v>
      </c>
      <c r="L552" s="10">
        <v>47829</v>
      </c>
      <c r="M552" s="62">
        <v>1</v>
      </c>
      <c r="N552" s="8">
        <v>1</v>
      </c>
      <c r="O552" s="62">
        <f t="shared" si="133"/>
        <v>0</v>
      </c>
      <c r="P552" s="70">
        <v>104</v>
      </c>
      <c r="Q552" s="71">
        <v>46129</v>
      </c>
      <c r="R552" s="6">
        <v>46130</v>
      </c>
      <c r="S552" s="64">
        <v>28752.5</v>
      </c>
      <c r="T552" s="22">
        <v>5</v>
      </c>
      <c r="U552" s="64">
        <f t="shared" si="134"/>
        <v>1437.625</v>
      </c>
      <c r="V552" s="22">
        <v>-0.13</v>
      </c>
      <c r="W552" s="22">
        <v>30190</v>
      </c>
      <c r="X552" s="62" t="s">
        <v>1597</v>
      </c>
      <c r="Y552" s="62">
        <v>58164464164</v>
      </c>
      <c r="Z552" s="62" t="s">
        <v>1112</v>
      </c>
      <c r="AA552" s="65">
        <v>4</v>
      </c>
      <c r="AB552" s="66"/>
      <c r="AC552" s="1" t="s">
        <v>13</v>
      </c>
      <c r="AD552" s="62" t="str">
        <f>VLOOKUP(X552,'Customer List'!B:C,2,)</f>
        <v>Banglore</v>
      </c>
      <c r="AE552" s="67"/>
      <c r="AF552" s="6">
        <v>46133</v>
      </c>
      <c r="AG552" s="62">
        <f t="shared" si="135"/>
        <v>3</v>
      </c>
      <c r="AH552" s="62" t="str">
        <f t="shared" si="136"/>
        <v>Tuesday</v>
      </c>
      <c r="AI552" s="62" t="str">
        <f t="shared" si="129"/>
        <v>Tuesday</v>
      </c>
      <c r="AJ552" s="62" t="str">
        <f>VLOOKUP(AC552,'Currency Sheet'!A:C,3,)</f>
        <v>DOLLAR</v>
      </c>
      <c r="AK552" s="62" t="str">
        <f>VLOOKUP(X552,'Customer List'!B:D,3,)</f>
        <v>OutStation</v>
      </c>
    </row>
    <row r="553" spans="1:37" hidden="1" x14ac:dyDescent="0.25">
      <c r="A553" s="62">
        <f t="shared" si="130"/>
        <v>539</v>
      </c>
      <c r="B553" s="62" t="s">
        <v>824</v>
      </c>
      <c r="C553" s="62" t="s">
        <v>1457</v>
      </c>
      <c r="D553" s="6">
        <v>46112</v>
      </c>
      <c r="E553" s="6">
        <v>46128</v>
      </c>
      <c r="F553" s="63">
        <v>267.39999999999998</v>
      </c>
      <c r="G553" s="64">
        <f t="shared" si="131"/>
        <v>23531.199999999997</v>
      </c>
      <c r="H553" s="64">
        <f t="shared" si="132"/>
        <v>23531.199999999997</v>
      </c>
      <c r="I553" s="70">
        <v>328118</v>
      </c>
      <c r="J553" s="62" t="s">
        <v>1534</v>
      </c>
      <c r="K553" s="8" t="s">
        <v>1535</v>
      </c>
      <c r="L553" s="10">
        <v>47268</v>
      </c>
      <c r="M553" s="62">
        <v>1</v>
      </c>
      <c r="N553" s="8">
        <v>1</v>
      </c>
      <c r="O553" s="62">
        <f t="shared" si="133"/>
        <v>0</v>
      </c>
      <c r="P553" s="70" t="s">
        <v>1612</v>
      </c>
      <c r="Q553" s="71">
        <v>46128</v>
      </c>
      <c r="R553" s="6">
        <v>46128</v>
      </c>
      <c r="S553" s="64">
        <v>47368</v>
      </c>
      <c r="T553" s="22">
        <v>5</v>
      </c>
      <c r="U553" s="64">
        <f t="shared" si="134"/>
        <v>2368.4</v>
      </c>
      <c r="V553" s="22">
        <v>0</v>
      </c>
      <c r="W553" s="22">
        <v>492026</v>
      </c>
      <c r="X553" s="62" t="s">
        <v>1094</v>
      </c>
      <c r="Y553" s="62" t="s">
        <v>1105</v>
      </c>
      <c r="Z553" s="62" t="s">
        <v>1105</v>
      </c>
      <c r="AA553" s="65">
        <v>4</v>
      </c>
      <c r="AB553" s="66"/>
      <c r="AC553" s="1" t="s">
        <v>13</v>
      </c>
      <c r="AD553" s="62" t="str">
        <f>VLOOKUP(X553,'Customer List'!B:C,2,)</f>
        <v>Delhi</v>
      </c>
      <c r="AE553" s="67" t="s">
        <v>821</v>
      </c>
      <c r="AF553" s="6"/>
      <c r="AG553" s="62" t="str">
        <f t="shared" si="135"/>
        <v/>
      </c>
      <c r="AH553" s="62" t="str">
        <f t="shared" si="136"/>
        <v>Friday</v>
      </c>
      <c r="AI553" s="62" t="str">
        <f t="shared" si="129"/>
        <v/>
      </c>
      <c r="AJ553" s="62" t="str">
        <f>VLOOKUP(AC553,'Currency Sheet'!A:C,3,)</f>
        <v>DOLLAR</v>
      </c>
      <c r="AK553" s="62" t="str">
        <f>VLOOKUP(X553,'Customer List'!B:D,3,)</f>
        <v>Local</v>
      </c>
    </row>
    <row r="554" spans="1:37" hidden="1" x14ac:dyDescent="0.25">
      <c r="A554" s="62">
        <f t="shared" si="130"/>
        <v>540</v>
      </c>
      <c r="B554" s="62" t="s">
        <v>824</v>
      </c>
      <c r="C554" s="62" t="s">
        <v>1457</v>
      </c>
      <c r="D554" s="6">
        <v>46112</v>
      </c>
      <c r="E554" s="6">
        <v>46128</v>
      </c>
      <c r="F554" s="63">
        <v>160.30000000000001</v>
      </c>
      <c r="G554" s="64">
        <f t="shared" si="131"/>
        <v>14106.400000000001</v>
      </c>
      <c r="H554" s="64">
        <f t="shared" si="132"/>
        <v>14106.400000000001</v>
      </c>
      <c r="I554" s="70">
        <v>329904</v>
      </c>
      <c r="J554" s="62" t="s">
        <v>996</v>
      </c>
      <c r="K554" s="8" t="s">
        <v>1536</v>
      </c>
      <c r="L554" s="10">
        <v>47318</v>
      </c>
      <c r="M554" s="62">
        <v>1</v>
      </c>
      <c r="N554" s="8">
        <v>1</v>
      </c>
      <c r="O554" s="62">
        <f t="shared" si="133"/>
        <v>0</v>
      </c>
      <c r="P554" s="70">
        <v>114</v>
      </c>
      <c r="Q554" s="71">
        <v>46129</v>
      </c>
      <c r="R554" s="6">
        <v>46129</v>
      </c>
      <c r="S554" s="64">
        <v>24846.5</v>
      </c>
      <c r="T554" s="22">
        <v>5</v>
      </c>
      <c r="U554" s="64">
        <f t="shared" si="134"/>
        <v>1242.325</v>
      </c>
      <c r="V554" s="22">
        <v>0</v>
      </c>
      <c r="W554" s="22">
        <v>190483</v>
      </c>
      <c r="X554" s="62" t="s">
        <v>1590</v>
      </c>
      <c r="Y554" s="62" t="s">
        <v>1669</v>
      </c>
      <c r="Z554" s="62" t="s">
        <v>1112</v>
      </c>
      <c r="AA554" s="65">
        <v>4</v>
      </c>
      <c r="AB554" s="66"/>
      <c r="AC554" s="1" t="s">
        <v>13</v>
      </c>
      <c r="AD554" s="62" t="str">
        <f>VLOOKUP(X554,'Customer List'!B:C,2,)</f>
        <v>Chandigarh</v>
      </c>
      <c r="AE554" s="67"/>
      <c r="AF554" s="6"/>
      <c r="AG554" s="62" t="str">
        <f t="shared" si="135"/>
        <v/>
      </c>
      <c r="AH554" s="62" t="str">
        <f t="shared" si="136"/>
        <v>Tuesday</v>
      </c>
      <c r="AI554" s="62" t="str">
        <f t="shared" si="129"/>
        <v/>
      </c>
      <c r="AJ554" s="62" t="str">
        <f>VLOOKUP(AC554,'Currency Sheet'!A:C,3,)</f>
        <v>DOLLAR</v>
      </c>
      <c r="AK554" s="62" t="str">
        <f>VLOOKUP(X554,'Customer List'!B:D,3,)</f>
        <v>OutStation</v>
      </c>
    </row>
    <row r="555" spans="1:37" hidden="1" x14ac:dyDescent="0.25">
      <c r="A555" s="62">
        <f t="shared" si="130"/>
        <v>541</v>
      </c>
      <c r="B555" s="62" t="s">
        <v>824</v>
      </c>
      <c r="C555" s="62" t="s">
        <v>1457</v>
      </c>
      <c r="D555" s="6">
        <v>46112</v>
      </c>
      <c r="E555" s="6">
        <v>46128</v>
      </c>
      <c r="F555" s="63">
        <v>334.5</v>
      </c>
      <c r="G555" s="64">
        <f t="shared" si="131"/>
        <v>29436</v>
      </c>
      <c r="H555" s="64">
        <f t="shared" si="132"/>
        <v>29436</v>
      </c>
      <c r="I555" s="70">
        <v>329924</v>
      </c>
      <c r="J555" s="62" t="s">
        <v>996</v>
      </c>
      <c r="K555" s="8" t="s">
        <v>1537</v>
      </c>
      <c r="L555" s="10">
        <v>46308</v>
      </c>
      <c r="M555" s="62">
        <v>1</v>
      </c>
      <c r="N555" s="8">
        <v>1</v>
      </c>
      <c r="O555" s="62">
        <f t="shared" si="133"/>
        <v>0</v>
      </c>
      <c r="P555" s="70">
        <v>102</v>
      </c>
      <c r="Q555" s="71">
        <v>46129</v>
      </c>
      <c r="R555" s="6">
        <v>46129</v>
      </c>
      <c r="S555" s="64">
        <v>47008</v>
      </c>
      <c r="T555" s="22">
        <v>5</v>
      </c>
      <c r="U555" s="64">
        <f t="shared" si="134"/>
        <v>2350.4</v>
      </c>
      <c r="V555" s="22">
        <v>0</v>
      </c>
      <c r="W555" s="22">
        <v>139000</v>
      </c>
      <c r="X555" s="62" t="s">
        <v>1365</v>
      </c>
      <c r="Y555" s="62" t="s">
        <v>1668</v>
      </c>
      <c r="Z555" s="62" t="s">
        <v>1112</v>
      </c>
      <c r="AA555" s="65">
        <v>4</v>
      </c>
      <c r="AB555" s="66"/>
      <c r="AC555" s="1" t="s">
        <v>13</v>
      </c>
      <c r="AD555" s="62" t="str">
        <f>VLOOKUP(X555,'Customer List'!B:C,2,)</f>
        <v>Punjab</v>
      </c>
      <c r="AE555" s="67"/>
      <c r="AF555" s="6">
        <v>46133</v>
      </c>
      <c r="AG555" s="62">
        <f t="shared" si="135"/>
        <v>4</v>
      </c>
      <c r="AH555" s="62" t="str">
        <f t="shared" si="136"/>
        <v>Tuesday</v>
      </c>
      <c r="AI555" s="62" t="str">
        <f t="shared" si="129"/>
        <v>Tuesday</v>
      </c>
      <c r="AJ555" s="62" t="str">
        <f>VLOOKUP(AC555,'Currency Sheet'!A:C,3,)</f>
        <v>DOLLAR</v>
      </c>
      <c r="AK555" s="62" t="str">
        <f>VLOOKUP(X555,'Customer List'!B:D,3,)</f>
        <v>OutStation</v>
      </c>
    </row>
    <row r="556" spans="1:37" hidden="1" x14ac:dyDescent="0.25">
      <c r="A556" s="62">
        <f t="shared" si="130"/>
        <v>542</v>
      </c>
      <c r="B556" s="62" t="s">
        <v>824</v>
      </c>
      <c r="C556" s="62" t="s">
        <v>1457</v>
      </c>
      <c r="D556" s="6">
        <v>46112</v>
      </c>
      <c r="E556" s="6">
        <v>46128</v>
      </c>
      <c r="F556" s="63">
        <v>326.25</v>
      </c>
      <c r="G556" s="64">
        <f t="shared" si="131"/>
        <v>28710</v>
      </c>
      <c r="H556" s="64">
        <f t="shared" si="132"/>
        <v>28710</v>
      </c>
      <c r="I556" s="70">
        <v>333826</v>
      </c>
      <c r="J556" s="62" t="s">
        <v>1538</v>
      </c>
      <c r="K556" s="8" t="s">
        <v>1539</v>
      </c>
      <c r="L556" s="10">
        <v>46878</v>
      </c>
      <c r="M556" s="62">
        <v>1</v>
      </c>
      <c r="N556" s="8">
        <v>1</v>
      </c>
      <c r="O556" s="62">
        <f t="shared" si="133"/>
        <v>0</v>
      </c>
      <c r="P556" s="70" t="s">
        <v>1612</v>
      </c>
      <c r="Q556" s="71">
        <v>46128</v>
      </c>
      <c r="R556" s="6">
        <v>46128</v>
      </c>
      <c r="S556" s="64">
        <v>53940</v>
      </c>
      <c r="T556" s="22">
        <v>5</v>
      </c>
      <c r="U556" s="64">
        <f t="shared" si="134"/>
        <v>2697</v>
      </c>
      <c r="V556" s="22">
        <v>0</v>
      </c>
      <c r="W556" s="22">
        <v>492026</v>
      </c>
      <c r="X556" s="62" t="s">
        <v>1094</v>
      </c>
      <c r="Y556" s="62" t="s">
        <v>1105</v>
      </c>
      <c r="Z556" s="62" t="s">
        <v>1105</v>
      </c>
      <c r="AA556" s="65">
        <v>4</v>
      </c>
      <c r="AB556" s="66"/>
      <c r="AC556" s="1" t="s">
        <v>13</v>
      </c>
      <c r="AD556" s="62" t="str">
        <f>VLOOKUP(X556,'Customer List'!B:C,2,)</f>
        <v>Delhi</v>
      </c>
      <c r="AE556" s="67" t="s">
        <v>821</v>
      </c>
      <c r="AF556" s="6"/>
      <c r="AG556" s="62" t="str">
        <f t="shared" si="135"/>
        <v/>
      </c>
      <c r="AH556" s="62" t="str">
        <f t="shared" si="136"/>
        <v>Thursday</v>
      </c>
      <c r="AI556" s="62" t="str">
        <f t="shared" si="129"/>
        <v/>
      </c>
      <c r="AJ556" s="62" t="str">
        <f>VLOOKUP(AC556,'Currency Sheet'!A:C,3,)</f>
        <v>DOLLAR</v>
      </c>
      <c r="AK556" s="62" t="str">
        <f>VLOOKUP(X556,'Customer List'!B:D,3,)</f>
        <v>Local</v>
      </c>
    </row>
    <row r="557" spans="1:37" hidden="1" x14ac:dyDescent="0.25">
      <c r="A557" s="62">
        <f t="shared" si="130"/>
        <v>543</v>
      </c>
      <c r="B557" s="62" t="s">
        <v>824</v>
      </c>
      <c r="C557" s="62" t="s">
        <v>1457</v>
      </c>
      <c r="D557" s="6">
        <v>46112</v>
      </c>
      <c r="E557" s="6">
        <v>46128</v>
      </c>
      <c r="F557" s="63">
        <v>185.5</v>
      </c>
      <c r="G557" s="64">
        <f t="shared" si="131"/>
        <v>16324</v>
      </c>
      <c r="H557" s="64">
        <f t="shared" si="132"/>
        <v>16324</v>
      </c>
      <c r="I557" s="70">
        <v>343620</v>
      </c>
      <c r="J557" s="62" t="s">
        <v>1540</v>
      </c>
      <c r="K557" s="8" t="s">
        <v>1541</v>
      </c>
      <c r="L557" s="10">
        <v>46786</v>
      </c>
      <c r="M557" s="62">
        <v>1</v>
      </c>
      <c r="N557" s="8">
        <v>1</v>
      </c>
      <c r="O557" s="62">
        <f t="shared" si="133"/>
        <v>0</v>
      </c>
      <c r="P557" s="70" t="s">
        <v>1612</v>
      </c>
      <c r="Q557" s="71">
        <v>46128</v>
      </c>
      <c r="R557" s="6">
        <v>46128</v>
      </c>
      <c r="S557" s="64">
        <v>32860</v>
      </c>
      <c r="T557" s="22">
        <v>5</v>
      </c>
      <c r="U557" s="64">
        <f t="shared" si="134"/>
        <v>1643</v>
      </c>
      <c r="V557" s="22">
        <v>0</v>
      </c>
      <c r="W557" s="22">
        <v>492026</v>
      </c>
      <c r="X557" s="62" t="s">
        <v>1094</v>
      </c>
      <c r="Y557" s="62" t="s">
        <v>1105</v>
      </c>
      <c r="Z557" s="62" t="s">
        <v>1105</v>
      </c>
      <c r="AA557" s="65">
        <v>4</v>
      </c>
      <c r="AB557" s="66"/>
      <c r="AC557" s="1" t="s">
        <v>13</v>
      </c>
      <c r="AD557" s="62" t="str">
        <f>VLOOKUP(X557,'Customer List'!B:C,2,)</f>
        <v>Delhi</v>
      </c>
      <c r="AE557" s="67" t="s">
        <v>821</v>
      </c>
      <c r="AF557" s="6"/>
      <c r="AG557" s="62" t="str">
        <f t="shared" si="135"/>
        <v/>
      </c>
      <c r="AH557" s="62" t="str">
        <f t="shared" si="136"/>
        <v>Monday</v>
      </c>
      <c r="AI557" s="62" t="str">
        <f t="shared" si="129"/>
        <v/>
      </c>
      <c r="AJ557" s="62" t="str">
        <f>VLOOKUP(AC557,'Currency Sheet'!A:C,3,)</f>
        <v>DOLLAR</v>
      </c>
      <c r="AK557" s="62" t="str">
        <f>VLOOKUP(X557,'Customer List'!B:D,3,)</f>
        <v>Local</v>
      </c>
    </row>
    <row r="558" spans="1:37" hidden="1" x14ac:dyDescent="0.25">
      <c r="A558" s="62">
        <f t="shared" si="130"/>
        <v>544</v>
      </c>
      <c r="B558" s="62" t="s">
        <v>824</v>
      </c>
      <c r="C558" s="62" t="s">
        <v>1457</v>
      </c>
      <c r="D558" s="6">
        <v>46112</v>
      </c>
      <c r="E558" s="6">
        <v>46128</v>
      </c>
      <c r="F558" s="63">
        <v>227.5</v>
      </c>
      <c r="G558" s="64">
        <f t="shared" si="131"/>
        <v>20020</v>
      </c>
      <c r="H558" s="64">
        <f t="shared" si="132"/>
        <v>40040</v>
      </c>
      <c r="I558" s="70">
        <v>344706</v>
      </c>
      <c r="J558" s="62" t="s">
        <v>773</v>
      </c>
      <c r="K558" s="8" t="s">
        <v>1542</v>
      </c>
      <c r="L558" s="10">
        <v>46890</v>
      </c>
      <c r="M558" s="62">
        <v>2</v>
      </c>
      <c r="N558" s="8">
        <v>2</v>
      </c>
      <c r="O558" s="62">
        <f t="shared" si="133"/>
        <v>0</v>
      </c>
      <c r="P558" s="70">
        <v>108</v>
      </c>
      <c r="Q558" s="71">
        <v>46129</v>
      </c>
      <c r="R558" s="6">
        <v>46130</v>
      </c>
      <c r="S558" s="64">
        <v>61750</v>
      </c>
      <c r="T558" s="22">
        <v>5</v>
      </c>
      <c r="U558" s="64">
        <f t="shared" si="134"/>
        <v>3087.5</v>
      </c>
      <c r="V558" s="22">
        <v>0</v>
      </c>
      <c r="W558" s="22">
        <v>227231</v>
      </c>
      <c r="X558" s="62" t="s">
        <v>902</v>
      </c>
      <c r="Y558" s="62">
        <v>58164466544</v>
      </c>
      <c r="Z558" s="62" t="s">
        <v>1112</v>
      </c>
      <c r="AA558" s="65">
        <v>4</v>
      </c>
      <c r="AB558" s="66"/>
      <c r="AC558" s="1" t="s">
        <v>13</v>
      </c>
      <c r="AD558" s="62" t="str">
        <f>VLOOKUP(X558,'Customer List'!B:C,2,)</f>
        <v>Hyderabad</v>
      </c>
      <c r="AE558" s="67"/>
      <c r="AF558" s="6">
        <v>46132</v>
      </c>
      <c r="AG558" s="62">
        <f t="shared" si="135"/>
        <v>2</v>
      </c>
      <c r="AH558" s="62" t="str">
        <f t="shared" si="136"/>
        <v>Tuesday</v>
      </c>
      <c r="AI558" s="62" t="str">
        <f t="shared" si="129"/>
        <v>Monday</v>
      </c>
      <c r="AJ558" s="62" t="str">
        <f>VLOOKUP(AC558,'Currency Sheet'!A:C,3,)</f>
        <v>DOLLAR</v>
      </c>
      <c r="AK558" s="62" t="str">
        <f>VLOOKUP(X558,'Customer List'!B:D,3,)</f>
        <v>OutStation</v>
      </c>
    </row>
    <row r="559" spans="1:37" hidden="1" x14ac:dyDescent="0.25">
      <c r="A559" s="62">
        <f t="shared" si="130"/>
        <v>545</v>
      </c>
      <c r="B559" s="62" t="s">
        <v>824</v>
      </c>
      <c r="C559" s="62" t="s">
        <v>1457</v>
      </c>
      <c r="D559" s="6">
        <v>46112</v>
      </c>
      <c r="E559" s="6">
        <v>46128</v>
      </c>
      <c r="F559" s="63">
        <v>313.5</v>
      </c>
      <c r="G559" s="64">
        <f t="shared" si="131"/>
        <v>27588</v>
      </c>
      <c r="H559" s="64">
        <f t="shared" si="132"/>
        <v>27588</v>
      </c>
      <c r="I559" s="70">
        <v>344734</v>
      </c>
      <c r="J559" s="62" t="s">
        <v>773</v>
      </c>
      <c r="K559" s="8" t="s">
        <v>1543</v>
      </c>
      <c r="L559" s="10">
        <v>46621</v>
      </c>
      <c r="M559" s="62">
        <v>1</v>
      </c>
      <c r="N559" s="8">
        <v>1</v>
      </c>
      <c r="O559" s="62">
        <f t="shared" si="133"/>
        <v>0</v>
      </c>
      <c r="P559" s="70">
        <v>96</v>
      </c>
      <c r="Q559" s="71">
        <v>46129</v>
      </c>
      <c r="R559" s="6">
        <v>46129</v>
      </c>
      <c r="S559" s="64">
        <v>97185</v>
      </c>
      <c r="T559" s="22">
        <v>5</v>
      </c>
      <c r="U559" s="64">
        <f t="shared" si="134"/>
        <v>4859.25</v>
      </c>
      <c r="V559" s="22">
        <v>0</v>
      </c>
      <c r="W559" s="22">
        <v>268782</v>
      </c>
      <c r="X559" s="62" t="s">
        <v>1592</v>
      </c>
      <c r="Y559" s="62" t="s">
        <v>1120</v>
      </c>
      <c r="Z559" s="62" t="s">
        <v>1116</v>
      </c>
      <c r="AA559" s="65">
        <v>4</v>
      </c>
      <c r="AB559" s="66"/>
      <c r="AC559" s="1" t="s">
        <v>13</v>
      </c>
      <c r="AD559" s="62" t="str">
        <f>VLOOKUP(X559,'Customer List'!B:C,2,)</f>
        <v>Sonipat</v>
      </c>
      <c r="AE559" s="67"/>
      <c r="AF559" s="6"/>
      <c r="AG559" s="62" t="str">
        <f t="shared" si="135"/>
        <v/>
      </c>
      <c r="AH559" s="62" t="str">
        <f t="shared" si="136"/>
        <v>Wednesday</v>
      </c>
      <c r="AI559" s="62" t="str">
        <f t="shared" si="129"/>
        <v/>
      </c>
      <c r="AJ559" s="62" t="str">
        <f>VLOOKUP(AC559,'Currency Sheet'!A:C,3,)</f>
        <v>DOLLAR</v>
      </c>
      <c r="AK559" s="62" t="str">
        <f>VLOOKUP(X559,'Customer List'!B:D,3,)</f>
        <v>Local</v>
      </c>
    </row>
    <row r="560" spans="1:37" hidden="1" x14ac:dyDescent="0.25">
      <c r="A560" s="62">
        <f t="shared" si="130"/>
        <v>546</v>
      </c>
      <c r="B560" s="62" t="s">
        <v>824</v>
      </c>
      <c r="C560" s="62" t="s">
        <v>1457</v>
      </c>
      <c r="D560" s="6">
        <v>46112</v>
      </c>
      <c r="E560" s="6">
        <v>46128</v>
      </c>
      <c r="F560" s="63">
        <v>351</v>
      </c>
      <c r="G560" s="64">
        <f t="shared" si="131"/>
        <v>30888</v>
      </c>
      <c r="H560" s="64">
        <f t="shared" si="132"/>
        <v>30888</v>
      </c>
      <c r="I560" s="70">
        <v>348807</v>
      </c>
      <c r="J560" s="62" t="s">
        <v>1544</v>
      </c>
      <c r="K560" s="8" t="s">
        <v>1545</v>
      </c>
      <c r="L560" s="10">
        <v>46795</v>
      </c>
      <c r="M560" s="62">
        <v>1</v>
      </c>
      <c r="N560" s="8">
        <v>1</v>
      </c>
      <c r="O560" s="62">
        <f t="shared" si="133"/>
        <v>0</v>
      </c>
      <c r="P560" s="70" t="s">
        <v>1612</v>
      </c>
      <c r="Q560" s="71">
        <v>46128</v>
      </c>
      <c r="R560" s="6">
        <v>46128</v>
      </c>
      <c r="S560" s="64">
        <v>58032</v>
      </c>
      <c r="T560" s="22">
        <v>5</v>
      </c>
      <c r="U560" s="64">
        <f t="shared" si="134"/>
        <v>2901.6000000000004</v>
      </c>
      <c r="V560" s="22">
        <v>0</v>
      </c>
      <c r="W560" s="22">
        <v>492026</v>
      </c>
      <c r="X560" s="62" t="s">
        <v>1094</v>
      </c>
      <c r="Y560" s="62" t="s">
        <v>1105</v>
      </c>
      <c r="Z560" s="62" t="s">
        <v>1105</v>
      </c>
      <c r="AA560" s="65">
        <v>4</v>
      </c>
      <c r="AB560" s="66"/>
      <c r="AC560" s="1" t="s">
        <v>13</v>
      </c>
      <c r="AD560" s="62" t="str">
        <f>VLOOKUP(X560,'Customer List'!B:C,2,)</f>
        <v>Delhi</v>
      </c>
      <c r="AE560" s="67" t="s">
        <v>821</v>
      </c>
      <c r="AF560" s="6"/>
      <c r="AG560" s="62" t="str">
        <f t="shared" si="135"/>
        <v/>
      </c>
      <c r="AH560" s="62" t="str">
        <f t="shared" si="136"/>
        <v>Monday</v>
      </c>
      <c r="AI560" s="62" t="str">
        <f t="shared" si="129"/>
        <v/>
      </c>
      <c r="AJ560" s="62" t="str">
        <f>VLOOKUP(AC560,'Currency Sheet'!A:C,3,)</f>
        <v>DOLLAR</v>
      </c>
      <c r="AK560" s="62" t="str">
        <f>VLOOKUP(X560,'Customer List'!B:D,3,)</f>
        <v>Local</v>
      </c>
    </row>
    <row r="561" spans="1:37" hidden="1" x14ac:dyDescent="0.25">
      <c r="A561" s="62">
        <f t="shared" si="130"/>
        <v>547</v>
      </c>
      <c r="B561" s="62" t="s">
        <v>824</v>
      </c>
      <c r="C561" s="62" t="s">
        <v>1457</v>
      </c>
      <c r="D561" s="6">
        <v>46112</v>
      </c>
      <c r="E561" s="6">
        <v>46128</v>
      </c>
      <c r="F561" s="63">
        <v>330</v>
      </c>
      <c r="G561" s="64">
        <f t="shared" si="131"/>
        <v>29040</v>
      </c>
      <c r="H561" s="64">
        <f t="shared" si="132"/>
        <v>29040</v>
      </c>
      <c r="I561" s="70">
        <v>357214</v>
      </c>
      <c r="J561" s="62" t="s">
        <v>1546</v>
      </c>
      <c r="K561" s="8" t="s">
        <v>1547</v>
      </c>
      <c r="L561" s="10">
        <v>47141</v>
      </c>
      <c r="M561" s="62">
        <v>1</v>
      </c>
      <c r="N561" s="8">
        <v>1</v>
      </c>
      <c r="O561" s="62">
        <f t="shared" si="133"/>
        <v>0</v>
      </c>
      <c r="P561" s="70" t="s">
        <v>1612</v>
      </c>
      <c r="Q561" s="71">
        <v>46128</v>
      </c>
      <c r="R561" s="6">
        <v>46128</v>
      </c>
      <c r="S561" s="64">
        <v>54560</v>
      </c>
      <c r="T561" s="22">
        <v>5</v>
      </c>
      <c r="U561" s="64">
        <f t="shared" si="134"/>
        <v>2728</v>
      </c>
      <c r="V561" s="22">
        <v>0</v>
      </c>
      <c r="W561" s="22">
        <v>492026</v>
      </c>
      <c r="X561" s="62" t="s">
        <v>1094</v>
      </c>
      <c r="Y561" s="62" t="s">
        <v>1105</v>
      </c>
      <c r="Z561" s="62" t="s">
        <v>1105</v>
      </c>
      <c r="AA561" s="65">
        <v>4</v>
      </c>
      <c r="AB561" s="66"/>
      <c r="AC561" s="1" t="s">
        <v>13</v>
      </c>
      <c r="AD561" s="62" t="str">
        <f>VLOOKUP(X561,'Customer List'!B:C,2,)</f>
        <v>Delhi</v>
      </c>
      <c r="AE561" s="67" t="s">
        <v>821</v>
      </c>
      <c r="AF561" s="6"/>
      <c r="AG561" s="62" t="str">
        <f t="shared" si="135"/>
        <v/>
      </c>
      <c r="AH561" s="62" t="str">
        <f t="shared" si="136"/>
        <v>Monday</v>
      </c>
      <c r="AI561" s="62" t="str">
        <f t="shared" si="129"/>
        <v/>
      </c>
      <c r="AJ561" s="62" t="str">
        <f>VLOOKUP(AC561,'Currency Sheet'!A:C,3,)</f>
        <v>DOLLAR</v>
      </c>
      <c r="AK561" s="62" t="str">
        <f>VLOOKUP(X561,'Customer List'!B:D,3,)</f>
        <v>Local</v>
      </c>
    </row>
    <row r="562" spans="1:37" hidden="1" x14ac:dyDescent="0.25">
      <c r="A562" s="62">
        <f t="shared" si="130"/>
        <v>548</v>
      </c>
      <c r="B562" s="62" t="s">
        <v>824</v>
      </c>
      <c r="C562" s="62" t="s">
        <v>1457</v>
      </c>
      <c r="D562" s="6">
        <v>46112</v>
      </c>
      <c r="E562" s="6">
        <v>46128</v>
      </c>
      <c r="F562" s="63">
        <v>186.6</v>
      </c>
      <c r="G562" s="64">
        <f t="shared" si="131"/>
        <v>16420.8</v>
      </c>
      <c r="H562" s="64">
        <f t="shared" si="132"/>
        <v>16420.8</v>
      </c>
      <c r="I562" s="70">
        <v>359612</v>
      </c>
      <c r="J562" s="62" t="s">
        <v>1548</v>
      </c>
      <c r="K562" s="8" t="s">
        <v>1549</v>
      </c>
      <c r="L562" s="10">
        <v>47885</v>
      </c>
      <c r="M562" s="62">
        <v>1</v>
      </c>
      <c r="N562" s="8">
        <v>1</v>
      </c>
      <c r="O562" s="62">
        <f t="shared" si="133"/>
        <v>0</v>
      </c>
      <c r="P562" s="70">
        <v>118</v>
      </c>
      <c r="Q562" s="71">
        <v>46129</v>
      </c>
      <c r="R562" s="6">
        <v>46130</v>
      </c>
      <c r="S562" s="64">
        <v>28923</v>
      </c>
      <c r="T562" s="22">
        <v>5</v>
      </c>
      <c r="U562" s="64">
        <f t="shared" si="134"/>
        <v>1446.15</v>
      </c>
      <c r="V562" s="22">
        <v>-0.15</v>
      </c>
      <c r="W562" s="22">
        <v>30369</v>
      </c>
      <c r="X562" s="62" t="s">
        <v>1366</v>
      </c>
      <c r="Y562" s="62">
        <v>58164467126</v>
      </c>
      <c r="Z562" s="62" t="s">
        <v>1112</v>
      </c>
      <c r="AA562" s="65">
        <v>4</v>
      </c>
      <c r="AB562" s="66"/>
      <c r="AC562" s="1" t="s">
        <v>13</v>
      </c>
      <c r="AD562" s="62" t="str">
        <f>VLOOKUP(X562,'Customer List'!B:C,2,)</f>
        <v>Lucknow</v>
      </c>
      <c r="AE562" s="67"/>
      <c r="AF562" s="6">
        <v>46133</v>
      </c>
      <c r="AG562" s="62">
        <f t="shared" si="135"/>
        <v>3</v>
      </c>
      <c r="AH562" s="62" t="str">
        <f t="shared" si="136"/>
        <v>Friday</v>
      </c>
      <c r="AI562" s="62" t="str">
        <f t="shared" si="129"/>
        <v>Tuesday</v>
      </c>
      <c r="AJ562" s="62" t="str">
        <f>VLOOKUP(AC562,'Currency Sheet'!A:C,3,)</f>
        <v>DOLLAR</v>
      </c>
      <c r="AK562" s="62" t="str">
        <f>VLOOKUP(X562,'Customer List'!B:D,3,)</f>
        <v>OutStation</v>
      </c>
    </row>
    <row r="563" spans="1:37" hidden="1" x14ac:dyDescent="0.25">
      <c r="A563" s="62">
        <f t="shared" si="130"/>
        <v>549</v>
      </c>
      <c r="B563" s="62" t="s">
        <v>824</v>
      </c>
      <c r="C563" s="62" t="s">
        <v>1457</v>
      </c>
      <c r="D563" s="6">
        <v>46112</v>
      </c>
      <c r="E563" s="6">
        <v>46128</v>
      </c>
      <c r="F563" s="63">
        <v>258.3</v>
      </c>
      <c r="G563" s="64">
        <f t="shared" si="131"/>
        <v>22730.400000000001</v>
      </c>
      <c r="H563" s="64">
        <f t="shared" si="132"/>
        <v>22730.400000000001</v>
      </c>
      <c r="I563" s="70">
        <v>381504</v>
      </c>
      <c r="J563" s="62" t="s">
        <v>1550</v>
      </c>
      <c r="K563" s="8" t="s">
        <v>1551</v>
      </c>
      <c r="L563" s="10">
        <v>47826</v>
      </c>
      <c r="M563" s="62">
        <v>1</v>
      </c>
      <c r="N563" s="8">
        <v>1</v>
      </c>
      <c r="O563" s="62">
        <f t="shared" si="133"/>
        <v>0</v>
      </c>
      <c r="P563" s="70">
        <v>117</v>
      </c>
      <c r="Q563" s="71">
        <v>46129</v>
      </c>
      <c r="R563" s="6">
        <v>46130</v>
      </c>
      <c r="S563" s="64">
        <v>38320.65</v>
      </c>
      <c r="T563" s="22">
        <v>5</v>
      </c>
      <c r="U563" s="64">
        <f t="shared" si="134"/>
        <v>1916.0325000000003</v>
      </c>
      <c r="V563" s="22">
        <v>0</v>
      </c>
      <c r="W563" s="22">
        <v>747050</v>
      </c>
      <c r="X563" s="62" t="s">
        <v>1366</v>
      </c>
      <c r="Y563" s="62">
        <v>58164467126</v>
      </c>
      <c r="Z563" s="62" t="s">
        <v>1112</v>
      </c>
      <c r="AA563" s="65">
        <v>4</v>
      </c>
      <c r="AB563" s="66"/>
      <c r="AC563" s="1" t="s">
        <v>13</v>
      </c>
      <c r="AD563" s="62" t="str">
        <f>VLOOKUP(X563,'Customer List'!B:C,2,)</f>
        <v>Lucknow</v>
      </c>
      <c r="AE563" s="67"/>
      <c r="AF563" s="6">
        <v>46133</v>
      </c>
      <c r="AG563" s="62">
        <f t="shared" si="135"/>
        <v>3</v>
      </c>
      <c r="AH563" s="62" t="str">
        <f t="shared" si="136"/>
        <v>Monday</v>
      </c>
      <c r="AI563" s="62" t="str">
        <f t="shared" si="129"/>
        <v>Tuesday</v>
      </c>
      <c r="AJ563" s="62" t="str">
        <f>VLOOKUP(AC563,'Currency Sheet'!A:C,3,)</f>
        <v>DOLLAR</v>
      </c>
      <c r="AK563" s="62" t="str">
        <f>VLOOKUP(X563,'Customer List'!B:D,3,)</f>
        <v>OutStation</v>
      </c>
    </row>
    <row r="564" spans="1:37" hidden="1" x14ac:dyDescent="0.25">
      <c r="A564" s="62">
        <f t="shared" si="130"/>
        <v>550</v>
      </c>
      <c r="B564" s="62" t="s">
        <v>824</v>
      </c>
      <c r="C564" s="62" t="s">
        <v>1457</v>
      </c>
      <c r="D564" s="6">
        <v>46112</v>
      </c>
      <c r="E564" s="6">
        <v>46128</v>
      </c>
      <c r="F564" s="63">
        <v>321.75</v>
      </c>
      <c r="G564" s="64">
        <f t="shared" si="131"/>
        <v>28314</v>
      </c>
      <c r="H564" s="64">
        <f t="shared" si="132"/>
        <v>28314</v>
      </c>
      <c r="I564" s="70">
        <v>396414</v>
      </c>
      <c r="J564" s="62" t="s">
        <v>746</v>
      </c>
      <c r="K564" s="8" t="s">
        <v>1552</v>
      </c>
      <c r="L564" s="10">
        <v>47043</v>
      </c>
      <c r="M564" s="62">
        <v>1</v>
      </c>
      <c r="N564" s="8">
        <v>1</v>
      </c>
      <c r="O564" s="62">
        <f t="shared" si="133"/>
        <v>0</v>
      </c>
      <c r="P564" s="70">
        <v>96</v>
      </c>
      <c r="Q564" s="71">
        <v>46129</v>
      </c>
      <c r="R564" s="6">
        <v>46129</v>
      </c>
      <c r="S564" s="64">
        <v>49871.25</v>
      </c>
      <c r="T564" s="22">
        <v>5</v>
      </c>
      <c r="U564" s="64">
        <f t="shared" si="134"/>
        <v>2493.5625</v>
      </c>
      <c r="V564" s="22">
        <v>0</v>
      </c>
      <c r="W564" s="22">
        <v>268782</v>
      </c>
      <c r="X564" s="62" t="s">
        <v>1592</v>
      </c>
      <c r="Y564" s="62" t="s">
        <v>1120</v>
      </c>
      <c r="Z564" s="62" t="s">
        <v>1116</v>
      </c>
      <c r="AA564" s="65">
        <v>4</v>
      </c>
      <c r="AB564" s="66"/>
      <c r="AC564" s="1" t="s">
        <v>13</v>
      </c>
      <c r="AD564" s="62" t="str">
        <f>VLOOKUP(X564,'Customer List'!B:C,2,)</f>
        <v>Sonipat</v>
      </c>
      <c r="AE564" s="67"/>
      <c r="AF564" s="6"/>
      <c r="AG564" s="62" t="str">
        <f t="shared" si="135"/>
        <v/>
      </c>
      <c r="AH564" s="62" t="str">
        <f t="shared" si="136"/>
        <v>Tuesday</v>
      </c>
      <c r="AI564" s="62" t="str">
        <f t="shared" si="129"/>
        <v/>
      </c>
      <c r="AJ564" s="62" t="str">
        <f>VLOOKUP(AC564,'Currency Sheet'!A:C,3,)</f>
        <v>DOLLAR</v>
      </c>
      <c r="AK564" s="62" t="str">
        <f>VLOOKUP(X564,'Customer List'!B:D,3,)</f>
        <v>Local</v>
      </c>
    </row>
    <row r="565" spans="1:37" hidden="1" x14ac:dyDescent="0.25">
      <c r="A565" s="62">
        <f t="shared" si="130"/>
        <v>551</v>
      </c>
      <c r="B565" s="62" t="s">
        <v>824</v>
      </c>
      <c r="C565" s="62" t="s">
        <v>1457</v>
      </c>
      <c r="D565" s="6">
        <v>46112</v>
      </c>
      <c r="E565" s="6">
        <v>46128</v>
      </c>
      <c r="F565" s="63">
        <v>247.1</v>
      </c>
      <c r="G565" s="64">
        <f t="shared" si="131"/>
        <v>21744.799999999999</v>
      </c>
      <c r="H565" s="64">
        <f t="shared" si="132"/>
        <v>21744.799999999999</v>
      </c>
      <c r="I565" s="70">
        <v>399704</v>
      </c>
      <c r="J565" s="62" t="s">
        <v>1553</v>
      </c>
      <c r="K565" s="8" t="s">
        <v>1554</v>
      </c>
      <c r="L565" s="10">
        <v>47526</v>
      </c>
      <c r="M565" s="62">
        <v>1</v>
      </c>
      <c r="N565" s="8">
        <v>1</v>
      </c>
      <c r="O565" s="62">
        <f t="shared" si="133"/>
        <v>0</v>
      </c>
      <c r="P565" s="70">
        <v>111</v>
      </c>
      <c r="Q565" s="71">
        <v>46129</v>
      </c>
      <c r="R565" s="6">
        <v>46130</v>
      </c>
      <c r="S565" s="64">
        <v>37206.199999999997</v>
      </c>
      <c r="T565" s="22">
        <v>5</v>
      </c>
      <c r="U565" s="64">
        <f t="shared" si="134"/>
        <v>1860.31</v>
      </c>
      <c r="V565" s="22">
        <v>-0.31</v>
      </c>
      <c r="W565" s="22">
        <v>187364</v>
      </c>
      <c r="X565" s="62" t="s">
        <v>1593</v>
      </c>
      <c r="Y565" s="62">
        <v>58164465354</v>
      </c>
      <c r="Z565" s="62" t="s">
        <v>1112</v>
      </c>
      <c r="AA565" s="65">
        <v>4</v>
      </c>
      <c r="AB565" s="66"/>
      <c r="AC565" s="1" t="s">
        <v>13</v>
      </c>
      <c r="AD565" s="62" t="str">
        <f>VLOOKUP(X565,'Customer List'!B:C,2,)</f>
        <v>Lucknow</v>
      </c>
      <c r="AE565" s="67"/>
      <c r="AF565" s="6">
        <v>46133</v>
      </c>
      <c r="AG565" s="62">
        <f t="shared" si="135"/>
        <v>3</v>
      </c>
      <c r="AH565" s="62" t="str">
        <f t="shared" si="136"/>
        <v>Sunday</v>
      </c>
      <c r="AI565" s="62" t="str">
        <f t="shared" si="129"/>
        <v>Tuesday</v>
      </c>
      <c r="AJ565" s="62" t="str">
        <f>VLOOKUP(AC565,'Currency Sheet'!A:C,3,)</f>
        <v>DOLLAR</v>
      </c>
      <c r="AK565" s="62" t="str">
        <f>VLOOKUP(X565,'Customer List'!B:D,3,)</f>
        <v>OutStation</v>
      </c>
    </row>
    <row r="566" spans="1:37" hidden="1" x14ac:dyDescent="0.25">
      <c r="A566" s="62">
        <f t="shared" si="130"/>
        <v>552</v>
      </c>
      <c r="B566" s="62" t="s">
        <v>824</v>
      </c>
      <c r="C566" s="62" t="s">
        <v>1457</v>
      </c>
      <c r="D566" s="6">
        <v>46112</v>
      </c>
      <c r="E566" s="6">
        <v>46128</v>
      </c>
      <c r="F566" s="63">
        <v>98.7</v>
      </c>
      <c r="G566" s="64">
        <f t="shared" si="131"/>
        <v>8685.6</v>
      </c>
      <c r="H566" s="64">
        <f t="shared" si="132"/>
        <v>8685.6</v>
      </c>
      <c r="I566" s="70">
        <v>406418</v>
      </c>
      <c r="J566" s="62" t="s">
        <v>779</v>
      </c>
      <c r="K566" s="8" t="s">
        <v>1555</v>
      </c>
      <c r="L566" s="10">
        <v>47254</v>
      </c>
      <c r="M566" s="62">
        <v>1</v>
      </c>
      <c r="N566" s="8">
        <v>1</v>
      </c>
      <c r="O566" s="62">
        <f t="shared" si="133"/>
        <v>0</v>
      </c>
      <c r="P566" s="70">
        <v>117</v>
      </c>
      <c r="Q566" s="71">
        <v>46129</v>
      </c>
      <c r="R566" s="6">
        <v>46130</v>
      </c>
      <c r="S566" s="64">
        <v>14642.85</v>
      </c>
      <c r="T566" s="22">
        <v>5</v>
      </c>
      <c r="U566" s="64">
        <f t="shared" si="134"/>
        <v>732.14250000000004</v>
      </c>
      <c r="V566" s="22">
        <v>0</v>
      </c>
      <c r="W566" s="22">
        <v>747050</v>
      </c>
      <c r="X566" s="62" t="s">
        <v>1366</v>
      </c>
      <c r="Y566" s="62">
        <v>58164467126</v>
      </c>
      <c r="Z566" s="62" t="s">
        <v>1112</v>
      </c>
      <c r="AA566" s="65">
        <v>4</v>
      </c>
      <c r="AB566" s="66"/>
      <c r="AC566" s="1" t="s">
        <v>13</v>
      </c>
      <c r="AD566" s="62" t="str">
        <f>VLOOKUP(X566,'Customer List'!B:C,2,)</f>
        <v>Lucknow</v>
      </c>
      <c r="AE566" s="67"/>
      <c r="AF566" s="6">
        <v>46133</v>
      </c>
      <c r="AG566" s="62">
        <f t="shared" si="135"/>
        <v>3</v>
      </c>
      <c r="AH566" s="62" t="str">
        <f t="shared" si="136"/>
        <v>Thursday</v>
      </c>
      <c r="AI566" s="62" t="str">
        <f t="shared" si="129"/>
        <v>Tuesday</v>
      </c>
      <c r="AJ566" s="62" t="str">
        <f>VLOOKUP(AC566,'Currency Sheet'!A:C,3,)</f>
        <v>DOLLAR</v>
      </c>
      <c r="AK566" s="62" t="str">
        <f>VLOOKUP(X566,'Customer List'!B:D,3,)</f>
        <v>OutStation</v>
      </c>
    </row>
    <row r="567" spans="1:37" hidden="1" x14ac:dyDescent="0.25">
      <c r="A567" s="62">
        <f t="shared" si="130"/>
        <v>553</v>
      </c>
      <c r="B567" s="62" t="s">
        <v>824</v>
      </c>
      <c r="C567" s="62" t="s">
        <v>1457</v>
      </c>
      <c r="D567" s="6">
        <v>46112</v>
      </c>
      <c r="E567" s="6">
        <v>46128</v>
      </c>
      <c r="F567" s="63">
        <v>45.5</v>
      </c>
      <c r="G567" s="64">
        <f t="shared" si="131"/>
        <v>4004</v>
      </c>
      <c r="H567" s="64">
        <f t="shared" si="132"/>
        <v>4004</v>
      </c>
      <c r="I567" s="70">
        <v>420301</v>
      </c>
      <c r="J567" s="62" t="s">
        <v>1050</v>
      </c>
      <c r="K567" s="8" t="s">
        <v>1051</v>
      </c>
      <c r="L567" s="10">
        <v>46653</v>
      </c>
      <c r="M567" s="62">
        <v>1</v>
      </c>
      <c r="N567" s="8">
        <v>1</v>
      </c>
      <c r="O567" s="62">
        <f t="shared" si="133"/>
        <v>0</v>
      </c>
      <c r="P567" s="70" t="s">
        <v>1667</v>
      </c>
      <c r="Q567" s="71">
        <v>46129</v>
      </c>
      <c r="R567" s="6">
        <v>46130</v>
      </c>
      <c r="S567" s="64">
        <v>7052.5</v>
      </c>
      <c r="T567" s="22">
        <v>0</v>
      </c>
      <c r="U567" s="64">
        <f t="shared" si="134"/>
        <v>0</v>
      </c>
      <c r="V567" s="22">
        <v>0.5</v>
      </c>
      <c r="W567" s="22">
        <v>7053</v>
      </c>
      <c r="X567" s="62" t="s">
        <v>1594</v>
      </c>
      <c r="Y567" s="62">
        <v>58164459426</v>
      </c>
      <c r="Z567" s="62" t="s">
        <v>1112</v>
      </c>
      <c r="AA567" s="65">
        <v>4</v>
      </c>
      <c r="AB567" s="66"/>
      <c r="AC567" s="1" t="s">
        <v>13</v>
      </c>
      <c r="AD567" s="62" t="str">
        <f>VLOOKUP(X567,'Customer List'!B:C,2,)</f>
        <v>Banglore</v>
      </c>
      <c r="AE567" s="67"/>
      <c r="AF567" s="6">
        <v>46133</v>
      </c>
      <c r="AG567" s="62">
        <f t="shared" si="135"/>
        <v>3</v>
      </c>
      <c r="AH567" s="62" t="str">
        <f t="shared" si="136"/>
        <v>Tuesday</v>
      </c>
      <c r="AI567" s="62" t="str">
        <f t="shared" si="129"/>
        <v>Tuesday</v>
      </c>
      <c r="AJ567" s="62" t="str">
        <f>VLOOKUP(AC567,'Currency Sheet'!A:C,3,)</f>
        <v>DOLLAR</v>
      </c>
      <c r="AK567" s="62" t="str">
        <f>VLOOKUP(X567,'Customer List'!B:D,3,)</f>
        <v>OutStation</v>
      </c>
    </row>
    <row r="568" spans="1:37" hidden="1" x14ac:dyDescent="0.25">
      <c r="A568" s="62">
        <f t="shared" si="130"/>
        <v>554</v>
      </c>
      <c r="B568" s="62" t="s">
        <v>824</v>
      </c>
      <c r="C568" s="62" t="s">
        <v>1457</v>
      </c>
      <c r="D568" s="6">
        <v>46112</v>
      </c>
      <c r="E568" s="6">
        <v>46128</v>
      </c>
      <c r="F568" s="63">
        <v>41.3</v>
      </c>
      <c r="G568" s="64">
        <f t="shared" si="131"/>
        <v>3634.3999999999996</v>
      </c>
      <c r="H568" s="64">
        <f t="shared" si="132"/>
        <v>3634.3999999999996</v>
      </c>
      <c r="I568" s="70">
        <v>420404</v>
      </c>
      <c r="J568" s="62" t="s">
        <v>1556</v>
      </c>
      <c r="K568" s="8" t="s">
        <v>1557</v>
      </c>
      <c r="L568" s="10">
        <v>46711</v>
      </c>
      <c r="M568" s="62">
        <v>1</v>
      </c>
      <c r="N568" s="8">
        <v>1</v>
      </c>
      <c r="O568" s="62">
        <f t="shared" si="133"/>
        <v>0</v>
      </c>
      <c r="P568" s="70" t="s">
        <v>1612</v>
      </c>
      <c r="Q568" s="71">
        <v>46128</v>
      </c>
      <c r="R568" s="6">
        <v>46128</v>
      </c>
      <c r="S568" s="64">
        <v>7316</v>
      </c>
      <c r="T568" s="22">
        <v>5</v>
      </c>
      <c r="U568" s="64">
        <f t="shared" si="134"/>
        <v>365.8</v>
      </c>
      <c r="V568" s="22">
        <v>0</v>
      </c>
      <c r="W568" s="22">
        <v>492026</v>
      </c>
      <c r="X568" s="62" t="s">
        <v>1094</v>
      </c>
      <c r="Y568" s="62" t="s">
        <v>1105</v>
      </c>
      <c r="Z568" s="62" t="s">
        <v>1105</v>
      </c>
      <c r="AA568" s="65">
        <v>4</v>
      </c>
      <c r="AB568" s="66"/>
      <c r="AC568" s="1" t="s">
        <v>13</v>
      </c>
      <c r="AD568" s="62" t="str">
        <f>VLOOKUP(X568,'Customer List'!B:C,2,)</f>
        <v>Delhi</v>
      </c>
      <c r="AE568" s="67" t="s">
        <v>821</v>
      </c>
      <c r="AF568" s="6"/>
      <c r="AG568" s="62" t="str">
        <f t="shared" si="135"/>
        <v/>
      </c>
      <c r="AH568" s="62" t="str">
        <f t="shared" si="136"/>
        <v>Sunday</v>
      </c>
      <c r="AI568" s="62" t="str">
        <f t="shared" si="129"/>
        <v/>
      </c>
      <c r="AJ568" s="62" t="str">
        <f>VLOOKUP(AC568,'Currency Sheet'!A:C,3,)</f>
        <v>DOLLAR</v>
      </c>
      <c r="AK568" s="62" t="str">
        <f>VLOOKUP(X568,'Customer List'!B:D,3,)</f>
        <v>Local</v>
      </c>
    </row>
    <row r="569" spans="1:37" hidden="1" x14ac:dyDescent="0.25">
      <c r="A569" s="62">
        <f t="shared" si="130"/>
        <v>555</v>
      </c>
      <c r="B569" s="62" t="s">
        <v>824</v>
      </c>
      <c r="C569" s="62" t="s">
        <v>1457</v>
      </c>
      <c r="D569" s="6">
        <v>46112</v>
      </c>
      <c r="E569" s="6">
        <v>46128</v>
      </c>
      <c r="F569" s="63">
        <v>29.4</v>
      </c>
      <c r="G569" s="64">
        <f t="shared" si="131"/>
        <v>2587.1999999999998</v>
      </c>
      <c r="H569" s="64">
        <f t="shared" si="132"/>
        <v>2587.1999999999998</v>
      </c>
      <c r="I569" s="70">
        <v>421101</v>
      </c>
      <c r="J569" s="62" t="s">
        <v>1275</v>
      </c>
      <c r="K569" s="8" t="s">
        <v>1276</v>
      </c>
      <c r="L569" s="10">
        <v>46648</v>
      </c>
      <c r="M569" s="62">
        <v>1</v>
      </c>
      <c r="N569" s="8">
        <v>1</v>
      </c>
      <c r="O569" s="62">
        <f t="shared" si="133"/>
        <v>0</v>
      </c>
      <c r="P569" s="70">
        <v>107</v>
      </c>
      <c r="Q569" s="71">
        <v>46129</v>
      </c>
      <c r="R569" s="6">
        <v>46130</v>
      </c>
      <c r="S569" s="64">
        <v>4687.2</v>
      </c>
      <c r="T569" s="22">
        <v>5</v>
      </c>
      <c r="U569" s="64">
        <f t="shared" si="134"/>
        <v>234.36</v>
      </c>
      <c r="V569" s="22">
        <v>0.44</v>
      </c>
      <c r="W569" s="22">
        <v>4922</v>
      </c>
      <c r="X569" s="62" t="s">
        <v>1368</v>
      </c>
      <c r="Y569" s="62">
        <v>58164465623</v>
      </c>
      <c r="Z569" s="62" t="s">
        <v>1112</v>
      </c>
      <c r="AA569" s="65">
        <v>4</v>
      </c>
      <c r="AB569" s="66"/>
      <c r="AC569" s="1" t="s">
        <v>13</v>
      </c>
      <c r="AD569" s="62" t="str">
        <f>VLOOKUP(X569,'Customer List'!B:C,2,)</f>
        <v>Banglore</v>
      </c>
      <c r="AE569" s="67"/>
      <c r="AF569" s="6">
        <v>46133</v>
      </c>
      <c r="AG569" s="62">
        <f t="shared" si="135"/>
        <v>3</v>
      </c>
      <c r="AH569" s="62" t="str">
        <f t="shared" si="136"/>
        <v>Wednesday</v>
      </c>
      <c r="AI569" s="62" t="str">
        <f t="shared" si="129"/>
        <v>Tuesday</v>
      </c>
      <c r="AJ569" s="62" t="str">
        <f>VLOOKUP(AC569,'Currency Sheet'!A:C,3,)</f>
        <v>DOLLAR</v>
      </c>
      <c r="AK569" s="62" t="str">
        <f>VLOOKUP(X569,'Customer List'!B:D,3,)</f>
        <v>OutStation</v>
      </c>
    </row>
    <row r="570" spans="1:37" hidden="1" x14ac:dyDescent="0.25">
      <c r="A570" s="62">
        <f t="shared" si="130"/>
        <v>556</v>
      </c>
      <c r="B570" s="62" t="s">
        <v>824</v>
      </c>
      <c r="C570" s="62" t="s">
        <v>1457</v>
      </c>
      <c r="D570" s="6">
        <v>46112</v>
      </c>
      <c r="E570" s="6">
        <v>46128</v>
      </c>
      <c r="F570" s="63">
        <v>160.30000000000001</v>
      </c>
      <c r="G570" s="64">
        <f t="shared" si="131"/>
        <v>14106.400000000001</v>
      </c>
      <c r="H570" s="64">
        <f t="shared" si="132"/>
        <v>14106.400000000001</v>
      </c>
      <c r="I570" s="70">
        <v>422302</v>
      </c>
      <c r="J570" s="62" t="s">
        <v>1052</v>
      </c>
      <c r="K570" s="8" t="s">
        <v>1054</v>
      </c>
      <c r="L570" s="10">
        <v>47870</v>
      </c>
      <c r="M570" s="62">
        <v>1</v>
      </c>
      <c r="N570" s="8">
        <v>1</v>
      </c>
      <c r="O570" s="62">
        <f t="shared" si="133"/>
        <v>0</v>
      </c>
      <c r="P570" s="70">
        <v>133</v>
      </c>
      <c r="Q570" s="71">
        <v>46130</v>
      </c>
      <c r="R570" s="6">
        <v>46130</v>
      </c>
      <c r="S570" s="64">
        <v>23071.38</v>
      </c>
      <c r="T570" s="22">
        <v>5</v>
      </c>
      <c r="U570" s="64">
        <f t="shared" si="134"/>
        <v>1153.5690000000002</v>
      </c>
      <c r="V570" s="22">
        <v>0.05</v>
      </c>
      <c r="W570" s="22">
        <v>24225</v>
      </c>
      <c r="X570" s="62" t="s">
        <v>552</v>
      </c>
      <c r="Y570" s="62">
        <v>58164467513</v>
      </c>
      <c r="Z570" s="62" t="s">
        <v>1112</v>
      </c>
      <c r="AA570" s="65">
        <v>4</v>
      </c>
      <c r="AB570" s="66"/>
      <c r="AC570" s="1" t="s">
        <v>13</v>
      </c>
      <c r="AD570" s="62" t="str">
        <f>VLOOKUP(X570,'Customer List'!B:C,2,)</f>
        <v>Jodhpur</v>
      </c>
      <c r="AE570" s="67"/>
      <c r="AF570" s="6">
        <v>46132</v>
      </c>
      <c r="AG570" s="62">
        <f t="shared" si="135"/>
        <v>2</v>
      </c>
      <c r="AH570" s="62" t="str">
        <f t="shared" si="136"/>
        <v>Friday</v>
      </c>
      <c r="AI570" s="62" t="str">
        <f t="shared" si="129"/>
        <v>Monday</v>
      </c>
      <c r="AJ570" s="62" t="str">
        <f>VLOOKUP(AC570,'Currency Sheet'!A:C,3,)</f>
        <v>DOLLAR</v>
      </c>
      <c r="AK570" s="62" t="str">
        <f>VLOOKUP(X570,'Customer List'!B:D,3,)</f>
        <v>OutStation</v>
      </c>
    </row>
    <row r="571" spans="1:37" hidden="1" x14ac:dyDescent="0.25">
      <c r="A571" s="62">
        <f t="shared" si="130"/>
        <v>557</v>
      </c>
      <c r="B571" s="62" t="s">
        <v>824</v>
      </c>
      <c r="C571" s="62" t="s">
        <v>1457</v>
      </c>
      <c r="D571" s="6">
        <v>46112</v>
      </c>
      <c r="E571" s="6">
        <v>46128</v>
      </c>
      <c r="F571" s="63">
        <v>160.30000000000001</v>
      </c>
      <c r="G571" s="64">
        <f t="shared" si="131"/>
        <v>14106.400000000001</v>
      </c>
      <c r="H571" s="64">
        <f t="shared" si="132"/>
        <v>56425.600000000006</v>
      </c>
      <c r="I571" s="70">
        <v>422302</v>
      </c>
      <c r="J571" s="62" t="s">
        <v>1052</v>
      </c>
      <c r="K571" s="8" t="s">
        <v>1558</v>
      </c>
      <c r="L571" s="10">
        <v>47770</v>
      </c>
      <c r="M571" s="62">
        <v>4</v>
      </c>
      <c r="N571" s="8">
        <v>4</v>
      </c>
      <c r="O571" s="62">
        <f t="shared" si="133"/>
        <v>0</v>
      </c>
      <c r="P571" s="70">
        <v>113</v>
      </c>
      <c r="Q571" s="71">
        <v>46129</v>
      </c>
      <c r="R571" s="6">
        <v>46130</v>
      </c>
      <c r="S571" s="64">
        <v>99386</v>
      </c>
      <c r="T571" s="22">
        <v>5</v>
      </c>
      <c r="U571" s="64">
        <f t="shared" si="134"/>
        <v>4969.3</v>
      </c>
      <c r="V571" s="22">
        <v>-0.3</v>
      </c>
      <c r="W571" s="22">
        <v>104355</v>
      </c>
      <c r="X571" s="62" t="s">
        <v>1600</v>
      </c>
      <c r="Y571" s="62">
        <v>58164463383</v>
      </c>
      <c r="Z571" s="62" t="s">
        <v>1112</v>
      </c>
      <c r="AA571" s="65">
        <v>4</v>
      </c>
      <c r="AB571" s="66"/>
      <c r="AC571" s="1" t="s">
        <v>13</v>
      </c>
      <c r="AD571" s="62" t="str">
        <f>VLOOKUP(X571,'Customer List'!B:C,2,)</f>
        <v>Hyderabad</v>
      </c>
      <c r="AE571" s="67"/>
      <c r="AF571" s="6">
        <v>46132</v>
      </c>
      <c r="AG571" s="62">
        <f t="shared" si="135"/>
        <v>2</v>
      </c>
      <c r="AH571" s="62" t="str">
        <f t="shared" si="136"/>
        <v>Saturday</v>
      </c>
      <c r="AI571" s="62" t="str">
        <f t="shared" si="129"/>
        <v>Monday</v>
      </c>
      <c r="AJ571" s="62" t="str">
        <f>VLOOKUP(AC571,'Currency Sheet'!A:C,3,)</f>
        <v>DOLLAR</v>
      </c>
      <c r="AK571" s="62" t="str">
        <f>VLOOKUP(X571,'Customer List'!B:D,3,)</f>
        <v>OutStation</v>
      </c>
    </row>
    <row r="572" spans="1:37" hidden="1" x14ac:dyDescent="0.25">
      <c r="A572" s="62">
        <f t="shared" si="130"/>
        <v>558</v>
      </c>
      <c r="B572" s="62" t="s">
        <v>824</v>
      </c>
      <c r="C572" s="62" t="s">
        <v>1457</v>
      </c>
      <c r="D572" s="6">
        <v>46112</v>
      </c>
      <c r="E572" s="6">
        <v>46128</v>
      </c>
      <c r="F572" s="63">
        <v>62.3</v>
      </c>
      <c r="G572" s="64">
        <f t="shared" si="131"/>
        <v>5482.4</v>
      </c>
      <c r="H572" s="64">
        <f t="shared" si="132"/>
        <v>10964.8</v>
      </c>
      <c r="I572" s="70">
        <v>423101</v>
      </c>
      <c r="J572" s="62" t="s">
        <v>1559</v>
      </c>
      <c r="K572" s="8" t="s">
        <v>1560</v>
      </c>
      <c r="L572" s="10">
        <v>46811</v>
      </c>
      <c r="M572" s="62">
        <v>2</v>
      </c>
      <c r="N572" s="8">
        <v>2</v>
      </c>
      <c r="O572" s="62">
        <f t="shared" si="133"/>
        <v>0</v>
      </c>
      <c r="P572" s="70">
        <v>230</v>
      </c>
      <c r="Q572" s="71">
        <v>46141</v>
      </c>
      <c r="R572" s="6">
        <v>46141</v>
      </c>
      <c r="S572" s="64">
        <v>19313</v>
      </c>
      <c r="T572" s="22">
        <v>5</v>
      </c>
      <c r="U572" s="64">
        <f t="shared" si="134"/>
        <v>965.65000000000009</v>
      </c>
      <c r="V572" s="22">
        <v>0.34</v>
      </c>
      <c r="W572" s="22">
        <v>20279</v>
      </c>
      <c r="X572" s="62" t="s">
        <v>807</v>
      </c>
      <c r="Y572" s="62" t="s">
        <v>1120</v>
      </c>
      <c r="Z572" s="62" t="s">
        <v>1863</v>
      </c>
      <c r="AA572" s="65">
        <v>-20</v>
      </c>
      <c r="AB572" s="66"/>
      <c r="AC572" s="1" t="s">
        <v>13</v>
      </c>
      <c r="AD572" s="62" t="str">
        <f>VLOOKUP(X572,'Customer List'!B:C,2,)</f>
        <v>Delhi</v>
      </c>
      <c r="AE572" s="67"/>
      <c r="AF572" s="6"/>
      <c r="AG572" s="62" t="str">
        <f t="shared" si="135"/>
        <v/>
      </c>
      <c r="AH572" s="62" t="str">
        <f t="shared" si="136"/>
        <v>Saturday</v>
      </c>
      <c r="AI572" s="62" t="str">
        <f t="shared" si="129"/>
        <v/>
      </c>
      <c r="AJ572" s="62" t="str">
        <f>VLOOKUP(AC572,'Currency Sheet'!A:C,3,)</f>
        <v>DOLLAR</v>
      </c>
      <c r="AK572" s="62" t="str">
        <f>VLOOKUP(X572,'Customer List'!B:D,3,)</f>
        <v>Local</v>
      </c>
    </row>
    <row r="573" spans="1:37" hidden="1" x14ac:dyDescent="0.25">
      <c r="A573" s="62">
        <f t="shared" si="130"/>
        <v>559</v>
      </c>
      <c r="B573" s="62" t="s">
        <v>824</v>
      </c>
      <c r="C573" s="62" t="s">
        <v>1457</v>
      </c>
      <c r="D573" s="6">
        <v>46112</v>
      </c>
      <c r="E573" s="6">
        <v>46128</v>
      </c>
      <c r="F573" s="63">
        <v>29.4</v>
      </c>
      <c r="G573" s="64">
        <f t="shared" si="131"/>
        <v>2587.1999999999998</v>
      </c>
      <c r="H573" s="64">
        <f t="shared" si="132"/>
        <v>258719.99999999997</v>
      </c>
      <c r="I573" s="70">
        <v>423501</v>
      </c>
      <c r="J573" s="62" t="s">
        <v>1561</v>
      </c>
      <c r="K573" s="8" t="s">
        <v>1562</v>
      </c>
      <c r="L573" s="10">
        <v>47195</v>
      </c>
      <c r="M573" s="62">
        <v>100</v>
      </c>
      <c r="N573" s="8">
        <v>100</v>
      </c>
      <c r="O573" s="62">
        <f t="shared" si="133"/>
        <v>0</v>
      </c>
      <c r="P573" s="70">
        <v>121</v>
      </c>
      <c r="Q573" s="71">
        <v>46129</v>
      </c>
      <c r="R573" s="6">
        <v>46130</v>
      </c>
      <c r="S573" s="64">
        <v>91140</v>
      </c>
      <c r="T573" s="22">
        <v>18</v>
      </c>
      <c r="U573" s="64">
        <f t="shared" si="134"/>
        <v>16405.2</v>
      </c>
      <c r="V573" s="22">
        <v>-0.2</v>
      </c>
      <c r="W573" s="22">
        <v>107545</v>
      </c>
      <c r="X573" s="62" t="s">
        <v>1599</v>
      </c>
      <c r="Y573" s="62">
        <v>58164460815</v>
      </c>
      <c r="Z573" s="62" t="s">
        <v>1112</v>
      </c>
      <c r="AA573" s="65" t="s">
        <v>808</v>
      </c>
      <c r="AB573" s="66"/>
      <c r="AC573" s="1" t="s">
        <v>13</v>
      </c>
      <c r="AD573" s="62" t="str">
        <f>VLOOKUP(X573,'Customer List'!B:C,2,)</f>
        <v>Gujrat</v>
      </c>
      <c r="AE573" s="67"/>
      <c r="AF573" s="6">
        <v>46132</v>
      </c>
      <c r="AG573" s="62">
        <f t="shared" si="135"/>
        <v>2</v>
      </c>
      <c r="AH573" s="62" t="str">
        <f t="shared" si="136"/>
        <v>Saturday</v>
      </c>
      <c r="AI573" s="62" t="str">
        <f t="shared" ref="AI573:AI636" si="137">IF(AF573="", "", TEXT(AF573, "dddd"))</f>
        <v>Monday</v>
      </c>
      <c r="AJ573" s="62" t="str">
        <f>VLOOKUP(AC573,'Currency Sheet'!A:C,3,)</f>
        <v>DOLLAR</v>
      </c>
      <c r="AK573" s="62" t="str">
        <f>VLOOKUP(X573,'Customer List'!B:D,3,)</f>
        <v>OutStation</v>
      </c>
    </row>
    <row r="574" spans="1:37" hidden="1" x14ac:dyDescent="0.25">
      <c r="A574" s="62">
        <f t="shared" si="130"/>
        <v>560</v>
      </c>
      <c r="B574" s="62" t="s">
        <v>824</v>
      </c>
      <c r="C574" s="62" t="s">
        <v>1457</v>
      </c>
      <c r="D574" s="6">
        <v>46112</v>
      </c>
      <c r="E574" s="6">
        <v>46128</v>
      </c>
      <c r="F574" s="63">
        <v>71.400000000000006</v>
      </c>
      <c r="G574" s="64">
        <f t="shared" si="131"/>
        <v>6283.2000000000007</v>
      </c>
      <c r="H574" s="64">
        <f t="shared" si="132"/>
        <v>6283.2000000000007</v>
      </c>
      <c r="I574" s="70">
        <v>424601</v>
      </c>
      <c r="J574" s="62" t="s">
        <v>1278</v>
      </c>
      <c r="K574" s="8" t="s">
        <v>1563</v>
      </c>
      <c r="L574" s="10">
        <v>46438</v>
      </c>
      <c r="M574" s="62">
        <v>1</v>
      </c>
      <c r="N574" s="8"/>
      <c r="O574" s="62">
        <f t="shared" si="133"/>
        <v>1</v>
      </c>
      <c r="P574" s="70"/>
      <c r="Q574" s="71"/>
      <c r="R574" s="6"/>
      <c r="S574" s="64">
        <v>0</v>
      </c>
      <c r="T574" s="22">
        <v>5</v>
      </c>
      <c r="U574" s="64">
        <f t="shared" si="134"/>
        <v>0</v>
      </c>
      <c r="V574" s="22">
        <v>0</v>
      </c>
      <c r="W574" s="22">
        <v>0</v>
      </c>
      <c r="X574" s="62" t="s">
        <v>797</v>
      </c>
      <c r="Y574" s="62"/>
      <c r="Z574" s="62"/>
      <c r="AA574" s="65">
        <v>4</v>
      </c>
      <c r="AB574" s="66"/>
      <c r="AC574" s="1" t="s">
        <v>13</v>
      </c>
      <c r="AD574" s="62" t="str">
        <f>VLOOKUP(X574,'Customer List'!B:C,2,)</f>
        <v>Delhi</v>
      </c>
      <c r="AE574" s="67" t="s">
        <v>832</v>
      </c>
      <c r="AF574" s="6"/>
      <c r="AG574" s="62" t="str">
        <f t="shared" si="135"/>
        <v/>
      </c>
      <c r="AH574" s="62" t="str">
        <f t="shared" si="136"/>
        <v>Saturday</v>
      </c>
      <c r="AI574" s="62" t="str">
        <f t="shared" si="137"/>
        <v/>
      </c>
      <c r="AJ574" s="62" t="str">
        <f>VLOOKUP(AC574,'Currency Sheet'!A:C,3,)</f>
        <v>DOLLAR</v>
      </c>
      <c r="AK574" s="62" t="str">
        <f>VLOOKUP(X574,'Customer List'!B:D,3,)</f>
        <v>Local</v>
      </c>
    </row>
    <row r="575" spans="1:37" hidden="1" x14ac:dyDescent="0.25">
      <c r="A575" s="62">
        <f t="shared" si="130"/>
        <v>561</v>
      </c>
      <c r="B575" s="62" t="s">
        <v>824</v>
      </c>
      <c r="C575" s="62" t="s">
        <v>1457</v>
      </c>
      <c r="D575" s="6">
        <v>46112</v>
      </c>
      <c r="E575" s="6">
        <v>46128</v>
      </c>
      <c r="F575" s="63">
        <v>193.2</v>
      </c>
      <c r="G575" s="64">
        <f t="shared" si="131"/>
        <v>17001.599999999999</v>
      </c>
      <c r="H575" s="64">
        <f t="shared" si="132"/>
        <v>17001.599999999999</v>
      </c>
      <c r="I575" s="70">
        <v>426803</v>
      </c>
      <c r="J575" s="62" t="s">
        <v>1564</v>
      </c>
      <c r="K575" s="8" t="s">
        <v>876</v>
      </c>
      <c r="L575" s="10">
        <v>46562</v>
      </c>
      <c r="M575" s="62">
        <v>1</v>
      </c>
      <c r="N575" s="8">
        <v>1</v>
      </c>
      <c r="O575" s="62">
        <f t="shared" si="133"/>
        <v>0</v>
      </c>
      <c r="P575" s="70">
        <v>111</v>
      </c>
      <c r="Q575" s="71">
        <v>46129</v>
      </c>
      <c r="R575" s="6">
        <v>46130</v>
      </c>
      <c r="S575" s="64">
        <v>29090.400000000001</v>
      </c>
      <c r="T575" s="22">
        <v>5</v>
      </c>
      <c r="U575" s="64">
        <f t="shared" si="134"/>
        <v>1454.5200000000002</v>
      </c>
      <c r="V575" s="22">
        <v>0</v>
      </c>
      <c r="W575" s="22">
        <v>187364</v>
      </c>
      <c r="X575" s="62" t="s">
        <v>1593</v>
      </c>
      <c r="Y575" s="62">
        <v>58164465354</v>
      </c>
      <c r="Z575" s="62" t="s">
        <v>1112</v>
      </c>
      <c r="AA575" s="65">
        <v>4</v>
      </c>
      <c r="AB575" s="66"/>
      <c r="AC575" s="1" t="s">
        <v>13</v>
      </c>
      <c r="AD575" s="62" t="str">
        <f>VLOOKUP(X575,'Customer List'!B:C,2,)</f>
        <v>Lucknow</v>
      </c>
      <c r="AE575" s="67"/>
      <c r="AF575" s="6">
        <v>46133</v>
      </c>
      <c r="AG575" s="62">
        <f t="shared" si="135"/>
        <v>3</v>
      </c>
      <c r="AH575" s="62" t="str">
        <f t="shared" si="136"/>
        <v>Thursday</v>
      </c>
      <c r="AI575" s="62" t="str">
        <f t="shared" si="137"/>
        <v>Tuesday</v>
      </c>
      <c r="AJ575" s="62" t="str">
        <f>VLOOKUP(AC575,'Currency Sheet'!A:C,3,)</f>
        <v>DOLLAR</v>
      </c>
      <c r="AK575" s="62" t="str">
        <f>VLOOKUP(X575,'Customer List'!B:D,3,)</f>
        <v>OutStation</v>
      </c>
    </row>
    <row r="576" spans="1:37" hidden="1" x14ac:dyDescent="0.25">
      <c r="A576" s="62">
        <f t="shared" si="130"/>
        <v>562</v>
      </c>
      <c r="B576" s="62" t="s">
        <v>824</v>
      </c>
      <c r="C576" s="62" t="s">
        <v>1457</v>
      </c>
      <c r="D576" s="6">
        <v>46112</v>
      </c>
      <c r="E576" s="6">
        <v>46128</v>
      </c>
      <c r="F576" s="63">
        <v>242.9</v>
      </c>
      <c r="G576" s="64">
        <f t="shared" si="131"/>
        <v>21375.200000000001</v>
      </c>
      <c r="H576" s="64">
        <f t="shared" si="132"/>
        <v>21375.200000000001</v>
      </c>
      <c r="I576" s="70">
        <v>437004</v>
      </c>
      <c r="J576" s="62" t="s">
        <v>1565</v>
      </c>
      <c r="K576" s="8" t="s">
        <v>1566</v>
      </c>
      <c r="L576" s="10">
        <v>46676</v>
      </c>
      <c r="M576" s="62">
        <v>1</v>
      </c>
      <c r="N576" s="8">
        <v>1</v>
      </c>
      <c r="O576" s="62">
        <f t="shared" si="133"/>
        <v>0</v>
      </c>
      <c r="P576" s="70">
        <v>165</v>
      </c>
      <c r="Q576" s="71">
        <v>46136</v>
      </c>
      <c r="R576" s="6">
        <v>46139</v>
      </c>
      <c r="S576" s="64">
        <v>37649.5</v>
      </c>
      <c r="T576" s="22">
        <v>5</v>
      </c>
      <c r="U576" s="64">
        <f t="shared" si="134"/>
        <v>1882.4750000000001</v>
      </c>
      <c r="V576" s="22">
        <v>0</v>
      </c>
      <c r="W576" s="22">
        <v>74849</v>
      </c>
      <c r="X576" s="62" t="s">
        <v>524</v>
      </c>
      <c r="Y576" s="62">
        <v>58164797670</v>
      </c>
      <c r="Z576" s="62" t="s">
        <v>1112</v>
      </c>
      <c r="AA576" s="65">
        <v>4</v>
      </c>
      <c r="AB576" s="66" t="s">
        <v>1936</v>
      </c>
      <c r="AC576" s="1" t="s">
        <v>13</v>
      </c>
      <c r="AD576" s="62" t="str">
        <f>VLOOKUP(X576,'Customer List'!B:C,2,)</f>
        <v>SHRINAGAR</v>
      </c>
      <c r="AE576" s="67"/>
      <c r="AF576" s="6">
        <v>46141</v>
      </c>
      <c r="AG576" s="62">
        <f t="shared" si="135"/>
        <v>2</v>
      </c>
      <c r="AH576" s="62" t="str">
        <f t="shared" si="136"/>
        <v>Tuesday</v>
      </c>
      <c r="AI576" s="62" t="str">
        <f t="shared" si="137"/>
        <v>Wednesday</v>
      </c>
      <c r="AJ576" s="62" t="str">
        <f>VLOOKUP(AC576,'Currency Sheet'!A:C,3,)</f>
        <v>DOLLAR</v>
      </c>
      <c r="AK576" s="62" t="str">
        <f>VLOOKUP(X576,'Customer List'!B:D,3,)</f>
        <v>OutStation</v>
      </c>
    </row>
    <row r="577" spans="1:37" hidden="1" x14ac:dyDescent="0.25">
      <c r="A577" s="62">
        <f t="shared" si="130"/>
        <v>563</v>
      </c>
      <c r="B577" s="62" t="s">
        <v>824</v>
      </c>
      <c r="C577" s="62" t="s">
        <v>1457</v>
      </c>
      <c r="D577" s="6">
        <v>46112</v>
      </c>
      <c r="E577" s="6">
        <v>46128</v>
      </c>
      <c r="F577" s="63">
        <v>242.9</v>
      </c>
      <c r="G577" s="64">
        <f t="shared" si="131"/>
        <v>21375.200000000001</v>
      </c>
      <c r="H577" s="64">
        <f t="shared" si="132"/>
        <v>21375.200000000001</v>
      </c>
      <c r="I577" s="70">
        <v>501118</v>
      </c>
      <c r="J577" s="62" t="s">
        <v>1567</v>
      </c>
      <c r="K577" s="8" t="s">
        <v>1568</v>
      </c>
      <c r="L577" s="10">
        <v>47355</v>
      </c>
      <c r="M577" s="62">
        <v>1</v>
      </c>
      <c r="N577" s="8">
        <v>1</v>
      </c>
      <c r="O577" s="62">
        <f t="shared" si="133"/>
        <v>0</v>
      </c>
      <c r="P577" s="70">
        <v>111</v>
      </c>
      <c r="Q577" s="71">
        <v>46129</v>
      </c>
      <c r="R577" s="6">
        <v>46130</v>
      </c>
      <c r="S577" s="64">
        <v>36573.800000000003</v>
      </c>
      <c r="T577" s="22">
        <v>5</v>
      </c>
      <c r="U577" s="64">
        <f t="shared" si="134"/>
        <v>1828.6900000000003</v>
      </c>
      <c r="V577" s="22">
        <v>0</v>
      </c>
      <c r="W577" s="22">
        <v>187364</v>
      </c>
      <c r="X577" s="62" t="s">
        <v>1593</v>
      </c>
      <c r="Y577" s="62">
        <v>58164465354</v>
      </c>
      <c r="Z577" s="62" t="s">
        <v>1112</v>
      </c>
      <c r="AA577" s="65">
        <v>4</v>
      </c>
      <c r="AB577" s="66"/>
      <c r="AC577" s="1" t="s">
        <v>13</v>
      </c>
      <c r="AD577" s="62" t="str">
        <f>VLOOKUP(X577,'Customer List'!B:C,2,)</f>
        <v>Lucknow</v>
      </c>
      <c r="AE577" s="67"/>
      <c r="AF577" s="6">
        <v>46133</v>
      </c>
      <c r="AG577" s="62">
        <f t="shared" si="135"/>
        <v>3</v>
      </c>
      <c r="AH577" s="62" t="str">
        <f t="shared" si="136"/>
        <v>Thursday</v>
      </c>
      <c r="AI577" s="62" t="str">
        <f t="shared" si="137"/>
        <v>Tuesday</v>
      </c>
      <c r="AJ577" s="62" t="str">
        <f>VLOOKUP(AC577,'Currency Sheet'!A:C,3,)</f>
        <v>DOLLAR</v>
      </c>
      <c r="AK577" s="62" t="str">
        <f>VLOOKUP(X577,'Customer List'!B:D,3,)</f>
        <v>OutStation</v>
      </c>
    </row>
    <row r="578" spans="1:37" hidden="1" x14ac:dyDescent="0.25">
      <c r="A578" s="62">
        <f t="shared" ref="A578:A641" si="138">A577+1</f>
        <v>564</v>
      </c>
      <c r="B578" s="62" t="s">
        <v>824</v>
      </c>
      <c r="C578" s="62" t="s">
        <v>1457</v>
      </c>
      <c r="D578" s="6">
        <v>46112</v>
      </c>
      <c r="E578" s="6">
        <v>46128</v>
      </c>
      <c r="F578" s="63">
        <v>156.1</v>
      </c>
      <c r="G578" s="64">
        <f t="shared" si="131"/>
        <v>13736.8</v>
      </c>
      <c r="H578" s="64">
        <f t="shared" si="132"/>
        <v>13736.8</v>
      </c>
      <c r="I578" s="70">
        <v>502506</v>
      </c>
      <c r="J578" s="62" t="s">
        <v>1569</v>
      </c>
      <c r="K578" s="8" t="s">
        <v>1570</v>
      </c>
      <c r="L578" s="10">
        <v>47395</v>
      </c>
      <c r="M578" s="62">
        <v>1</v>
      </c>
      <c r="N578" s="8">
        <v>1</v>
      </c>
      <c r="O578" s="62">
        <f t="shared" si="133"/>
        <v>0</v>
      </c>
      <c r="P578" s="70">
        <v>102</v>
      </c>
      <c r="Q578" s="71">
        <v>46129</v>
      </c>
      <c r="R578" s="6">
        <v>46129</v>
      </c>
      <c r="S578" s="64">
        <v>23504</v>
      </c>
      <c r="T578" s="22">
        <v>5</v>
      </c>
      <c r="U578" s="64">
        <f t="shared" si="134"/>
        <v>1175.2</v>
      </c>
      <c r="V578" s="22">
        <v>0</v>
      </c>
      <c r="W578" s="22">
        <v>139000</v>
      </c>
      <c r="X578" s="62" t="s">
        <v>1365</v>
      </c>
      <c r="Y578" s="62" t="s">
        <v>1668</v>
      </c>
      <c r="Z578" s="62" t="s">
        <v>1112</v>
      </c>
      <c r="AA578" s="65">
        <v>4</v>
      </c>
      <c r="AB578" s="66"/>
      <c r="AC578" s="1" t="s">
        <v>13</v>
      </c>
      <c r="AD578" s="62" t="str">
        <f>VLOOKUP(X578,'Customer List'!B:C,2,)</f>
        <v>Punjab</v>
      </c>
      <c r="AE578" s="67"/>
      <c r="AF578" s="6">
        <v>46133</v>
      </c>
      <c r="AG578" s="62">
        <f t="shared" si="135"/>
        <v>4</v>
      </c>
      <c r="AH578" s="62" t="str">
        <f t="shared" si="136"/>
        <v>Thursday</v>
      </c>
      <c r="AI578" s="62" t="str">
        <f t="shared" si="137"/>
        <v>Tuesday</v>
      </c>
      <c r="AJ578" s="62" t="str">
        <f>VLOOKUP(AC578,'Currency Sheet'!A:C,3,)</f>
        <v>DOLLAR</v>
      </c>
      <c r="AK578" s="62" t="str">
        <f>VLOOKUP(X578,'Customer List'!B:D,3,)</f>
        <v>OutStation</v>
      </c>
    </row>
    <row r="579" spans="1:37" hidden="1" x14ac:dyDescent="0.25">
      <c r="A579" s="62">
        <f t="shared" si="138"/>
        <v>565</v>
      </c>
      <c r="B579" s="62" t="s">
        <v>824</v>
      </c>
      <c r="C579" s="62" t="s">
        <v>1457</v>
      </c>
      <c r="D579" s="6">
        <v>46112</v>
      </c>
      <c r="E579" s="6">
        <v>46128</v>
      </c>
      <c r="F579" s="63">
        <v>198.8</v>
      </c>
      <c r="G579" s="64">
        <f t="shared" si="131"/>
        <v>17494.400000000001</v>
      </c>
      <c r="H579" s="64">
        <f t="shared" si="132"/>
        <v>17494.400000000001</v>
      </c>
      <c r="I579" s="70">
        <v>502512</v>
      </c>
      <c r="J579" s="62" t="s">
        <v>1569</v>
      </c>
      <c r="K579" s="8" t="s">
        <v>1571</v>
      </c>
      <c r="L579" s="10">
        <v>46629</v>
      </c>
      <c r="M579" s="62">
        <v>1</v>
      </c>
      <c r="N579" s="8">
        <v>1</v>
      </c>
      <c r="O579" s="62">
        <f t="shared" si="133"/>
        <v>0</v>
      </c>
      <c r="P579" s="70">
        <v>114</v>
      </c>
      <c r="Q579" s="71">
        <v>46129</v>
      </c>
      <c r="R579" s="6">
        <v>46129</v>
      </c>
      <c r="S579" s="64">
        <v>30814</v>
      </c>
      <c r="T579" s="22">
        <v>5</v>
      </c>
      <c r="U579" s="64">
        <f t="shared" si="134"/>
        <v>1540.7</v>
      </c>
      <c r="V579" s="22">
        <v>0</v>
      </c>
      <c r="W579" s="22">
        <v>190483</v>
      </c>
      <c r="X579" s="62" t="s">
        <v>1590</v>
      </c>
      <c r="Y579" s="62" t="s">
        <v>1669</v>
      </c>
      <c r="Z579" s="62" t="s">
        <v>1112</v>
      </c>
      <c r="AA579" s="65">
        <v>4</v>
      </c>
      <c r="AB579" s="66"/>
      <c r="AC579" s="1" t="s">
        <v>13</v>
      </c>
      <c r="AD579" s="62" t="str">
        <f>VLOOKUP(X579,'Customer List'!B:C,2,)</f>
        <v>Chandigarh</v>
      </c>
      <c r="AE579" s="67"/>
      <c r="AF579" s="6"/>
      <c r="AG579" s="62" t="str">
        <f t="shared" si="135"/>
        <v/>
      </c>
      <c r="AH579" s="62" t="str">
        <f t="shared" si="136"/>
        <v>Saturday</v>
      </c>
      <c r="AI579" s="62" t="str">
        <f t="shared" si="137"/>
        <v/>
      </c>
      <c r="AJ579" s="62" t="str">
        <f>VLOOKUP(AC579,'Currency Sheet'!A:C,3,)</f>
        <v>DOLLAR</v>
      </c>
      <c r="AK579" s="62" t="str">
        <f>VLOOKUP(X579,'Customer List'!B:D,3,)</f>
        <v>OutStation</v>
      </c>
    </row>
    <row r="580" spans="1:37" hidden="1" x14ac:dyDescent="0.25">
      <c r="A580" s="62">
        <f t="shared" si="138"/>
        <v>566</v>
      </c>
      <c r="B580" s="62" t="s">
        <v>824</v>
      </c>
      <c r="C580" s="62" t="s">
        <v>1457</v>
      </c>
      <c r="D580" s="6">
        <v>46112</v>
      </c>
      <c r="E580" s="6">
        <v>46128</v>
      </c>
      <c r="F580" s="63">
        <v>201.6</v>
      </c>
      <c r="G580" s="64">
        <f t="shared" si="131"/>
        <v>17740.8</v>
      </c>
      <c r="H580" s="64">
        <f t="shared" si="132"/>
        <v>17740.8</v>
      </c>
      <c r="I580" s="70">
        <v>502928</v>
      </c>
      <c r="J580" s="62" t="s">
        <v>1572</v>
      </c>
      <c r="K580" s="8" t="s">
        <v>1573</v>
      </c>
      <c r="L580" s="10">
        <v>47689</v>
      </c>
      <c r="M580" s="62">
        <v>1</v>
      </c>
      <c r="N580" s="8">
        <v>1</v>
      </c>
      <c r="O580" s="62">
        <f t="shared" si="133"/>
        <v>0</v>
      </c>
      <c r="P580" s="70">
        <v>111</v>
      </c>
      <c r="Q580" s="71">
        <v>46129</v>
      </c>
      <c r="R580" s="6">
        <v>46130</v>
      </c>
      <c r="S580" s="64">
        <v>30355.200000000001</v>
      </c>
      <c r="T580" s="22">
        <v>5</v>
      </c>
      <c r="U580" s="64">
        <f t="shared" si="134"/>
        <v>1517.7600000000002</v>
      </c>
      <c r="V580" s="22">
        <v>0</v>
      </c>
      <c r="W580" s="22">
        <v>187364</v>
      </c>
      <c r="X580" s="62" t="s">
        <v>1593</v>
      </c>
      <c r="Y580" s="62">
        <v>58164465354</v>
      </c>
      <c r="Z580" s="62" t="s">
        <v>1112</v>
      </c>
      <c r="AA580" s="65">
        <v>4</v>
      </c>
      <c r="AB580" s="66"/>
      <c r="AC580" s="1" t="s">
        <v>13</v>
      </c>
      <c r="AD580" s="62" t="str">
        <f>VLOOKUP(X580,'Customer List'!B:C,2,)</f>
        <v>Lucknow</v>
      </c>
      <c r="AE580" s="67"/>
      <c r="AF580" s="6">
        <v>46133</v>
      </c>
      <c r="AG580" s="62">
        <f t="shared" si="135"/>
        <v>3</v>
      </c>
      <c r="AH580" s="62" t="str">
        <f t="shared" si="136"/>
        <v>Tuesday</v>
      </c>
      <c r="AI580" s="62" t="str">
        <f t="shared" si="137"/>
        <v>Tuesday</v>
      </c>
      <c r="AJ580" s="62" t="str">
        <f>VLOOKUP(AC580,'Currency Sheet'!A:C,3,)</f>
        <v>DOLLAR</v>
      </c>
      <c r="AK580" s="62" t="str">
        <f>VLOOKUP(X580,'Customer List'!B:D,3,)</f>
        <v>OutStation</v>
      </c>
    </row>
    <row r="581" spans="1:37" hidden="1" x14ac:dyDescent="0.25">
      <c r="A581" s="62">
        <f t="shared" si="138"/>
        <v>567</v>
      </c>
      <c r="B581" s="62" t="s">
        <v>824</v>
      </c>
      <c r="C581" s="62" t="s">
        <v>1457</v>
      </c>
      <c r="D581" s="6">
        <v>46112</v>
      </c>
      <c r="E581" s="6">
        <v>46128</v>
      </c>
      <c r="F581" s="63">
        <v>250.6</v>
      </c>
      <c r="G581" s="64">
        <f t="shared" si="131"/>
        <v>22052.799999999999</v>
      </c>
      <c r="H581" s="64">
        <f t="shared" si="132"/>
        <v>22052.799999999999</v>
      </c>
      <c r="I581" s="70">
        <v>512318</v>
      </c>
      <c r="J581" s="62" t="s">
        <v>1574</v>
      </c>
      <c r="K581" s="8" t="s">
        <v>1575</v>
      </c>
      <c r="L581" s="10">
        <v>46814</v>
      </c>
      <c r="M581" s="62">
        <v>1</v>
      </c>
      <c r="N581" s="8">
        <v>1</v>
      </c>
      <c r="O581" s="62">
        <f t="shared" si="133"/>
        <v>0</v>
      </c>
      <c r="P581" s="70">
        <v>102</v>
      </c>
      <c r="Q581" s="71">
        <v>46129</v>
      </c>
      <c r="R581" s="6">
        <v>46129</v>
      </c>
      <c r="S581" s="64">
        <v>37733</v>
      </c>
      <c r="T581" s="22">
        <v>5</v>
      </c>
      <c r="U581" s="64">
        <f t="shared" si="134"/>
        <v>1886.65</v>
      </c>
      <c r="V581" s="22">
        <v>0</v>
      </c>
      <c r="W581" s="22">
        <v>139000</v>
      </c>
      <c r="X581" s="62" t="s">
        <v>1365</v>
      </c>
      <c r="Y581" s="62" t="s">
        <v>1668</v>
      </c>
      <c r="Z581" s="62" t="s">
        <v>1112</v>
      </c>
      <c r="AA581" s="65">
        <v>4</v>
      </c>
      <c r="AB581" s="66"/>
      <c r="AC581" s="1" t="s">
        <v>13</v>
      </c>
      <c r="AD581" s="62" t="str">
        <f>VLOOKUP(X581,'Customer List'!B:C,2,)</f>
        <v>Punjab</v>
      </c>
      <c r="AE581" s="67"/>
      <c r="AF581" s="6">
        <v>46133</v>
      </c>
      <c r="AG581" s="62">
        <f t="shared" si="135"/>
        <v>4</v>
      </c>
      <c r="AH581" s="62" t="str">
        <f t="shared" si="136"/>
        <v>Tuesday</v>
      </c>
      <c r="AI581" s="62" t="str">
        <f t="shared" si="137"/>
        <v>Tuesday</v>
      </c>
      <c r="AJ581" s="62" t="str">
        <f>VLOOKUP(AC581,'Currency Sheet'!A:C,3,)</f>
        <v>DOLLAR</v>
      </c>
      <c r="AK581" s="62" t="str">
        <f>VLOOKUP(X581,'Customer List'!B:D,3,)</f>
        <v>OutStation</v>
      </c>
    </row>
    <row r="582" spans="1:37" hidden="1" x14ac:dyDescent="0.25">
      <c r="A582" s="62">
        <f t="shared" si="138"/>
        <v>568</v>
      </c>
      <c r="B582" s="62" t="s">
        <v>824</v>
      </c>
      <c r="C582" s="62" t="s">
        <v>1457</v>
      </c>
      <c r="D582" s="6">
        <v>46112</v>
      </c>
      <c r="E582" s="6">
        <v>46128</v>
      </c>
      <c r="F582" s="63">
        <v>150.5</v>
      </c>
      <c r="G582" s="64">
        <f t="shared" si="131"/>
        <v>13244</v>
      </c>
      <c r="H582" s="64">
        <f t="shared" si="132"/>
        <v>13244</v>
      </c>
      <c r="I582" s="70">
        <v>567904</v>
      </c>
      <c r="J582" s="62" t="s">
        <v>786</v>
      </c>
      <c r="K582" s="8" t="s">
        <v>1576</v>
      </c>
      <c r="L582" s="10">
        <v>46556</v>
      </c>
      <c r="M582" s="62">
        <v>1</v>
      </c>
      <c r="N582" s="8">
        <v>1</v>
      </c>
      <c r="O582" s="62">
        <f t="shared" si="133"/>
        <v>0</v>
      </c>
      <c r="P582" s="70">
        <v>112</v>
      </c>
      <c r="Q582" s="71">
        <v>46129</v>
      </c>
      <c r="R582" s="6">
        <v>46130</v>
      </c>
      <c r="S582" s="64">
        <v>22661</v>
      </c>
      <c r="T582" s="22">
        <v>5</v>
      </c>
      <c r="U582" s="64">
        <f t="shared" si="134"/>
        <v>1133.05</v>
      </c>
      <c r="V582" s="22">
        <v>-0.05</v>
      </c>
      <c r="W582" s="22">
        <v>23794</v>
      </c>
      <c r="X582" s="62" t="s">
        <v>1595</v>
      </c>
      <c r="Y582" s="62" t="s">
        <v>1670</v>
      </c>
      <c r="Z582" s="62" t="s">
        <v>1112</v>
      </c>
      <c r="AA582" s="65">
        <v>4</v>
      </c>
      <c r="AB582" s="66"/>
      <c r="AC582" s="1" t="s">
        <v>13</v>
      </c>
      <c r="AD582" s="62" t="str">
        <f>VLOOKUP(X582,'Customer List'!B:C,2,)</f>
        <v>LUDHIANA</v>
      </c>
      <c r="AE582" s="67"/>
      <c r="AF582" s="6">
        <v>46133</v>
      </c>
      <c r="AG582" s="62">
        <f t="shared" si="135"/>
        <v>3</v>
      </c>
      <c r="AH582" s="62" t="str">
        <f t="shared" si="136"/>
        <v>Monday</v>
      </c>
      <c r="AI582" s="62" t="str">
        <f t="shared" si="137"/>
        <v>Tuesday</v>
      </c>
      <c r="AJ582" s="62" t="str">
        <f>VLOOKUP(AC582,'Currency Sheet'!A:C,3,)</f>
        <v>DOLLAR</v>
      </c>
      <c r="AK582" s="62" t="str">
        <f>VLOOKUP(X582,'Customer List'!B:D,3,)</f>
        <v>OutStation</v>
      </c>
    </row>
    <row r="583" spans="1:37" hidden="1" x14ac:dyDescent="0.25">
      <c r="A583" s="62">
        <f t="shared" si="138"/>
        <v>569</v>
      </c>
      <c r="B583" s="62" t="s">
        <v>824</v>
      </c>
      <c r="C583" s="62" t="s">
        <v>1457</v>
      </c>
      <c r="D583" s="6">
        <v>46112</v>
      </c>
      <c r="E583" s="6">
        <v>46128</v>
      </c>
      <c r="F583" s="63">
        <v>300.3</v>
      </c>
      <c r="G583" s="64">
        <f t="shared" si="131"/>
        <v>26426.400000000001</v>
      </c>
      <c r="H583" s="64">
        <f t="shared" si="132"/>
        <v>26426.400000000001</v>
      </c>
      <c r="I583" s="70">
        <v>644824</v>
      </c>
      <c r="J583" s="62" t="s">
        <v>1577</v>
      </c>
      <c r="K583" s="8" t="s">
        <v>1578</v>
      </c>
      <c r="L583" s="10">
        <v>46910</v>
      </c>
      <c r="M583" s="62">
        <v>1</v>
      </c>
      <c r="N583" s="8">
        <v>1</v>
      </c>
      <c r="O583" s="62">
        <f t="shared" si="133"/>
        <v>0</v>
      </c>
      <c r="P583" s="70">
        <v>111</v>
      </c>
      <c r="Q583" s="71">
        <v>46129</v>
      </c>
      <c r="R583" s="6">
        <v>46130</v>
      </c>
      <c r="S583" s="64">
        <v>45216.6</v>
      </c>
      <c r="T583" s="22">
        <v>5</v>
      </c>
      <c r="U583" s="64">
        <f t="shared" si="134"/>
        <v>2260.83</v>
      </c>
      <c r="V583" s="22">
        <v>0</v>
      </c>
      <c r="W583" s="22">
        <v>187364</v>
      </c>
      <c r="X583" s="62" t="s">
        <v>1593</v>
      </c>
      <c r="Y583" s="62">
        <v>58164465354</v>
      </c>
      <c r="Z583" s="62" t="s">
        <v>1112</v>
      </c>
      <c r="AA583" s="65">
        <v>4</v>
      </c>
      <c r="AB583" s="66"/>
      <c r="AC583" s="1" t="s">
        <v>13</v>
      </c>
      <c r="AD583" s="62" t="str">
        <f>VLOOKUP(X583,'Customer List'!B:C,2,)</f>
        <v>Lucknow</v>
      </c>
      <c r="AE583" s="67"/>
      <c r="AF583" s="6">
        <v>46133</v>
      </c>
      <c r="AG583" s="62">
        <f t="shared" si="135"/>
        <v>3</v>
      </c>
      <c r="AH583" s="62" t="str">
        <f t="shared" si="136"/>
        <v>Tuesday</v>
      </c>
      <c r="AI583" s="62" t="str">
        <f t="shared" si="137"/>
        <v>Tuesday</v>
      </c>
      <c r="AJ583" s="62" t="str">
        <f>VLOOKUP(AC583,'Currency Sheet'!A:C,3,)</f>
        <v>DOLLAR</v>
      </c>
      <c r="AK583" s="62" t="str">
        <f>VLOOKUP(X583,'Customer List'!B:D,3,)</f>
        <v>OutStation</v>
      </c>
    </row>
    <row r="584" spans="1:37" hidden="1" x14ac:dyDescent="0.25">
      <c r="A584" s="62">
        <f t="shared" si="138"/>
        <v>570</v>
      </c>
      <c r="B584" s="62" t="s">
        <v>824</v>
      </c>
      <c r="C584" s="62" t="s">
        <v>1457</v>
      </c>
      <c r="D584" s="6">
        <v>46112</v>
      </c>
      <c r="E584" s="6">
        <v>46128</v>
      </c>
      <c r="F584" s="63">
        <v>259</v>
      </c>
      <c r="G584" s="64">
        <f t="shared" si="131"/>
        <v>22792</v>
      </c>
      <c r="H584" s="64">
        <f t="shared" si="132"/>
        <v>22792</v>
      </c>
      <c r="I584" s="70">
        <v>654004</v>
      </c>
      <c r="J584" s="62" t="s">
        <v>1579</v>
      </c>
      <c r="K584" s="8" t="s">
        <v>1580</v>
      </c>
      <c r="L584" s="10">
        <v>46728</v>
      </c>
      <c r="M584" s="62">
        <v>1</v>
      </c>
      <c r="N584" s="8">
        <v>1</v>
      </c>
      <c r="O584" s="62">
        <f t="shared" si="133"/>
        <v>0</v>
      </c>
      <c r="P584" s="70" t="s">
        <v>1862</v>
      </c>
      <c r="Q584" s="71">
        <v>46132</v>
      </c>
      <c r="R584" s="6">
        <v>46132</v>
      </c>
      <c r="S584" s="64">
        <v>40145</v>
      </c>
      <c r="T584" s="22">
        <v>5</v>
      </c>
      <c r="U584" s="64">
        <f t="shared" si="134"/>
        <v>2007.25</v>
      </c>
      <c r="V584" s="22">
        <v>0</v>
      </c>
      <c r="W584" s="22">
        <v>181483</v>
      </c>
      <c r="X584" s="62" t="s">
        <v>1589</v>
      </c>
      <c r="Y584" s="62" t="s">
        <v>1120</v>
      </c>
      <c r="Z584" s="62" t="s">
        <v>1863</v>
      </c>
      <c r="AA584" s="65">
        <v>4</v>
      </c>
      <c r="AB584" s="66"/>
      <c r="AC584" s="1" t="s">
        <v>13</v>
      </c>
      <c r="AD584" s="62" t="str">
        <f>VLOOKUP(X584,'Customer List'!B:C,2,)</f>
        <v>Delhi</v>
      </c>
      <c r="AE584" s="67"/>
      <c r="AF584" s="6"/>
      <c r="AG584" s="62" t="str">
        <f t="shared" si="135"/>
        <v/>
      </c>
      <c r="AH584" s="62" t="str">
        <f t="shared" si="136"/>
        <v>Saturday</v>
      </c>
      <c r="AI584" s="62" t="str">
        <f t="shared" si="137"/>
        <v/>
      </c>
      <c r="AJ584" s="62" t="str">
        <f>VLOOKUP(AC584,'Currency Sheet'!A:C,3,)</f>
        <v>DOLLAR</v>
      </c>
      <c r="AK584" s="62" t="str">
        <f>VLOOKUP(X584,'Customer List'!B:D,3,)</f>
        <v>Local</v>
      </c>
    </row>
    <row r="585" spans="1:37" hidden="1" x14ac:dyDescent="0.25">
      <c r="A585" s="62">
        <f t="shared" si="138"/>
        <v>571</v>
      </c>
      <c r="B585" s="62" t="s">
        <v>824</v>
      </c>
      <c r="C585" s="62" t="s">
        <v>1457</v>
      </c>
      <c r="D585" s="6">
        <v>46112</v>
      </c>
      <c r="E585" s="6">
        <v>46128</v>
      </c>
      <c r="F585" s="63">
        <v>1232.7</v>
      </c>
      <c r="G585" s="64">
        <f t="shared" si="131"/>
        <v>108477.6</v>
      </c>
      <c r="H585" s="64">
        <f t="shared" si="132"/>
        <v>108477.6</v>
      </c>
      <c r="I585" s="70">
        <v>740930</v>
      </c>
      <c r="J585" s="62" t="s">
        <v>1581</v>
      </c>
      <c r="K585" s="8" t="s">
        <v>1582</v>
      </c>
      <c r="L585" s="10">
        <v>46475</v>
      </c>
      <c r="M585" s="62">
        <v>1</v>
      </c>
      <c r="N585" s="8">
        <v>1</v>
      </c>
      <c r="O585" s="62">
        <f t="shared" si="133"/>
        <v>0</v>
      </c>
      <c r="P585" s="70">
        <v>105</v>
      </c>
      <c r="Q585" s="71">
        <v>46129</v>
      </c>
      <c r="R585" s="6">
        <v>46130</v>
      </c>
      <c r="S585" s="64">
        <v>191068.5</v>
      </c>
      <c r="T585" s="22">
        <v>5</v>
      </c>
      <c r="U585" s="64">
        <f t="shared" si="134"/>
        <v>9553.4250000000011</v>
      </c>
      <c r="V585" s="22">
        <v>7.0000000000000007E-2</v>
      </c>
      <c r="W585" s="22">
        <v>200622</v>
      </c>
      <c r="X585" s="62" t="s">
        <v>1148</v>
      </c>
      <c r="Y585" s="62">
        <v>58164464621</v>
      </c>
      <c r="Z585" s="62" t="s">
        <v>1112</v>
      </c>
      <c r="AA585" s="65">
        <v>4</v>
      </c>
      <c r="AB585" s="66"/>
      <c r="AC585" s="1" t="s">
        <v>13</v>
      </c>
      <c r="AD585" s="62" t="str">
        <f>VLOOKUP(X585,'Customer List'!B:C,2,)</f>
        <v>Telangana</v>
      </c>
      <c r="AE585" s="67"/>
      <c r="AF585" s="6">
        <v>46132</v>
      </c>
      <c r="AG585" s="62">
        <f t="shared" si="135"/>
        <v>2</v>
      </c>
      <c r="AH585" s="62" t="str">
        <f t="shared" si="136"/>
        <v>Tuesday</v>
      </c>
      <c r="AI585" s="62" t="str">
        <f t="shared" si="137"/>
        <v>Monday</v>
      </c>
      <c r="AJ585" s="62" t="str">
        <f>VLOOKUP(AC585,'Currency Sheet'!A:C,3,)</f>
        <v>DOLLAR</v>
      </c>
      <c r="AK585" s="62" t="str">
        <f>VLOOKUP(X585,'Customer List'!B:D,3,)</f>
        <v>OutStation</v>
      </c>
    </row>
    <row r="586" spans="1:37" hidden="1" x14ac:dyDescent="0.25">
      <c r="A586" s="62">
        <f t="shared" si="138"/>
        <v>572</v>
      </c>
      <c r="B586" s="62" t="s">
        <v>824</v>
      </c>
      <c r="C586" s="62" t="s">
        <v>1457</v>
      </c>
      <c r="D586" s="6">
        <v>46112</v>
      </c>
      <c r="E586" s="6">
        <v>46128</v>
      </c>
      <c r="F586" s="63">
        <v>821.8</v>
      </c>
      <c r="G586" s="64">
        <f t="shared" ref="G586:G649" si="139">IF(AJ586="DOLLAR",F586*88,F586)</f>
        <v>72318.399999999994</v>
      </c>
      <c r="H586" s="64">
        <f t="shared" ref="H586:H649" si="140">G586*M586</f>
        <v>72318.399999999994</v>
      </c>
      <c r="I586" s="70">
        <v>741030</v>
      </c>
      <c r="J586" s="62" t="s">
        <v>1583</v>
      </c>
      <c r="K586" s="8" t="s">
        <v>1584</v>
      </c>
      <c r="L586" s="10">
        <v>46434</v>
      </c>
      <c r="M586" s="62">
        <v>1</v>
      </c>
      <c r="N586" s="8">
        <v>1</v>
      </c>
      <c r="O586" s="62">
        <f t="shared" ref="O586:O649" si="141">M586-N586</f>
        <v>0</v>
      </c>
      <c r="P586" s="70">
        <v>110</v>
      </c>
      <c r="Q586" s="71">
        <v>46129</v>
      </c>
      <c r="R586" s="6">
        <v>46130</v>
      </c>
      <c r="S586" s="64">
        <v>121919.9</v>
      </c>
      <c r="T586" s="22">
        <v>5</v>
      </c>
      <c r="U586" s="64">
        <f t="shared" ref="U586:U649" si="142">S586*T586%</f>
        <v>6095.9949999999999</v>
      </c>
      <c r="V586" s="22">
        <v>0.1</v>
      </c>
      <c r="W586" s="22">
        <v>128016</v>
      </c>
      <c r="X586" s="62" t="s">
        <v>1596</v>
      </c>
      <c r="Y586" s="62">
        <v>58164464396</v>
      </c>
      <c r="Z586" s="62" t="s">
        <v>1112</v>
      </c>
      <c r="AA586" s="65">
        <v>4</v>
      </c>
      <c r="AB586" s="66"/>
      <c r="AC586" s="1" t="s">
        <v>13</v>
      </c>
      <c r="AD586" s="62" t="str">
        <f>VLOOKUP(X586,'Customer List'!B:C,2,)</f>
        <v>Gujrat</v>
      </c>
      <c r="AE586" s="67"/>
      <c r="AF586" s="6">
        <v>46132</v>
      </c>
      <c r="AG586" s="62">
        <f t="shared" ref="AG586:AG649" si="143">IF(AF586="", "", AF586-R586)</f>
        <v>2</v>
      </c>
      <c r="AH586" s="62" t="str">
        <f t="shared" ref="AH586:AH649" si="144">IF(S586="", "", TEXT(S586, "dddd"))</f>
        <v>Saturday</v>
      </c>
      <c r="AI586" s="62" t="str">
        <f t="shared" si="137"/>
        <v>Monday</v>
      </c>
      <c r="AJ586" s="62" t="str">
        <f>VLOOKUP(AC586,'Currency Sheet'!A:C,3,)</f>
        <v>DOLLAR</v>
      </c>
      <c r="AK586" s="62" t="str">
        <f>VLOOKUP(X586,'Customer List'!B:D,3,)</f>
        <v>OutStation</v>
      </c>
    </row>
    <row r="587" spans="1:37" hidden="1" x14ac:dyDescent="0.25">
      <c r="A587" s="62">
        <f t="shared" si="138"/>
        <v>573</v>
      </c>
      <c r="B587" s="62" t="s">
        <v>824</v>
      </c>
      <c r="C587" s="62" t="s">
        <v>1457</v>
      </c>
      <c r="D587" s="6">
        <v>46112</v>
      </c>
      <c r="E587" s="6">
        <v>46128</v>
      </c>
      <c r="F587" s="63">
        <v>41.3</v>
      </c>
      <c r="G587" s="64">
        <f t="shared" si="139"/>
        <v>3634.3999999999996</v>
      </c>
      <c r="H587" s="64">
        <f t="shared" si="140"/>
        <v>3634.3999999999996</v>
      </c>
      <c r="I587" s="70">
        <v>741042</v>
      </c>
      <c r="J587" s="62" t="s">
        <v>1585</v>
      </c>
      <c r="K587" s="8" t="s">
        <v>1586</v>
      </c>
      <c r="L587" s="10">
        <v>46748</v>
      </c>
      <c r="M587" s="62">
        <v>1</v>
      </c>
      <c r="N587" s="8">
        <v>1</v>
      </c>
      <c r="O587" s="62">
        <f t="shared" si="141"/>
        <v>0</v>
      </c>
      <c r="P587" s="70">
        <v>237</v>
      </c>
      <c r="Q587" s="71">
        <v>46141</v>
      </c>
      <c r="R587" s="6">
        <v>46141</v>
      </c>
      <c r="S587" s="64">
        <v>5575.5</v>
      </c>
      <c r="T587" s="22">
        <v>5</v>
      </c>
      <c r="U587" s="64">
        <f t="shared" si="142"/>
        <v>278.77500000000003</v>
      </c>
      <c r="V587" s="22">
        <v>-0.28000000000000003</v>
      </c>
      <c r="W587" s="22">
        <v>5854</v>
      </c>
      <c r="X587" s="62" t="s">
        <v>803</v>
      </c>
      <c r="Y587" s="62" t="s">
        <v>1120</v>
      </c>
      <c r="Z587" s="62" t="s">
        <v>1863</v>
      </c>
      <c r="AA587" s="65">
        <v>4</v>
      </c>
      <c r="AB587" s="66"/>
      <c r="AC587" s="1" t="s">
        <v>13</v>
      </c>
      <c r="AD587" s="62" t="str">
        <f>VLOOKUP(X587,'Customer List'!B:C,2,)</f>
        <v>Faridabad</v>
      </c>
      <c r="AE587" s="67"/>
      <c r="AF587" s="6"/>
      <c r="AG587" s="62" t="str">
        <f t="shared" si="143"/>
        <v/>
      </c>
      <c r="AH587" s="62" t="str">
        <f t="shared" si="144"/>
        <v>Tuesday</v>
      </c>
      <c r="AI587" s="62" t="str">
        <f t="shared" si="137"/>
        <v/>
      </c>
      <c r="AJ587" s="62" t="str">
        <f>VLOOKUP(AC587,'Currency Sheet'!A:C,3,)</f>
        <v>DOLLAR</v>
      </c>
      <c r="AK587" s="62" t="str">
        <f>VLOOKUP(X587,'Customer List'!B:D,3,)</f>
        <v>Local</v>
      </c>
    </row>
    <row r="588" spans="1:37" hidden="1" x14ac:dyDescent="0.25">
      <c r="A588" s="62">
        <f t="shared" si="138"/>
        <v>574</v>
      </c>
      <c r="B588" s="62" t="s">
        <v>824</v>
      </c>
      <c r="C588" s="62" t="s">
        <v>1457</v>
      </c>
      <c r="D588" s="6">
        <v>46112</v>
      </c>
      <c r="E588" s="6">
        <v>46128</v>
      </c>
      <c r="F588" s="63">
        <v>340.9</v>
      </c>
      <c r="G588" s="64">
        <f t="shared" si="139"/>
        <v>29999.199999999997</v>
      </c>
      <c r="H588" s="64">
        <f t="shared" si="140"/>
        <v>29999.199999999997</v>
      </c>
      <c r="I588" s="70">
        <v>902902</v>
      </c>
      <c r="J588" s="62" t="s">
        <v>1587</v>
      </c>
      <c r="K588" s="8" t="s">
        <v>1588</v>
      </c>
      <c r="L588" s="10">
        <v>48044</v>
      </c>
      <c r="M588" s="62">
        <v>1</v>
      </c>
      <c r="N588" s="8">
        <v>1</v>
      </c>
      <c r="O588" s="62">
        <f t="shared" si="141"/>
        <v>0</v>
      </c>
      <c r="P588" s="70">
        <v>123</v>
      </c>
      <c r="Q588" s="71">
        <v>46129</v>
      </c>
      <c r="R588" s="6">
        <v>46130</v>
      </c>
      <c r="S588" s="64">
        <v>36992.519999999997</v>
      </c>
      <c r="T588" s="22">
        <v>5</v>
      </c>
      <c r="U588" s="64">
        <f t="shared" si="142"/>
        <v>1849.626</v>
      </c>
      <c r="V588" s="22">
        <v>-0.15</v>
      </c>
      <c r="W588" s="22">
        <v>38842</v>
      </c>
      <c r="X588" s="62" t="s">
        <v>802</v>
      </c>
      <c r="Y588" s="62">
        <v>58164463232</v>
      </c>
      <c r="Z588" s="62" t="s">
        <v>1112</v>
      </c>
      <c r="AA588" s="65">
        <v>4</v>
      </c>
      <c r="AB588" s="66"/>
      <c r="AC588" s="1" t="s">
        <v>13</v>
      </c>
      <c r="AD588" s="62" t="str">
        <f>VLOOKUP(X588,'Customer List'!B:C,2,)</f>
        <v>Pune</v>
      </c>
      <c r="AE588" s="67"/>
      <c r="AF588" s="6">
        <v>46132</v>
      </c>
      <c r="AG588" s="62">
        <f t="shared" si="143"/>
        <v>2</v>
      </c>
      <c r="AH588" s="62" t="str">
        <f t="shared" si="144"/>
        <v>Wednesday</v>
      </c>
      <c r="AI588" s="62" t="str">
        <f t="shared" si="137"/>
        <v>Monday</v>
      </c>
      <c r="AJ588" s="62" t="str">
        <f>VLOOKUP(AC588,'Currency Sheet'!A:C,3,)</f>
        <v>DOLLAR</v>
      </c>
      <c r="AK588" s="62" t="str">
        <f>VLOOKUP(X588,'Customer List'!B:D,3,)</f>
        <v>OutStation</v>
      </c>
    </row>
    <row r="589" spans="1:37" hidden="1" x14ac:dyDescent="0.25">
      <c r="A589" s="62">
        <f t="shared" si="138"/>
        <v>575</v>
      </c>
      <c r="B589" s="62" t="s">
        <v>1607</v>
      </c>
      <c r="C589" s="62" t="s">
        <v>1608</v>
      </c>
      <c r="D589" s="6">
        <v>46123</v>
      </c>
      <c r="E589" s="6">
        <v>46127</v>
      </c>
      <c r="F589" s="63">
        <v>8475</v>
      </c>
      <c r="G589" s="64">
        <f t="shared" si="139"/>
        <v>8475</v>
      </c>
      <c r="H589" s="64">
        <f t="shared" si="140"/>
        <v>16950</v>
      </c>
      <c r="I589" s="70" t="s">
        <v>650</v>
      </c>
      <c r="J589" s="62"/>
      <c r="K589" s="8">
        <v>502202840</v>
      </c>
      <c r="L589" s="10"/>
      <c r="M589" s="62">
        <v>2</v>
      </c>
      <c r="N589" s="8"/>
      <c r="O589" s="62">
        <f t="shared" si="141"/>
        <v>2</v>
      </c>
      <c r="P589" s="70"/>
      <c r="Q589" s="71"/>
      <c r="R589" s="6"/>
      <c r="S589" s="64"/>
      <c r="T589" s="22">
        <v>18</v>
      </c>
      <c r="U589" s="64">
        <f t="shared" si="142"/>
        <v>0</v>
      </c>
      <c r="V589" s="22"/>
      <c r="W589" s="22"/>
      <c r="X589" s="62" t="s">
        <v>257</v>
      </c>
      <c r="Y589" s="62"/>
      <c r="Z589" s="62"/>
      <c r="AA589" s="65" t="s">
        <v>808</v>
      </c>
      <c r="AB589" s="66"/>
      <c r="AC589" s="1" t="s">
        <v>1607</v>
      </c>
      <c r="AD589" s="62" t="str">
        <f>VLOOKUP(X589,'Customer List'!B:C,2,)</f>
        <v>STOCK</v>
      </c>
      <c r="AE589" s="67"/>
      <c r="AF589" s="6"/>
      <c r="AG589" s="62" t="str">
        <f t="shared" si="143"/>
        <v/>
      </c>
      <c r="AH589" s="62" t="str">
        <f t="shared" si="144"/>
        <v/>
      </c>
      <c r="AI589" s="62" t="str">
        <f t="shared" si="137"/>
        <v/>
      </c>
      <c r="AJ589" s="62" t="str">
        <f>VLOOKUP(AC589,'Currency Sheet'!A:C,3,)</f>
        <v>INR</v>
      </c>
      <c r="AK589" s="62" t="str">
        <f>VLOOKUP(X589,'Customer List'!B:D,3,)</f>
        <v>STOCK</v>
      </c>
    </row>
    <row r="590" spans="1:37" hidden="1" x14ac:dyDescent="0.25">
      <c r="A590" s="62">
        <f t="shared" si="138"/>
        <v>576</v>
      </c>
      <c r="B590" s="62" t="s">
        <v>1607</v>
      </c>
      <c r="C590" s="62" t="s">
        <v>1608</v>
      </c>
      <c r="D590" s="6">
        <v>46123</v>
      </c>
      <c r="E590" s="6">
        <v>46127</v>
      </c>
      <c r="F590" s="63">
        <v>8475</v>
      </c>
      <c r="G590" s="64">
        <f t="shared" si="139"/>
        <v>8475</v>
      </c>
      <c r="H590" s="64">
        <f t="shared" si="140"/>
        <v>42375</v>
      </c>
      <c r="I590" s="70" t="s">
        <v>650</v>
      </c>
      <c r="J590" s="62"/>
      <c r="K590" s="8">
        <v>502222607</v>
      </c>
      <c r="L590" s="10">
        <v>47817</v>
      </c>
      <c r="M590" s="62">
        <v>5</v>
      </c>
      <c r="N590" s="8"/>
      <c r="O590" s="62">
        <f t="shared" si="141"/>
        <v>5</v>
      </c>
      <c r="P590" s="70"/>
      <c r="Q590" s="71"/>
      <c r="R590" s="6"/>
      <c r="S590" s="64"/>
      <c r="T590" s="22">
        <v>18</v>
      </c>
      <c r="U590" s="64">
        <f t="shared" si="142"/>
        <v>0</v>
      </c>
      <c r="V590" s="22"/>
      <c r="W590" s="22"/>
      <c r="X590" s="62" t="s">
        <v>257</v>
      </c>
      <c r="Y590" s="62"/>
      <c r="Z590" s="62"/>
      <c r="AA590" s="65" t="s">
        <v>808</v>
      </c>
      <c r="AB590" s="66"/>
      <c r="AC590" s="1" t="s">
        <v>1607</v>
      </c>
      <c r="AD590" s="62" t="str">
        <f>VLOOKUP(X590,'Customer List'!B:C,2,)</f>
        <v>STOCK</v>
      </c>
      <c r="AE590" s="67"/>
      <c r="AF590" s="6"/>
      <c r="AG590" s="62" t="str">
        <f t="shared" si="143"/>
        <v/>
      </c>
      <c r="AH590" s="62" t="str">
        <f t="shared" si="144"/>
        <v/>
      </c>
      <c r="AI590" s="62" t="str">
        <f t="shared" si="137"/>
        <v/>
      </c>
      <c r="AJ590" s="62" t="str">
        <f>VLOOKUP(AC590,'Currency Sheet'!A:C,3,)</f>
        <v>INR</v>
      </c>
      <c r="AK590" s="62" t="str">
        <f>VLOOKUP(X590,'Customer List'!B:D,3,)</f>
        <v>STOCK</v>
      </c>
    </row>
    <row r="591" spans="1:37" hidden="1" x14ac:dyDescent="0.25">
      <c r="A591" s="62">
        <f t="shared" si="138"/>
        <v>577</v>
      </c>
      <c r="B591" s="62" t="s">
        <v>1607</v>
      </c>
      <c r="C591" s="62" t="s">
        <v>1608</v>
      </c>
      <c r="D591" s="6">
        <v>46123</v>
      </c>
      <c r="E591" s="6">
        <v>46127</v>
      </c>
      <c r="F591" s="63">
        <v>7490</v>
      </c>
      <c r="G591" s="64">
        <f t="shared" si="139"/>
        <v>7490</v>
      </c>
      <c r="H591" s="64">
        <f t="shared" si="140"/>
        <v>52430</v>
      </c>
      <c r="I591" s="70" t="s">
        <v>1609</v>
      </c>
      <c r="J591" s="62"/>
      <c r="K591" s="8">
        <v>502197817</v>
      </c>
      <c r="L591" s="10"/>
      <c r="M591" s="62">
        <v>7</v>
      </c>
      <c r="N591" s="8"/>
      <c r="O591" s="62">
        <f t="shared" si="141"/>
        <v>7</v>
      </c>
      <c r="P591" s="70"/>
      <c r="Q591" s="71"/>
      <c r="R591" s="6"/>
      <c r="S591" s="64"/>
      <c r="T591" s="22">
        <v>18</v>
      </c>
      <c r="U591" s="64">
        <f t="shared" si="142"/>
        <v>0</v>
      </c>
      <c r="V591" s="22"/>
      <c r="W591" s="22"/>
      <c r="X591" s="62" t="s">
        <v>257</v>
      </c>
      <c r="Y591" s="62"/>
      <c r="Z591" s="62"/>
      <c r="AA591" s="65" t="s">
        <v>808</v>
      </c>
      <c r="AB591" s="66"/>
      <c r="AC591" s="1" t="s">
        <v>1607</v>
      </c>
      <c r="AD591" s="62" t="str">
        <f>VLOOKUP(X591,'Customer List'!B:C,2,)</f>
        <v>STOCK</v>
      </c>
      <c r="AE591" s="67"/>
      <c r="AF591" s="6"/>
      <c r="AG591" s="62" t="str">
        <f t="shared" si="143"/>
        <v/>
      </c>
      <c r="AH591" s="62" t="str">
        <f t="shared" si="144"/>
        <v/>
      </c>
      <c r="AI591" s="62" t="str">
        <f t="shared" si="137"/>
        <v/>
      </c>
      <c r="AJ591" s="62" t="str">
        <f>VLOOKUP(AC591,'Currency Sheet'!A:C,3,)</f>
        <v>INR</v>
      </c>
      <c r="AK591" s="62" t="str">
        <f>VLOOKUP(X591,'Customer List'!B:D,3,)</f>
        <v>STOCK</v>
      </c>
    </row>
    <row r="592" spans="1:37" hidden="1" x14ac:dyDescent="0.25">
      <c r="A592" s="62">
        <f t="shared" si="138"/>
        <v>578</v>
      </c>
      <c r="B592" s="62" t="s">
        <v>1607</v>
      </c>
      <c r="C592" s="62" t="s">
        <v>1608</v>
      </c>
      <c r="D592" s="6">
        <v>46123</v>
      </c>
      <c r="E592" s="6">
        <v>46127</v>
      </c>
      <c r="F592" s="63">
        <v>46500</v>
      </c>
      <c r="G592" s="64">
        <f t="shared" si="139"/>
        <v>46500</v>
      </c>
      <c r="H592" s="64">
        <f t="shared" si="140"/>
        <v>46500</v>
      </c>
      <c r="I592" s="70" t="s">
        <v>1610</v>
      </c>
      <c r="J592" s="62"/>
      <c r="K592" s="8">
        <v>47481021</v>
      </c>
      <c r="L592" s="10"/>
      <c r="M592" s="62">
        <v>1</v>
      </c>
      <c r="N592" s="8"/>
      <c r="O592" s="62">
        <f t="shared" si="141"/>
        <v>1</v>
      </c>
      <c r="P592" s="70"/>
      <c r="Q592" s="71"/>
      <c r="R592" s="6"/>
      <c r="S592" s="64"/>
      <c r="T592" s="22">
        <v>18</v>
      </c>
      <c r="U592" s="64">
        <f t="shared" si="142"/>
        <v>0</v>
      </c>
      <c r="V592" s="22"/>
      <c r="W592" s="22"/>
      <c r="X592" s="62" t="s">
        <v>257</v>
      </c>
      <c r="Y592" s="62"/>
      <c r="Z592" s="62"/>
      <c r="AA592" s="65" t="s">
        <v>808</v>
      </c>
      <c r="AB592" s="66"/>
      <c r="AC592" s="1" t="s">
        <v>1607</v>
      </c>
      <c r="AD592" s="62" t="str">
        <f>VLOOKUP(X592,'Customer List'!B:C,2,)</f>
        <v>STOCK</v>
      </c>
      <c r="AE592" s="67"/>
      <c r="AF592" s="6"/>
      <c r="AG592" s="62" t="str">
        <f t="shared" si="143"/>
        <v/>
      </c>
      <c r="AH592" s="62" t="str">
        <f t="shared" si="144"/>
        <v/>
      </c>
      <c r="AI592" s="62" t="str">
        <f t="shared" si="137"/>
        <v/>
      </c>
      <c r="AJ592" s="62" t="str">
        <f>VLOOKUP(AC592,'Currency Sheet'!A:C,3,)</f>
        <v>INR</v>
      </c>
      <c r="AK592" s="62" t="str">
        <f>VLOOKUP(X592,'Customer List'!B:D,3,)</f>
        <v>STOCK</v>
      </c>
    </row>
    <row r="593" spans="1:37" hidden="1" x14ac:dyDescent="0.25">
      <c r="A593" s="62">
        <f t="shared" si="138"/>
        <v>579</v>
      </c>
      <c r="B593" s="62" t="s">
        <v>305</v>
      </c>
      <c r="C593" s="62">
        <v>197723</v>
      </c>
      <c r="D593" s="6">
        <v>46121</v>
      </c>
      <c r="E593" s="6">
        <v>46128</v>
      </c>
      <c r="F593" s="63">
        <v>681</v>
      </c>
      <c r="G593" s="64">
        <f t="shared" si="139"/>
        <v>59928</v>
      </c>
      <c r="H593" s="64">
        <f t="shared" si="140"/>
        <v>239712</v>
      </c>
      <c r="I593" s="70" t="s">
        <v>1614</v>
      </c>
      <c r="J593" s="62"/>
      <c r="K593" s="8"/>
      <c r="L593" s="10"/>
      <c r="M593" s="62">
        <v>4</v>
      </c>
      <c r="N593" s="8">
        <v>4</v>
      </c>
      <c r="O593" s="62">
        <f t="shared" si="141"/>
        <v>0</v>
      </c>
      <c r="P593" s="70">
        <v>124</v>
      </c>
      <c r="Q593" s="71">
        <v>46129</v>
      </c>
      <c r="R593" s="6">
        <v>46130</v>
      </c>
      <c r="S593" s="64">
        <v>452910</v>
      </c>
      <c r="T593" s="22">
        <v>5</v>
      </c>
      <c r="U593" s="64">
        <f t="shared" si="142"/>
        <v>22645.5</v>
      </c>
      <c r="V593" s="22">
        <v>-0.5</v>
      </c>
      <c r="W593" s="22">
        <v>475555</v>
      </c>
      <c r="X593" s="62" t="s">
        <v>1111</v>
      </c>
      <c r="Y593" s="62">
        <v>58164459894</v>
      </c>
      <c r="Z593" s="62" t="s">
        <v>1112</v>
      </c>
      <c r="AA593" s="65">
        <v>4</v>
      </c>
      <c r="AB593" s="66"/>
      <c r="AC593" s="1" t="s">
        <v>305</v>
      </c>
      <c r="AD593" s="62" t="str">
        <f>VLOOKUP(X593,'Customer List'!B:C,2,)</f>
        <v>Kanpur</v>
      </c>
      <c r="AE593" s="67"/>
      <c r="AF593" s="6">
        <v>46132</v>
      </c>
      <c r="AG593" s="62">
        <f t="shared" si="143"/>
        <v>2</v>
      </c>
      <c r="AH593" s="62" t="str">
        <f t="shared" si="144"/>
        <v>Tuesday</v>
      </c>
      <c r="AI593" s="62" t="str">
        <f t="shared" si="137"/>
        <v>Monday</v>
      </c>
      <c r="AJ593" s="62" t="str">
        <f>VLOOKUP(AC593,'Currency Sheet'!A:C,3,)</f>
        <v>DOLLAR</v>
      </c>
      <c r="AK593" s="62" t="str">
        <f>VLOOKUP(X593,'Customer List'!B:D,3,)</f>
        <v>OutStation</v>
      </c>
    </row>
    <row r="594" spans="1:37" hidden="1" x14ac:dyDescent="0.25">
      <c r="A594" s="62">
        <f t="shared" si="138"/>
        <v>580</v>
      </c>
      <c r="B594" s="62" t="s">
        <v>305</v>
      </c>
      <c r="C594" s="62">
        <v>197724</v>
      </c>
      <c r="D594" s="6">
        <v>46121</v>
      </c>
      <c r="E594" s="6">
        <v>46128</v>
      </c>
      <c r="F594" s="63">
        <v>204</v>
      </c>
      <c r="G594" s="64">
        <f t="shared" si="139"/>
        <v>17952</v>
      </c>
      <c r="H594" s="64">
        <f t="shared" si="140"/>
        <v>35904</v>
      </c>
      <c r="I594" s="70" t="s">
        <v>1615</v>
      </c>
      <c r="J594" s="62"/>
      <c r="K594" s="8"/>
      <c r="L594" s="10"/>
      <c r="M594" s="62">
        <v>2</v>
      </c>
      <c r="N594" s="8">
        <v>2</v>
      </c>
      <c r="O594" s="62">
        <f t="shared" si="141"/>
        <v>0</v>
      </c>
      <c r="P594" s="70">
        <v>120</v>
      </c>
      <c r="Q594" s="71">
        <v>46129</v>
      </c>
      <c r="R594" s="6">
        <v>46130</v>
      </c>
      <c r="S594" s="64">
        <v>63364</v>
      </c>
      <c r="T594" s="22">
        <v>5</v>
      </c>
      <c r="U594" s="64">
        <f t="shared" si="142"/>
        <v>3168.2000000000003</v>
      </c>
      <c r="V594" s="22">
        <v>1800</v>
      </c>
      <c r="W594" s="22">
        <v>68422</v>
      </c>
      <c r="X594" s="62" t="s">
        <v>308</v>
      </c>
      <c r="Y594" s="62">
        <v>58164463980</v>
      </c>
      <c r="Z594" s="62" t="s">
        <v>1112</v>
      </c>
      <c r="AA594" s="65">
        <v>4</v>
      </c>
      <c r="AB594" s="66"/>
      <c r="AC594" s="1" t="s">
        <v>305</v>
      </c>
      <c r="AD594" s="62" t="str">
        <f>VLOOKUP(X594,'Customer List'!B:C,2,)</f>
        <v>pune</v>
      </c>
      <c r="AE594" s="67"/>
      <c r="AF594" s="6">
        <v>46132</v>
      </c>
      <c r="AG594" s="62">
        <f t="shared" si="143"/>
        <v>2</v>
      </c>
      <c r="AH594" s="62" t="str">
        <f t="shared" si="144"/>
        <v>Saturday</v>
      </c>
      <c r="AI594" s="62" t="str">
        <f t="shared" si="137"/>
        <v>Monday</v>
      </c>
      <c r="AJ594" s="62" t="str">
        <f>VLOOKUP(AC594,'Currency Sheet'!A:C,3,)</f>
        <v>DOLLAR</v>
      </c>
      <c r="AK594" s="62" t="str">
        <f>VLOOKUP(X594,'Customer List'!B:D,3,)</f>
        <v>OutStation</v>
      </c>
    </row>
    <row r="595" spans="1:37" hidden="1" x14ac:dyDescent="0.25">
      <c r="A595" s="62">
        <f t="shared" si="138"/>
        <v>581</v>
      </c>
      <c r="B595" s="62" t="s">
        <v>1618</v>
      </c>
      <c r="C595" s="62" t="s">
        <v>1619</v>
      </c>
      <c r="D595" s="6">
        <v>46104</v>
      </c>
      <c r="E595" s="6">
        <v>46129</v>
      </c>
      <c r="F595" s="63">
        <v>135</v>
      </c>
      <c r="G595" s="64">
        <f t="shared" si="139"/>
        <v>11880</v>
      </c>
      <c r="H595" s="64">
        <f t="shared" si="140"/>
        <v>11880</v>
      </c>
      <c r="I595" s="70" t="s">
        <v>1620</v>
      </c>
      <c r="J595" s="62"/>
      <c r="K595" s="8" t="s">
        <v>1622</v>
      </c>
      <c r="L595" s="10">
        <v>46469</v>
      </c>
      <c r="M595" s="62">
        <v>1</v>
      </c>
      <c r="N595" s="8">
        <v>1</v>
      </c>
      <c r="O595" s="62">
        <f t="shared" si="141"/>
        <v>0</v>
      </c>
      <c r="P595" s="70">
        <v>239</v>
      </c>
      <c r="Q595" s="71">
        <v>46141</v>
      </c>
      <c r="R595" s="6">
        <v>46141</v>
      </c>
      <c r="S595" s="64">
        <v>14917.5</v>
      </c>
      <c r="T595" s="22">
        <v>5</v>
      </c>
      <c r="U595" s="64">
        <f t="shared" si="142"/>
        <v>745.875</v>
      </c>
      <c r="V595" s="22">
        <v>-0.38</v>
      </c>
      <c r="W595" s="22">
        <v>29586</v>
      </c>
      <c r="X595" s="62" t="s">
        <v>1623</v>
      </c>
      <c r="Y595" s="62" t="s">
        <v>1120</v>
      </c>
      <c r="Z595" s="62" t="s">
        <v>1863</v>
      </c>
      <c r="AA595" s="65">
        <v>4</v>
      </c>
      <c r="AB595" s="66"/>
      <c r="AC595" s="1" t="s">
        <v>1618</v>
      </c>
      <c r="AD595" s="62" t="str">
        <f>VLOOKUP(X595,'Customer List'!B:C,2,)</f>
        <v>Faridabad</v>
      </c>
      <c r="AE595" s="67"/>
      <c r="AF595" s="6"/>
      <c r="AG595" s="62" t="str">
        <f t="shared" si="143"/>
        <v/>
      </c>
      <c r="AH595" s="62" t="str">
        <f t="shared" si="144"/>
        <v>Saturday</v>
      </c>
      <c r="AI595" s="62" t="str">
        <f t="shared" si="137"/>
        <v/>
      </c>
      <c r="AJ595" s="62" t="str">
        <f>VLOOKUP(AC595,'Currency Sheet'!A:C,3,)</f>
        <v>DOLLAR</v>
      </c>
      <c r="AK595" s="62" t="str">
        <f>VLOOKUP(X595,'Customer List'!B:D,3,)</f>
        <v>Local</v>
      </c>
    </row>
    <row r="596" spans="1:37" hidden="1" x14ac:dyDescent="0.25">
      <c r="A596" s="62">
        <f t="shared" si="138"/>
        <v>582</v>
      </c>
      <c r="B596" s="62" t="s">
        <v>1618</v>
      </c>
      <c r="C596" s="62" t="s">
        <v>1619</v>
      </c>
      <c r="D596" s="6">
        <v>46104</v>
      </c>
      <c r="E596" s="6">
        <v>46129</v>
      </c>
      <c r="F596" s="63">
        <v>135</v>
      </c>
      <c r="G596" s="64">
        <f t="shared" si="139"/>
        <v>11880</v>
      </c>
      <c r="H596" s="64">
        <f t="shared" si="140"/>
        <v>11880</v>
      </c>
      <c r="I596" s="70" t="s">
        <v>1621</v>
      </c>
      <c r="J596" s="62"/>
      <c r="K596" s="8" t="s">
        <v>1622</v>
      </c>
      <c r="L596" s="10">
        <v>46469</v>
      </c>
      <c r="M596" s="62">
        <v>1</v>
      </c>
      <c r="N596" s="8">
        <v>1</v>
      </c>
      <c r="O596" s="62">
        <f t="shared" si="141"/>
        <v>0</v>
      </c>
      <c r="P596" s="70">
        <v>239</v>
      </c>
      <c r="Q596" s="71">
        <v>46141</v>
      </c>
      <c r="R596" s="6">
        <v>46141</v>
      </c>
      <c r="S596" s="64">
        <v>16260</v>
      </c>
      <c r="T596" s="22">
        <v>5</v>
      </c>
      <c r="U596" s="64">
        <f t="shared" si="142"/>
        <v>813</v>
      </c>
      <c r="V596" s="22">
        <v>0</v>
      </c>
      <c r="W596" s="22">
        <v>29586</v>
      </c>
      <c r="X596" s="62" t="s">
        <v>1623</v>
      </c>
      <c r="Y596" s="62" t="s">
        <v>1120</v>
      </c>
      <c r="Z596" s="62" t="s">
        <v>1863</v>
      </c>
      <c r="AA596" s="65">
        <v>4</v>
      </c>
      <c r="AB596" s="66"/>
      <c r="AC596" s="1" t="s">
        <v>1618</v>
      </c>
      <c r="AD596" s="62" t="str">
        <f>VLOOKUP(X596,'Customer List'!B:C,2,)</f>
        <v>Faridabad</v>
      </c>
      <c r="AE596" s="67"/>
      <c r="AF596" s="6"/>
      <c r="AG596" s="62" t="str">
        <f t="shared" si="143"/>
        <v/>
      </c>
      <c r="AH596" s="62" t="str">
        <f t="shared" si="144"/>
        <v>Friday</v>
      </c>
      <c r="AI596" s="62" t="str">
        <f t="shared" si="137"/>
        <v/>
      </c>
      <c r="AJ596" s="62" t="str">
        <f>VLOOKUP(AC596,'Currency Sheet'!A:C,3,)</f>
        <v>DOLLAR</v>
      </c>
      <c r="AK596" s="62" t="str">
        <f>VLOOKUP(X596,'Customer List'!B:D,3,)</f>
        <v>Local</v>
      </c>
    </row>
    <row r="597" spans="1:37" hidden="1" x14ac:dyDescent="0.25">
      <c r="A597" s="62">
        <f t="shared" si="138"/>
        <v>583</v>
      </c>
      <c r="B597" s="62" t="s">
        <v>1661</v>
      </c>
      <c r="C597" s="62" t="s">
        <v>1662</v>
      </c>
      <c r="D597" s="6">
        <v>46125</v>
      </c>
      <c r="E597" s="6">
        <v>46129</v>
      </c>
      <c r="F597" s="63">
        <v>35.4</v>
      </c>
      <c r="G597" s="64">
        <f t="shared" si="139"/>
        <v>3115.2</v>
      </c>
      <c r="H597" s="64">
        <f t="shared" si="140"/>
        <v>3115.2</v>
      </c>
      <c r="I597" s="70" t="s">
        <v>1624</v>
      </c>
      <c r="J597" s="62"/>
      <c r="K597" s="8"/>
      <c r="L597" s="10"/>
      <c r="M597" s="62">
        <v>1</v>
      </c>
      <c r="N597" s="8">
        <v>1</v>
      </c>
      <c r="O597" s="62">
        <f t="shared" si="141"/>
        <v>0</v>
      </c>
      <c r="P597" s="70">
        <v>130</v>
      </c>
      <c r="Q597" s="71">
        <v>46129</v>
      </c>
      <c r="R597" s="6">
        <v>46130</v>
      </c>
      <c r="S597" s="64">
        <v>6844</v>
      </c>
      <c r="T597" s="22">
        <v>5</v>
      </c>
      <c r="U597" s="64">
        <f t="shared" si="142"/>
        <v>342.20000000000005</v>
      </c>
      <c r="V597" s="22">
        <v>1800</v>
      </c>
      <c r="W597" s="22">
        <v>14070</v>
      </c>
      <c r="X597" s="62" t="s">
        <v>414</v>
      </c>
      <c r="Y597" s="62">
        <v>58164466010</v>
      </c>
      <c r="Z597" s="62" t="s">
        <v>1112</v>
      </c>
      <c r="AA597" s="65">
        <v>-20</v>
      </c>
      <c r="AB597" s="66"/>
      <c r="AC597" s="1" t="s">
        <v>1663</v>
      </c>
      <c r="AD597" s="62" t="str">
        <f>VLOOKUP(X597,'Customer List'!B:C,2,)</f>
        <v>ROORKE</v>
      </c>
      <c r="AE597" s="67"/>
      <c r="AF597" s="6">
        <v>46132</v>
      </c>
      <c r="AG597" s="62">
        <f t="shared" si="143"/>
        <v>2</v>
      </c>
      <c r="AH597" s="62" t="str">
        <f t="shared" si="144"/>
        <v>Thursday</v>
      </c>
      <c r="AI597" s="62" t="str">
        <f t="shared" si="137"/>
        <v>Monday</v>
      </c>
      <c r="AJ597" s="62" t="str">
        <f>VLOOKUP(AC597,'Currency Sheet'!A:C,3,)</f>
        <v>DOLLAR</v>
      </c>
      <c r="AK597" s="62" t="str">
        <f>VLOOKUP(X597,'Customer List'!B:D,3,)</f>
        <v>OutStation</v>
      </c>
    </row>
    <row r="598" spans="1:37" hidden="1" x14ac:dyDescent="0.25">
      <c r="A598" s="62">
        <f t="shared" si="138"/>
        <v>584</v>
      </c>
      <c r="B598" s="62" t="s">
        <v>1661</v>
      </c>
      <c r="C598" s="62" t="s">
        <v>1662</v>
      </c>
      <c r="D598" s="6">
        <v>46125</v>
      </c>
      <c r="E598" s="6">
        <v>46129</v>
      </c>
      <c r="F598" s="63">
        <v>24.6</v>
      </c>
      <c r="G598" s="64">
        <f t="shared" si="139"/>
        <v>2164.8000000000002</v>
      </c>
      <c r="H598" s="64">
        <f t="shared" si="140"/>
        <v>2164.8000000000002</v>
      </c>
      <c r="I598" s="70" t="s">
        <v>1625</v>
      </c>
      <c r="J598" s="62"/>
      <c r="K598" s="8"/>
      <c r="L598" s="10"/>
      <c r="M598" s="62">
        <v>1</v>
      </c>
      <c r="N598" s="8">
        <v>1</v>
      </c>
      <c r="O598" s="62">
        <f t="shared" si="141"/>
        <v>0</v>
      </c>
      <c r="P598" s="70">
        <v>130</v>
      </c>
      <c r="Q598" s="71">
        <v>46129</v>
      </c>
      <c r="R598" s="6">
        <v>46130</v>
      </c>
      <c r="S598" s="64">
        <v>4756</v>
      </c>
      <c r="T598" s="22">
        <v>5</v>
      </c>
      <c r="U598" s="64">
        <f t="shared" si="142"/>
        <v>237.8</v>
      </c>
      <c r="V598" s="22">
        <v>0</v>
      </c>
      <c r="W598" s="22">
        <v>14070</v>
      </c>
      <c r="X598" s="62" t="s">
        <v>414</v>
      </c>
      <c r="Y598" s="62">
        <v>58164466010</v>
      </c>
      <c r="Z598" s="62" t="s">
        <v>1112</v>
      </c>
      <c r="AA598" s="65">
        <v>-20</v>
      </c>
      <c r="AB598" s="66"/>
      <c r="AC598" s="1" t="s">
        <v>1663</v>
      </c>
      <c r="AD598" s="62" t="str">
        <f>VLOOKUP(X598,'Customer List'!B:C,2,)</f>
        <v>ROORKE</v>
      </c>
      <c r="AE598" s="67"/>
      <c r="AF598" s="6">
        <v>46132</v>
      </c>
      <c r="AG598" s="62">
        <f t="shared" si="143"/>
        <v>2</v>
      </c>
      <c r="AH598" s="62" t="str">
        <f t="shared" si="144"/>
        <v>Tuesday</v>
      </c>
      <c r="AI598" s="62" t="str">
        <f t="shared" si="137"/>
        <v>Monday</v>
      </c>
      <c r="AJ598" s="62" t="str">
        <f>VLOOKUP(AC598,'Currency Sheet'!A:C,3,)</f>
        <v>DOLLAR</v>
      </c>
      <c r="AK598" s="62" t="str">
        <f>VLOOKUP(X598,'Customer List'!B:D,3,)</f>
        <v>OutStation</v>
      </c>
    </row>
    <row r="599" spans="1:37" hidden="1" x14ac:dyDescent="0.25">
      <c r="A599" s="62">
        <f t="shared" si="138"/>
        <v>585</v>
      </c>
      <c r="B599" s="62" t="s">
        <v>1661</v>
      </c>
      <c r="C599" s="62" t="s">
        <v>1662</v>
      </c>
      <c r="D599" s="6">
        <v>46125</v>
      </c>
      <c r="E599" s="6">
        <v>46129</v>
      </c>
      <c r="F599" s="63">
        <v>21</v>
      </c>
      <c r="G599" s="64">
        <f t="shared" si="139"/>
        <v>1848</v>
      </c>
      <c r="H599" s="64">
        <f t="shared" si="140"/>
        <v>1848</v>
      </c>
      <c r="I599" s="70" t="s">
        <v>1626</v>
      </c>
      <c r="J599" s="62"/>
      <c r="K599" s="8"/>
      <c r="L599" s="10"/>
      <c r="M599" s="62">
        <v>1</v>
      </c>
      <c r="N599" s="8">
        <v>1</v>
      </c>
      <c r="O599" s="62">
        <f t="shared" si="141"/>
        <v>0</v>
      </c>
      <c r="P599" s="70">
        <v>129</v>
      </c>
      <c r="Q599" s="71">
        <v>46129</v>
      </c>
      <c r="R599" s="6">
        <v>46130</v>
      </c>
      <c r="S599" s="64">
        <v>3197.25</v>
      </c>
      <c r="T599" s="22">
        <v>5</v>
      </c>
      <c r="U599" s="64">
        <f t="shared" si="142"/>
        <v>159.86250000000001</v>
      </c>
      <c r="V599" s="22">
        <v>0.19</v>
      </c>
      <c r="W599" s="22">
        <v>307224</v>
      </c>
      <c r="X599" s="62" t="s">
        <v>1664</v>
      </c>
      <c r="Y599" s="62">
        <v>58164461272</v>
      </c>
      <c r="Z599" s="62" t="s">
        <v>1112</v>
      </c>
      <c r="AA599" s="65">
        <v>-20</v>
      </c>
      <c r="AB599" s="66"/>
      <c r="AC599" s="1" t="s">
        <v>1663</v>
      </c>
      <c r="AD599" s="62" t="str">
        <f>VLOOKUP(X599,'Customer List'!B:C,2,)</f>
        <v>JAIPUR</v>
      </c>
      <c r="AE599" s="67"/>
      <c r="AF599" s="6">
        <v>46134</v>
      </c>
      <c r="AG599" s="62">
        <f t="shared" si="143"/>
        <v>4</v>
      </c>
      <c r="AH599" s="62" t="str">
        <f t="shared" si="144"/>
        <v>Thursday</v>
      </c>
      <c r="AI599" s="62" t="str">
        <f t="shared" si="137"/>
        <v>Wednesday</v>
      </c>
      <c r="AJ599" s="62" t="str">
        <f>VLOOKUP(AC599,'Currency Sheet'!A:C,3,)</f>
        <v>DOLLAR</v>
      </c>
      <c r="AK599" s="62" t="str">
        <f>VLOOKUP(X599,'Customer List'!B:D,3,)</f>
        <v>OutStation</v>
      </c>
    </row>
    <row r="600" spans="1:37" hidden="1" x14ac:dyDescent="0.25">
      <c r="A600" s="62">
        <f t="shared" si="138"/>
        <v>586</v>
      </c>
      <c r="B600" s="62" t="s">
        <v>1661</v>
      </c>
      <c r="C600" s="62" t="s">
        <v>1662</v>
      </c>
      <c r="D600" s="6">
        <v>46125</v>
      </c>
      <c r="E600" s="6">
        <v>46129</v>
      </c>
      <c r="F600" s="63">
        <v>53.4</v>
      </c>
      <c r="G600" s="64">
        <f t="shared" si="139"/>
        <v>4699.2</v>
      </c>
      <c r="H600" s="64">
        <f t="shared" si="140"/>
        <v>4699.2</v>
      </c>
      <c r="I600" s="70" t="s">
        <v>1624</v>
      </c>
      <c r="J600" s="62"/>
      <c r="K600" s="8"/>
      <c r="L600" s="10"/>
      <c r="M600" s="62">
        <v>1</v>
      </c>
      <c r="N600" s="8">
        <v>1</v>
      </c>
      <c r="O600" s="62">
        <f t="shared" si="141"/>
        <v>0</v>
      </c>
      <c r="P600" s="70">
        <v>129</v>
      </c>
      <c r="Q600" s="71">
        <v>46129</v>
      </c>
      <c r="R600" s="6">
        <v>46130</v>
      </c>
      <c r="S600" s="64">
        <v>8130.15</v>
      </c>
      <c r="T600" s="22">
        <v>5</v>
      </c>
      <c r="U600" s="64">
        <f t="shared" si="142"/>
        <v>406.50749999999999</v>
      </c>
      <c r="V600" s="22">
        <v>0</v>
      </c>
      <c r="W600" s="22">
        <v>307224</v>
      </c>
      <c r="X600" s="62" t="s">
        <v>1664</v>
      </c>
      <c r="Y600" s="62">
        <v>58164461272</v>
      </c>
      <c r="Z600" s="62" t="s">
        <v>1112</v>
      </c>
      <c r="AA600" s="65">
        <v>-20</v>
      </c>
      <c r="AB600" s="66"/>
      <c r="AC600" s="1" t="s">
        <v>1663</v>
      </c>
      <c r="AD600" s="62" t="str">
        <f>VLOOKUP(X600,'Customer List'!B:C,2,)</f>
        <v>JAIPUR</v>
      </c>
      <c r="AE600" s="67"/>
      <c r="AF600" s="6">
        <v>46134</v>
      </c>
      <c r="AG600" s="62">
        <f t="shared" si="143"/>
        <v>4</v>
      </c>
      <c r="AH600" s="62" t="str">
        <f t="shared" si="144"/>
        <v>Tuesday</v>
      </c>
      <c r="AI600" s="62" t="str">
        <f t="shared" si="137"/>
        <v>Wednesday</v>
      </c>
      <c r="AJ600" s="62" t="str">
        <f>VLOOKUP(AC600,'Currency Sheet'!A:C,3,)</f>
        <v>DOLLAR</v>
      </c>
      <c r="AK600" s="62" t="str">
        <f>VLOOKUP(X600,'Customer List'!B:D,3,)</f>
        <v>OutStation</v>
      </c>
    </row>
    <row r="601" spans="1:37" hidden="1" x14ac:dyDescent="0.25">
      <c r="A601" s="62">
        <f t="shared" si="138"/>
        <v>587</v>
      </c>
      <c r="B601" s="62" t="s">
        <v>1661</v>
      </c>
      <c r="C601" s="62" t="s">
        <v>1662</v>
      </c>
      <c r="D601" s="6">
        <v>46125</v>
      </c>
      <c r="E601" s="6">
        <v>46129</v>
      </c>
      <c r="F601" s="63">
        <v>285.60000000000002</v>
      </c>
      <c r="G601" s="64">
        <f t="shared" si="139"/>
        <v>25132.800000000003</v>
      </c>
      <c r="H601" s="64">
        <f t="shared" si="140"/>
        <v>25132.800000000003</v>
      </c>
      <c r="I601" s="70" t="s">
        <v>1627</v>
      </c>
      <c r="J601" s="62"/>
      <c r="K601" s="8"/>
      <c r="L601" s="10"/>
      <c r="M601" s="62">
        <v>1</v>
      </c>
      <c r="N601" s="8">
        <v>1</v>
      </c>
      <c r="O601" s="62">
        <f t="shared" si="141"/>
        <v>0</v>
      </c>
      <c r="P601" s="70">
        <v>129</v>
      </c>
      <c r="Q601" s="71">
        <v>46129</v>
      </c>
      <c r="R601" s="6">
        <v>46130</v>
      </c>
      <c r="S601" s="64">
        <v>43482.6</v>
      </c>
      <c r="T601" s="22">
        <v>5</v>
      </c>
      <c r="U601" s="64">
        <f t="shared" si="142"/>
        <v>2174.13</v>
      </c>
      <c r="V601" s="22">
        <v>0</v>
      </c>
      <c r="W601" s="22">
        <v>307224</v>
      </c>
      <c r="X601" s="62" t="s">
        <v>1664</v>
      </c>
      <c r="Y601" s="62">
        <v>58164461272</v>
      </c>
      <c r="Z601" s="62" t="s">
        <v>1112</v>
      </c>
      <c r="AA601" s="65">
        <v>-20</v>
      </c>
      <c r="AB601" s="66"/>
      <c r="AC601" s="1" t="s">
        <v>1663</v>
      </c>
      <c r="AD601" s="62" t="str">
        <f>VLOOKUP(X601,'Customer List'!B:C,2,)</f>
        <v>JAIPUR</v>
      </c>
      <c r="AE601" s="67"/>
      <c r="AF601" s="6">
        <v>46134</v>
      </c>
      <c r="AG601" s="62">
        <f t="shared" si="143"/>
        <v>4</v>
      </c>
      <c r="AH601" s="62" t="str">
        <f t="shared" si="144"/>
        <v>Thursday</v>
      </c>
      <c r="AI601" s="62" t="str">
        <f t="shared" si="137"/>
        <v>Wednesday</v>
      </c>
      <c r="AJ601" s="62" t="str">
        <f>VLOOKUP(AC601,'Currency Sheet'!A:C,3,)</f>
        <v>DOLLAR</v>
      </c>
      <c r="AK601" s="62" t="str">
        <f>VLOOKUP(X601,'Customer List'!B:D,3,)</f>
        <v>OutStation</v>
      </c>
    </row>
    <row r="602" spans="1:37" hidden="1" x14ac:dyDescent="0.25">
      <c r="A602" s="62">
        <f t="shared" si="138"/>
        <v>588</v>
      </c>
      <c r="B602" s="62" t="s">
        <v>1661</v>
      </c>
      <c r="C602" s="62" t="s">
        <v>1662</v>
      </c>
      <c r="D602" s="6">
        <v>46125</v>
      </c>
      <c r="E602" s="6">
        <v>46129</v>
      </c>
      <c r="F602" s="63">
        <v>154.19999999999999</v>
      </c>
      <c r="G602" s="64">
        <f t="shared" si="139"/>
        <v>13569.599999999999</v>
      </c>
      <c r="H602" s="64">
        <f t="shared" si="140"/>
        <v>13569.599999999999</v>
      </c>
      <c r="I602" s="70" t="s">
        <v>1628</v>
      </c>
      <c r="J602" s="62"/>
      <c r="K602" s="8"/>
      <c r="L602" s="10"/>
      <c r="M602" s="62">
        <v>1</v>
      </c>
      <c r="N602" s="8">
        <v>1</v>
      </c>
      <c r="O602" s="62">
        <f t="shared" si="141"/>
        <v>0</v>
      </c>
      <c r="P602" s="70">
        <v>129</v>
      </c>
      <c r="Q602" s="71">
        <v>46129</v>
      </c>
      <c r="R602" s="6">
        <v>46130</v>
      </c>
      <c r="S602" s="64">
        <v>23476.95</v>
      </c>
      <c r="T602" s="22">
        <v>5</v>
      </c>
      <c r="U602" s="64">
        <f t="shared" si="142"/>
        <v>1173.8475000000001</v>
      </c>
      <c r="V602" s="22">
        <v>0</v>
      </c>
      <c r="W602" s="22">
        <v>307224</v>
      </c>
      <c r="X602" s="62" t="s">
        <v>1664</v>
      </c>
      <c r="Y602" s="62">
        <v>58164461272</v>
      </c>
      <c r="Z602" s="62" t="s">
        <v>1112</v>
      </c>
      <c r="AA602" s="65">
        <v>-20</v>
      </c>
      <c r="AB602" s="66"/>
      <c r="AC602" s="1" t="s">
        <v>1663</v>
      </c>
      <c r="AD602" s="62" t="str">
        <f>VLOOKUP(X602,'Customer List'!B:C,2,)</f>
        <v>JAIPUR</v>
      </c>
      <c r="AE602" s="67"/>
      <c r="AF602" s="6">
        <v>46134</v>
      </c>
      <c r="AG602" s="62">
        <f t="shared" si="143"/>
        <v>4</v>
      </c>
      <c r="AH602" s="62" t="str">
        <f t="shared" si="144"/>
        <v>Thursday</v>
      </c>
      <c r="AI602" s="62" t="str">
        <f t="shared" si="137"/>
        <v>Wednesday</v>
      </c>
      <c r="AJ602" s="62" t="str">
        <f>VLOOKUP(AC602,'Currency Sheet'!A:C,3,)</f>
        <v>DOLLAR</v>
      </c>
      <c r="AK602" s="62" t="str">
        <f>VLOOKUP(X602,'Customer List'!B:D,3,)</f>
        <v>OutStation</v>
      </c>
    </row>
    <row r="603" spans="1:37" hidden="1" x14ac:dyDescent="0.25">
      <c r="A603" s="62">
        <f t="shared" si="138"/>
        <v>589</v>
      </c>
      <c r="B603" s="62" t="s">
        <v>1661</v>
      </c>
      <c r="C603" s="62" t="s">
        <v>1662</v>
      </c>
      <c r="D603" s="6">
        <v>46125</v>
      </c>
      <c r="E603" s="6">
        <v>46129</v>
      </c>
      <c r="F603" s="63">
        <v>30</v>
      </c>
      <c r="G603" s="64">
        <f t="shared" si="139"/>
        <v>2640</v>
      </c>
      <c r="H603" s="64">
        <f t="shared" si="140"/>
        <v>5280</v>
      </c>
      <c r="I603" s="70" t="s">
        <v>1629</v>
      </c>
      <c r="J603" s="62"/>
      <c r="K603" s="8"/>
      <c r="L603" s="10"/>
      <c r="M603" s="62">
        <v>2</v>
      </c>
      <c r="N603" s="8">
        <v>2</v>
      </c>
      <c r="O603" s="62">
        <f t="shared" si="141"/>
        <v>0</v>
      </c>
      <c r="P603" s="70">
        <v>129</v>
      </c>
      <c r="Q603" s="71">
        <v>46129</v>
      </c>
      <c r="R603" s="6">
        <v>46130</v>
      </c>
      <c r="S603" s="64">
        <v>9135</v>
      </c>
      <c r="T603" s="22">
        <v>5</v>
      </c>
      <c r="U603" s="64">
        <f t="shared" si="142"/>
        <v>456.75</v>
      </c>
      <c r="V603" s="22">
        <v>0</v>
      </c>
      <c r="W603" s="22">
        <v>307224</v>
      </c>
      <c r="X603" s="62" t="s">
        <v>1664</v>
      </c>
      <c r="Y603" s="62">
        <v>58164461272</v>
      </c>
      <c r="Z603" s="62" t="s">
        <v>1112</v>
      </c>
      <c r="AA603" s="65">
        <v>-20</v>
      </c>
      <c r="AB603" s="66"/>
      <c r="AC603" s="1" t="s">
        <v>1663</v>
      </c>
      <c r="AD603" s="62" t="str">
        <f>VLOOKUP(X603,'Customer List'!B:C,2,)</f>
        <v>JAIPUR</v>
      </c>
      <c r="AE603" s="67"/>
      <c r="AF603" s="6">
        <v>46134</v>
      </c>
      <c r="AG603" s="62">
        <f t="shared" si="143"/>
        <v>4</v>
      </c>
      <c r="AH603" s="62" t="str">
        <f t="shared" si="144"/>
        <v>Saturday</v>
      </c>
      <c r="AI603" s="62" t="str">
        <f t="shared" si="137"/>
        <v>Wednesday</v>
      </c>
      <c r="AJ603" s="62" t="str">
        <f>VLOOKUP(AC603,'Currency Sheet'!A:C,3,)</f>
        <v>DOLLAR</v>
      </c>
      <c r="AK603" s="62" t="str">
        <f>VLOOKUP(X603,'Customer List'!B:D,3,)</f>
        <v>OutStation</v>
      </c>
    </row>
    <row r="604" spans="1:37" hidden="1" x14ac:dyDescent="0.25">
      <c r="A604" s="62">
        <f t="shared" si="138"/>
        <v>590</v>
      </c>
      <c r="B604" s="62" t="s">
        <v>1661</v>
      </c>
      <c r="C604" s="62" t="s">
        <v>1662</v>
      </c>
      <c r="D604" s="6">
        <v>46125</v>
      </c>
      <c r="E604" s="6">
        <v>46129</v>
      </c>
      <c r="F604" s="63">
        <v>30</v>
      </c>
      <c r="G604" s="64">
        <f t="shared" si="139"/>
        <v>2640</v>
      </c>
      <c r="H604" s="64">
        <f t="shared" si="140"/>
        <v>2640</v>
      </c>
      <c r="I604" s="70" t="s">
        <v>1630</v>
      </c>
      <c r="J604" s="62"/>
      <c r="K604" s="8"/>
      <c r="L604" s="10"/>
      <c r="M604" s="62">
        <v>1</v>
      </c>
      <c r="N604" s="8">
        <v>1</v>
      </c>
      <c r="O604" s="62">
        <f t="shared" si="141"/>
        <v>0</v>
      </c>
      <c r="P604" s="70">
        <v>129</v>
      </c>
      <c r="Q604" s="71">
        <v>46129</v>
      </c>
      <c r="R604" s="6">
        <v>46130</v>
      </c>
      <c r="S604" s="64">
        <v>4567.5</v>
      </c>
      <c r="T604" s="22">
        <v>5</v>
      </c>
      <c r="U604" s="64">
        <f t="shared" si="142"/>
        <v>228.375</v>
      </c>
      <c r="V604" s="22">
        <v>0</v>
      </c>
      <c r="W604" s="22">
        <v>307224</v>
      </c>
      <c r="X604" s="62" t="s">
        <v>1664</v>
      </c>
      <c r="Y604" s="62">
        <v>58164461272</v>
      </c>
      <c r="Z604" s="62" t="s">
        <v>1112</v>
      </c>
      <c r="AA604" s="65">
        <v>-20</v>
      </c>
      <c r="AB604" s="66"/>
      <c r="AC604" s="1" t="s">
        <v>1663</v>
      </c>
      <c r="AD604" s="62" t="str">
        <f>VLOOKUP(X604,'Customer List'!B:C,2,)</f>
        <v>JAIPUR</v>
      </c>
      <c r="AE604" s="67"/>
      <c r="AF604" s="6">
        <v>46134</v>
      </c>
      <c r="AG604" s="62">
        <f t="shared" si="143"/>
        <v>4</v>
      </c>
      <c r="AH604" s="62" t="str">
        <f t="shared" si="144"/>
        <v>Tuesday</v>
      </c>
      <c r="AI604" s="62" t="str">
        <f t="shared" si="137"/>
        <v>Wednesday</v>
      </c>
      <c r="AJ604" s="62" t="str">
        <f>VLOOKUP(AC604,'Currency Sheet'!A:C,3,)</f>
        <v>DOLLAR</v>
      </c>
      <c r="AK604" s="62" t="str">
        <f>VLOOKUP(X604,'Customer List'!B:D,3,)</f>
        <v>OutStation</v>
      </c>
    </row>
    <row r="605" spans="1:37" hidden="1" x14ac:dyDescent="0.25">
      <c r="A605" s="62">
        <f t="shared" si="138"/>
        <v>591</v>
      </c>
      <c r="B605" s="62" t="s">
        <v>1661</v>
      </c>
      <c r="C605" s="62" t="s">
        <v>1662</v>
      </c>
      <c r="D605" s="6">
        <v>46125</v>
      </c>
      <c r="E605" s="6">
        <v>46129</v>
      </c>
      <c r="F605" s="63">
        <v>63.6</v>
      </c>
      <c r="G605" s="64">
        <f t="shared" si="139"/>
        <v>5596.8</v>
      </c>
      <c r="H605" s="64">
        <f t="shared" si="140"/>
        <v>5596.8</v>
      </c>
      <c r="I605" s="70" t="s">
        <v>1631</v>
      </c>
      <c r="J605" s="62"/>
      <c r="K605" s="8"/>
      <c r="L605" s="10"/>
      <c r="M605" s="62">
        <v>1</v>
      </c>
      <c r="N605" s="8">
        <v>1</v>
      </c>
      <c r="O605" s="62">
        <f t="shared" si="141"/>
        <v>0</v>
      </c>
      <c r="P605" s="70">
        <v>129</v>
      </c>
      <c r="Q605" s="71">
        <v>46129</v>
      </c>
      <c r="R605" s="6">
        <v>46130</v>
      </c>
      <c r="S605" s="64">
        <v>9683.1</v>
      </c>
      <c r="T605" s="22">
        <v>5</v>
      </c>
      <c r="U605" s="64">
        <f t="shared" si="142"/>
        <v>484.15500000000003</v>
      </c>
      <c r="V605" s="22">
        <v>0</v>
      </c>
      <c r="W605" s="22">
        <v>307224</v>
      </c>
      <c r="X605" s="62" t="s">
        <v>1664</v>
      </c>
      <c r="Y605" s="62">
        <v>58164461272</v>
      </c>
      <c r="Z605" s="62" t="s">
        <v>1112</v>
      </c>
      <c r="AA605" s="65">
        <v>-20</v>
      </c>
      <c r="AB605" s="66"/>
      <c r="AC605" s="1" t="s">
        <v>1663</v>
      </c>
      <c r="AD605" s="62" t="str">
        <f>VLOOKUP(X605,'Customer List'!B:C,2,)</f>
        <v>JAIPUR</v>
      </c>
      <c r="AE605" s="67"/>
      <c r="AF605" s="6">
        <v>46134</v>
      </c>
      <c r="AG605" s="62">
        <f t="shared" si="143"/>
        <v>4</v>
      </c>
      <c r="AH605" s="62" t="str">
        <f t="shared" si="144"/>
        <v>Monday</v>
      </c>
      <c r="AI605" s="62" t="str">
        <f t="shared" si="137"/>
        <v>Wednesday</v>
      </c>
      <c r="AJ605" s="62" t="str">
        <f>VLOOKUP(AC605,'Currency Sheet'!A:C,3,)</f>
        <v>DOLLAR</v>
      </c>
      <c r="AK605" s="62" t="str">
        <f>VLOOKUP(X605,'Customer List'!B:D,3,)</f>
        <v>OutStation</v>
      </c>
    </row>
    <row r="606" spans="1:37" hidden="1" x14ac:dyDescent="0.25">
      <c r="A606" s="62">
        <f t="shared" si="138"/>
        <v>592</v>
      </c>
      <c r="B606" s="62" t="s">
        <v>1661</v>
      </c>
      <c r="C606" s="62" t="s">
        <v>1662</v>
      </c>
      <c r="D606" s="6">
        <v>46125</v>
      </c>
      <c r="E606" s="6">
        <v>46129</v>
      </c>
      <c r="F606" s="63">
        <v>54.6</v>
      </c>
      <c r="G606" s="64">
        <f t="shared" si="139"/>
        <v>4804.8</v>
      </c>
      <c r="H606" s="64">
        <f t="shared" si="140"/>
        <v>4804.8</v>
      </c>
      <c r="I606" s="70" t="s">
        <v>1632</v>
      </c>
      <c r="J606" s="62"/>
      <c r="K606" s="8"/>
      <c r="L606" s="10"/>
      <c r="M606" s="62">
        <v>1</v>
      </c>
      <c r="N606" s="8">
        <v>1</v>
      </c>
      <c r="O606" s="62">
        <f t="shared" si="141"/>
        <v>0</v>
      </c>
      <c r="P606" s="70">
        <v>129</v>
      </c>
      <c r="Q606" s="71">
        <v>46129</v>
      </c>
      <c r="R606" s="6">
        <v>46130</v>
      </c>
      <c r="S606" s="64">
        <v>8312.85</v>
      </c>
      <c r="T606" s="22">
        <v>5</v>
      </c>
      <c r="U606" s="64">
        <f t="shared" si="142"/>
        <v>415.64250000000004</v>
      </c>
      <c r="V606" s="22">
        <v>0</v>
      </c>
      <c r="W606" s="22">
        <v>307224</v>
      </c>
      <c r="X606" s="62" t="s">
        <v>1664</v>
      </c>
      <c r="Y606" s="62">
        <v>58164461272</v>
      </c>
      <c r="Z606" s="62" t="s">
        <v>1112</v>
      </c>
      <c r="AA606" s="65">
        <v>-20</v>
      </c>
      <c r="AB606" s="66"/>
      <c r="AC606" s="1" t="s">
        <v>1663</v>
      </c>
      <c r="AD606" s="62" t="str">
        <f>VLOOKUP(X606,'Customer List'!B:C,2,)</f>
        <v>JAIPUR</v>
      </c>
      <c r="AE606" s="67"/>
      <c r="AF606" s="6">
        <v>46134</v>
      </c>
      <c r="AG606" s="62">
        <f t="shared" si="143"/>
        <v>4</v>
      </c>
      <c r="AH606" s="62" t="str">
        <f t="shared" si="144"/>
        <v>Tuesday</v>
      </c>
      <c r="AI606" s="62" t="str">
        <f t="shared" si="137"/>
        <v>Wednesday</v>
      </c>
      <c r="AJ606" s="62" t="str">
        <f>VLOOKUP(AC606,'Currency Sheet'!A:C,3,)</f>
        <v>DOLLAR</v>
      </c>
      <c r="AK606" s="62" t="str">
        <f>VLOOKUP(X606,'Customer List'!B:D,3,)</f>
        <v>OutStation</v>
      </c>
    </row>
    <row r="607" spans="1:37" hidden="1" x14ac:dyDescent="0.25">
      <c r="A607" s="62">
        <f t="shared" si="138"/>
        <v>593</v>
      </c>
      <c r="B607" s="62" t="s">
        <v>1661</v>
      </c>
      <c r="C607" s="62" t="s">
        <v>1662</v>
      </c>
      <c r="D607" s="6">
        <v>46125</v>
      </c>
      <c r="E607" s="6">
        <v>46129</v>
      </c>
      <c r="F607" s="63">
        <v>46.2</v>
      </c>
      <c r="G607" s="64">
        <f t="shared" si="139"/>
        <v>4065.6000000000004</v>
      </c>
      <c r="H607" s="64">
        <f t="shared" si="140"/>
        <v>4065.6000000000004</v>
      </c>
      <c r="I607" s="70" t="s">
        <v>1633</v>
      </c>
      <c r="J607" s="62"/>
      <c r="K607" s="8"/>
      <c r="L607" s="10"/>
      <c r="M607" s="62">
        <v>1</v>
      </c>
      <c r="N607" s="8">
        <v>1</v>
      </c>
      <c r="O607" s="62">
        <f t="shared" si="141"/>
        <v>0</v>
      </c>
      <c r="P607" s="70">
        <v>129</v>
      </c>
      <c r="Q607" s="71">
        <v>46129</v>
      </c>
      <c r="R607" s="6">
        <v>46130</v>
      </c>
      <c r="S607" s="64">
        <v>7033.95</v>
      </c>
      <c r="T607" s="22">
        <v>5</v>
      </c>
      <c r="U607" s="64">
        <f t="shared" si="142"/>
        <v>351.69749999999999</v>
      </c>
      <c r="V607" s="22">
        <v>0</v>
      </c>
      <c r="W607" s="22">
        <v>307224</v>
      </c>
      <c r="X607" s="62" t="s">
        <v>1664</v>
      </c>
      <c r="Y607" s="62">
        <v>58164461272</v>
      </c>
      <c r="Z607" s="62" t="s">
        <v>1112</v>
      </c>
      <c r="AA607" s="65">
        <v>-20</v>
      </c>
      <c r="AB607" s="66"/>
      <c r="AC607" s="1" t="s">
        <v>1663</v>
      </c>
      <c r="AD607" s="62" t="str">
        <f>VLOOKUP(X607,'Customer List'!B:C,2,)</f>
        <v>JAIPUR</v>
      </c>
      <c r="AE607" s="67"/>
      <c r="AF607" s="6">
        <v>46134</v>
      </c>
      <c r="AG607" s="62">
        <f t="shared" si="143"/>
        <v>4</v>
      </c>
      <c r="AH607" s="62" t="str">
        <f t="shared" si="144"/>
        <v>Thursday</v>
      </c>
      <c r="AI607" s="62" t="str">
        <f t="shared" si="137"/>
        <v>Wednesday</v>
      </c>
      <c r="AJ607" s="62" t="str">
        <f>VLOOKUP(AC607,'Currency Sheet'!A:C,3,)</f>
        <v>DOLLAR</v>
      </c>
      <c r="AK607" s="62" t="str">
        <f>VLOOKUP(X607,'Customer List'!B:D,3,)</f>
        <v>OutStation</v>
      </c>
    </row>
    <row r="608" spans="1:37" hidden="1" x14ac:dyDescent="0.25">
      <c r="A608" s="62">
        <f t="shared" si="138"/>
        <v>594</v>
      </c>
      <c r="B608" s="62" t="s">
        <v>1661</v>
      </c>
      <c r="C608" s="62" t="s">
        <v>1662</v>
      </c>
      <c r="D608" s="6">
        <v>46125</v>
      </c>
      <c r="E608" s="6">
        <v>46129</v>
      </c>
      <c r="F608" s="63">
        <v>27</v>
      </c>
      <c r="G608" s="64">
        <f t="shared" si="139"/>
        <v>2376</v>
      </c>
      <c r="H608" s="64">
        <f t="shared" si="140"/>
        <v>2376</v>
      </c>
      <c r="I608" s="70" t="s">
        <v>1634</v>
      </c>
      <c r="J608" s="62"/>
      <c r="K608" s="8"/>
      <c r="L608" s="10"/>
      <c r="M608" s="62">
        <v>1</v>
      </c>
      <c r="N608" s="8">
        <v>1</v>
      </c>
      <c r="O608" s="62">
        <f t="shared" si="141"/>
        <v>0</v>
      </c>
      <c r="P608" s="70">
        <v>129</v>
      </c>
      <c r="Q608" s="71">
        <v>46129</v>
      </c>
      <c r="R608" s="6">
        <v>46130</v>
      </c>
      <c r="S608" s="64">
        <v>4110.75</v>
      </c>
      <c r="T608" s="22">
        <v>5</v>
      </c>
      <c r="U608" s="64">
        <f t="shared" si="142"/>
        <v>205.53750000000002</v>
      </c>
      <c r="V608" s="22">
        <v>0</v>
      </c>
      <c r="W608" s="22">
        <v>307224</v>
      </c>
      <c r="X608" s="62" t="s">
        <v>1664</v>
      </c>
      <c r="Y608" s="62">
        <v>58164461272</v>
      </c>
      <c r="Z608" s="62" t="s">
        <v>1112</v>
      </c>
      <c r="AA608" s="65">
        <v>-20</v>
      </c>
      <c r="AB608" s="66"/>
      <c r="AC608" s="1" t="s">
        <v>1663</v>
      </c>
      <c r="AD608" s="62" t="str">
        <f>VLOOKUP(X608,'Customer List'!B:C,2,)</f>
        <v>JAIPUR</v>
      </c>
      <c r="AE608" s="67"/>
      <c r="AF608" s="6">
        <v>46134</v>
      </c>
      <c r="AG608" s="62">
        <f t="shared" si="143"/>
        <v>4</v>
      </c>
      <c r="AH608" s="62" t="str">
        <f t="shared" si="144"/>
        <v>Sunday</v>
      </c>
      <c r="AI608" s="62" t="str">
        <f t="shared" si="137"/>
        <v>Wednesday</v>
      </c>
      <c r="AJ608" s="62" t="str">
        <f>VLOOKUP(AC608,'Currency Sheet'!A:C,3,)</f>
        <v>DOLLAR</v>
      </c>
      <c r="AK608" s="62" t="str">
        <f>VLOOKUP(X608,'Customer List'!B:D,3,)</f>
        <v>OutStation</v>
      </c>
    </row>
    <row r="609" spans="1:37" hidden="1" x14ac:dyDescent="0.25">
      <c r="A609" s="62">
        <f t="shared" si="138"/>
        <v>595</v>
      </c>
      <c r="B609" s="62" t="s">
        <v>1661</v>
      </c>
      <c r="C609" s="62" t="s">
        <v>1662</v>
      </c>
      <c r="D609" s="6">
        <v>46125</v>
      </c>
      <c r="E609" s="6">
        <v>46129</v>
      </c>
      <c r="F609" s="63">
        <v>25.2</v>
      </c>
      <c r="G609" s="64">
        <f t="shared" si="139"/>
        <v>2217.6</v>
      </c>
      <c r="H609" s="64">
        <f t="shared" si="140"/>
        <v>2217.6</v>
      </c>
      <c r="I609" s="70" t="s">
        <v>1635</v>
      </c>
      <c r="J609" s="62"/>
      <c r="K609" s="8"/>
      <c r="L609" s="10"/>
      <c r="M609" s="62">
        <v>1</v>
      </c>
      <c r="N609" s="8">
        <v>1</v>
      </c>
      <c r="O609" s="62">
        <f t="shared" si="141"/>
        <v>0</v>
      </c>
      <c r="P609" s="70">
        <v>129</v>
      </c>
      <c r="Q609" s="71">
        <v>46129</v>
      </c>
      <c r="R609" s="6">
        <v>46130</v>
      </c>
      <c r="S609" s="64">
        <v>3836.7</v>
      </c>
      <c r="T609" s="22">
        <v>5</v>
      </c>
      <c r="U609" s="64">
        <f t="shared" si="142"/>
        <v>191.83500000000001</v>
      </c>
      <c r="V609" s="22">
        <v>0</v>
      </c>
      <c r="W609" s="22">
        <v>307224</v>
      </c>
      <c r="X609" s="62" t="s">
        <v>1664</v>
      </c>
      <c r="Y609" s="62">
        <v>58164461272</v>
      </c>
      <c r="Z609" s="62" t="s">
        <v>1112</v>
      </c>
      <c r="AA609" s="65">
        <v>-20</v>
      </c>
      <c r="AB609" s="66"/>
      <c r="AC609" s="1" t="s">
        <v>1663</v>
      </c>
      <c r="AD609" s="62" t="str">
        <f>VLOOKUP(X609,'Customer List'!B:C,2,)</f>
        <v>JAIPUR</v>
      </c>
      <c r="AE609" s="67"/>
      <c r="AF609" s="6">
        <v>46134</v>
      </c>
      <c r="AG609" s="62">
        <f t="shared" si="143"/>
        <v>4</v>
      </c>
      <c r="AH609" s="62" t="str">
        <f t="shared" si="144"/>
        <v>Saturday</v>
      </c>
      <c r="AI609" s="62" t="str">
        <f t="shared" si="137"/>
        <v>Wednesday</v>
      </c>
      <c r="AJ609" s="62" t="str">
        <f>VLOOKUP(AC609,'Currency Sheet'!A:C,3,)</f>
        <v>DOLLAR</v>
      </c>
      <c r="AK609" s="62" t="str">
        <f>VLOOKUP(X609,'Customer List'!B:D,3,)</f>
        <v>OutStation</v>
      </c>
    </row>
    <row r="610" spans="1:37" hidden="1" x14ac:dyDescent="0.25">
      <c r="A610" s="62">
        <f t="shared" si="138"/>
        <v>596</v>
      </c>
      <c r="B610" s="62" t="s">
        <v>1661</v>
      </c>
      <c r="C610" s="62" t="s">
        <v>1662</v>
      </c>
      <c r="D610" s="6">
        <v>46125</v>
      </c>
      <c r="E610" s="6">
        <v>46129</v>
      </c>
      <c r="F610" s="63">
        <v>40.200000000000003</v>
      </c>
      <c r="G610" s="64">
        <f t="shared" si="139"/>
        <v>3537.6000000000004</v>
      </c>
      <c r="H610" s="64">
        <f t="shared" si="140"/>
        <v>3537.6000000000004</v>
      </c>
      <c r="I610" s="70" t="s">
        <v>1636</v>
      </c>
      <c r="J610" s="62"/>
      <c r="K610" s="8"/>
      <c r="L610" s="10"/>
      <c r="M610" s="62">
        <v>1</v>
      </c>
      <c r="N610" s="8">
        <v>1</v>
      </c>
      <c r="O610" s="62">
        <f t="shared" si="141"/>
        <v>0</v>
      </c>
      <c r="P610" s="70">
        <v>129</v>
      </c>
      <c r="Q610" s="71">
        <v>46129</v>
      </c>
      <c r="R610" s="6">
        <v>46130</v>
      </c>
      <c r="S610" s="64">
        <v>6120.45</v>
      </c>
      <c r="T610" s="22">
        <v>5</v>
      </c>
      <c r="U610" s="64">
        <f t="shared" si="142"/>
        <v>306.02249999999998</v>
      </c>
      <c r="V610" s="22">
        <v>0</v>
      </c>
      <c r="W610" s="22">
        <v>307224</v>
      </c>
      <c r="X610" s="62" t="s">
        <v>1664</v>
      </c>
      <c r="Y610" s="62">
        <v>58164461272</v>
      </c>
      <c r="Z610" s="62" t="s">
        <v>1112</v>
      </c>
      <c r="AA610" s="65">
        <v>-20</v>
      </c>
      <c r="AB610" s="66"/>
      <c r="AC610" s="1" t="s">
        <v>1663</v>
      </c>
      <c r="AD610" s="62" t="str">
        <f>VLOOKUP(X610,'Customer List'!B:C,2,)</f>
        <v>JAIPUR</v>
      </c>
      <c r="AE610" s="67"/>
      <c r="AF610" s="6">
        <v>46134</v>
      </c>
      <c r="AG610" s="62">
        <f t="shared" si="143"/>
        <v>4</v>
      </c>
      <c r="AH610" s="62" t="str">
        <f t="shared" si="144"/>
        <v>Monday</v>
      </c>
      <c r="AI610" s="62" t="str">
        <f t="shared" si="137"/>
        <v>Wednesday</v>
      </c>
      <c r="AJ610" s="62" t="str">
        <f>VLOOKUP(AC610,'Currency Sheet'!A:C,3,)</f>
        <v>DOLLAR</v>
      </c>
      <c r="AK610" s="62" t="str">
        <f>VLOOKUP(X610,'Customer List'!B:D,3,)</f>
        <v>OutStation</v>
      </c>
    </row>
    <row r="611" spans="1:37" hidden="1" x14ac:dyDescent="0.25">
      <c r="A611" s="62">
        <f t="shared" si="138"/>
        <v>597</v>
      </c>
      <c r="B611" s="62" t="s">
        <v>1661</v>
      </c>
      <c r="C611" s="62" t="s">
        <v>1662</v>
      </c>
      <c r="D611" s="6">
        <v>46125</v>
      </c>
      <c r="E611" s="6">
        <v>46129</v>
      </c>
      <c r="F611" s="63">
        <v>58.2</v>
      </c>
      <c r="G611" s="64">
        <f t="shared" si="139"/>
        <v>5121.6000000000004</v>
      </c>
      <c r="H611" s="64">
        <f t="shared" si="140"/>
        <v>5121.6000000000004</v>
      </c>
      <c r="I611" s="70" t="s">
        <v>1637</v>
      </c>
      <c r="J611" s="62"/>
      <c r="K611" s="8"/>
      <c r="L611" s="10"/>
      <c r="M611" s="62">
        <v>1</v>
      </c>
      <c r="N611" s="8">
        <v>1</v>
      </c>
      <c r="O611" s="62">
        <f t="shared" si="141"/>
        <v>0</v>
      </c>
      <c r="P611" s="70">
        <v>129</v>
      </c>
      <c r="Q611" s="71">
        <v>46129</v>
      </c>
      <c r="R611" s="6">
        <v>46130</v>
      </c>
      <c r="S611" s="64">
        <v>8860.9500000000007</v>
      </c>
      <c r="T611" s="22">
        <v>5</v>
      </c>
      <c r="U611" s="64">
        <f t="shared" si="142"/>
        <v>443.04750000000007</v>
      </c>
      <c r="V611" s="22">
        <v>0</v>
      </c>
      <c r="W611" s="22">
        <v>307224</v>
      </c>
      <c r="X611" s="62" t="s">
        <v>1664</v>
      </c>
      <c r="Y611" s="62">
        <v>58164461272</v>
      </c>
      <c r="Z611" s="62" t="s">
        <v>1112</v>
      </c>
      <c r="AA611" s="65">
        <v>-20</v>
      </c>
      <c r="AB611" s="66"/>
      <c r="AC611" s="1" t="s">
        <v>1663</v>
      </c>
      <c r="AD611" s="62" t="str">
        <f>VLOOKUP(X611,'Customer List'!B:C,2,)</f>
        <v>JAIPUR</v>
      </c>
      <c r="AE611" s="67"/>
      <c r="AF611" s="6">
        <v>46134</v>
      </c>
      <c r="AG611" s="62">
        <f t="shared" si="143"/>
        <v>4</v>
      </c>
      <c r="AH611" s="62" t="str">
        <f t="shared" si="144"/>
        <v>Thursday</v>
      </c>
      <c r="AI611" s="62" t="str">
        <f t="shared" si="137"/>
        <v>Wednesday</v>
      </c>
      <c r="AJ611" s="62" t="str">
        <f>VLOOKUP(AC611,'Currency Sheet'!A:C,3,)</f>
        <v>DOLLAR</v>
      </c>
      <c r="AK611" s="62" t="str">
        <f>VLOOKUP(X611,'Customer List'!B:D,3,)</f>
        <v>OutStation</v>
      </c>
    </row>
    <row r="612" spans="1:37" hidden="1" x14ac:dyDescent="0.25">
      <c r="A612" s="62">
        <f t="shared" si="138"/>
        <v>598</v>
      </c>
      <c r="B612" s="62" t="s">
        <v>1661</v>
      </c>
      <c r="C612" s="62" t="s">
        <v>1662</v>
      </c>
      <c r="D612" s="6">
        <v>46125</v>
      </c>
      <c r="E612" s="6">
        <v>46129</v>
      </c>
      <c r="F612" s="63">
        <v>70.2</v>
      </c>
      <c r="G612" s="64">
        <f t="shared" si="139"/>
        <v>6177.6</v>
      </c>
      <c r="H612" s="64">
        <f t="shared" si="140"/>
        <v>6177.6</v>
      </c>
      <c r="I612" s="70" t="s">
        <v>1638</v>
      </c>
      <c r="J612" s="62"/>
      <c r="K612" s="8"/>
      <c r="L612" s="10"/>
      <c r="M612" s="62">
        <v>1</v>
      </c>
      <c r="N612" s="8">
        <v>1</v>
      </c>
      <c r="O612" s="62">
        <f t="shared" si="141"/>
        <v>0</v>
      </c>
      <c r="P612" s="70">
        <v>129</v>
      </c>
      <c r="Q612" s="71">
        <v>46129</v>
      </c>
      <c r="R612" s="6">
        <v>46130</v>
      </c>
      <c r="S612" s="64">
        <v>10687.95</v>
      </c>
      <c r="T612" s="22">
        <v>5</v>
      </c>
      <c r="U612" s="64">
        <f t="shared" si="142"/>
        <v>534.39750000000004</v>
      </c>
      <c r="V612" s="22">
        <v>0</v>
      </c>
      <c r="W612" s="22">
        <v>307224</v>
      </c>
      <c r="X612" s="62" t="s">
        <v>1664</v>
      </c>
      <c r="Y612" s="62">
        <v>58164461272</v>
      </c>
      <c r="Z612" s="62" t="s">
        <v>1112</v>
      </c>
      <c r="AA612" s="65">
        <v>-20</v>
      </c>
      <c r="AB612" s="66"/>
      <c r="AC612" s="1" t="s">
        <v>1663</v>
      </c>
      <c r="AD612" s="62" t="str">
        <f>VLOOKUP(X612,'Customer List'!B:C,2,)</f>
        <v>JAIPUR</v>
      </c>
      <c r="AE612" s="67"/>
      <c r="AF612" s="6">
        <v>46134</v>
      </c>
      <c r="AG612" s="62">
        <f t="shared" si="143"/>
        <v>4</v>
      </c>
      <c r="AH612" s="62" t="str">
        <f t="shared" si="144"/>
        <v>Thursday</v>
      </c>
      <c r="AI612" s="62" t="str">
        <f t="shared" si="137"/>
        <v>Wednesday</v>
      </c>
      <c r="AJ612" s="62" t="str">
        <f>VLOOKUP(AC612,'Currency Sheet'!A:C,3,)</f>
        <v>DOLLAR</v>
      </c>
      <c r="AK612" s="62" t="str">
        <f>VLOOKUP(X612,'Customer List'!B:D,3,)</f>
        <v>OutStation</v>
      </c>
    </row>
    <row r="613" spans="1:37" hidden="1" x14ac:dyDescent="0.25">
      <c r="A613" s="62">
        <f t="shared" si="138"/>
        <v>599</v>
      </c>
      <c r="B613" s="62" t="s">
        <v>1661</v>
      </c>
      <c r="C613" s="62" t="s">
        <v>1662</v>
      </c>
      <c r="D613" s="6">
        <v>46125</v>
      </c>
      <c r="E613" s="6">
        <v>46129</v>
      </c>
      <c r="F613" s="63">
        <v>37.200000000000003</v>
      </c>
      <c r="G613" s="64">
        <f t="shared" si="139"/>
        <v>3273.6000000000004</v>
      </c>
      <c r="H613" s="64">
        <f t="shared" si="140"/>
        <v>3273.6000000000004</v>
      </c>
      <c r="I613" s="70" t="s">
        <v>1639</v>
      </c>
      <c r="J613" s="62"/>
      <c r="K613" s="8"/>
      <c r="L613" s="10"/>
      <c r="M613" s="62">
        <v>1</v>
      </c>
      <c r="N613" s="8">
        <v>1</v>
      </c>
      <c r="O613" s="62">
        <f t="shared" si="141"/>
        <v>0</v>
      </c>
      <c r="P613" s="70">
        <v>129</v>
      </c>
      <c r="Q613" s="71">
        <v>46129</v>
      </c>
      <c r="R613" s="6">
        <v>46130</v>
      </c>
      <c r="S613" s="64">
        <v>5663.7</v>
      </c>
      <c r="T613" s="22">
        <v>5</v>
      </c>
      <c r="U613" s="64">
        <f t="shared" si="142"/>
        <v>283.185</v>
      </c>
      <c r="V613" s="22">
        <v>0</v>
      </c>
      <c r="W613" s="22">
        <v>307224</v>
      </c>
      <c r="X613" s="62" t="s">
        <v>1664</v>
      </c>
      <c r="Y613" s="62">
        <v>58164461272</v>
      </c>
      <c r="Z613" s="62" t="s">
        <v>1112</v>
      </c>
      <c r="AA613" s="65">
        <v>-20</v>
      </c>
      <c r="AB613" s="66"/>
      <c r="AC613" s="1" t="s">
        <v>1663</v>
      </c>
      <c r="AD613" s="62" t="str">
        <f>VLOOKUP(X613,'Customer List'!B:C,2,)</f>
        <v>JAIPUR</v>
      </c>
      <c r="AE613" s="67"/>
      <c r="AF613" s="6">
        <v>46134</v>
      </c>
      <c r="AG613" s="62">
        <f t="shared" si="143"/>
        <v>4</v>
      </c>
      <c r="AH613" s="62" t="str">
        <f t="shared" si="144"/>
        <v>Saturday</v>
      </c>
      <c r="AI613" s="62" t="str">
        <f t="shared" si="137"/>
        <v>Wednesday</v>
      </c>
      <c r="AJ613" s="62" t="str">
        <f>VLOOKUP(AC613,'Currency Sheet'!A:C,3,)</f>
        <v>DOLLAR</v>
      </c>
      <c r="AK613" s="62" t="str">
        <f>VLOOKUP(X613,'Customer List'!B:D,3,)</f>
        <v>OutStation</v>
      </c>
    </row>
    <row r="614" spans="1:37" hidden="1" x14ac:dyDescent="0.25">
      <c r="A614" s="62">
        <f t="shared" si="138"/>
        <v>600</v>
      </c>
      <c r="B614" s="62" t="s">
        <v>1661</v>
      </c>
      <c r="C614" s="62" t="s">
        <v>1662</v>
      </c>
      <c r="D614" s="6">
        <v>46125</v>
      </c>
      <c r="E614" s="6">
        <v>46129</v>
      </c>
      <c r="F614" s="63">
        <v>30</v>
      </c>
      <c r="G614" s="64">
        <f t="shared" si="139"/>
        <v>2640</v>
      </c>
      <c r="H614" s="64">
        <f t="shared" si="140"/>
        <v>2640</v>
      </c>
      <c r="I614" s="70" t="s">
        <v>1640</v>
      </c>
      <c r="J614" s="62"/>
      <c r="K614" s="8"/>
      <c r="L614" s="10"/>
      <c r="M614" s="62">
        <v>1</v>
      </c>
      <c r="N614" s="8">
        <v>1</v>
      </c>
      <c r="O614" s="62">
        <f t="shared" si="141"/>
        <v>0</v>
      </c>
      <c r="P614" s="70">
        <v>129</v>
      </c>
      <c r="Q614" s="71">
        <v>46129</v>
      </c>
      <c r="R614" s="6">
        <v>46130</v>
      </c>
      <c r="S614" s="64">
        <v>4567.5</v>
      </c>
      <c r="T614" s="22">
        <v>5</v>
      </c>
      <c r="U614" s="64">
        <f t="shared" si="142"/>
        <v>228.375</v>
      </c>
      <c r="V614" s="22">
        <v>0</v>
      </c>
      <c r="W614" s="22">
        <v>307224</v>
      </c>
      <c r="X614" s="62" t="s">
        <v>1664</v>
      </c>
      <c r="Y614" s="62">
        <v>58164461272</v>
      </c>
      <c r="Z614" s="62" t="s">
        <v>1112</v>
      </c>
      <c r="AA614" s="65">
        <v>-20</v>
      </c>
      <c r="AB614" s="66"/>
      <c r="AC614" s="1" t="s">
        <v>1663</v>
      </c>
      <c r="AD614" s="62" t="str">
        <f>VLOOKUP(X614,'Customer List'!B:C,2,)</f>
        <v>JAIPUR</v>
      </c>
      <c r="AE614" s="67"/>
      <c r="AF614" s="6">
        <v>46134</v>
      </c>
      <c r="AG614" s="62">
        <f t="shared" si="143"/>
        <v>4</v>
      </c>
      <c r="AH614" s="62" t="str">
        <f t="shared" si="144"/>
        <v>Tuesday</v>
      </c>
      <c r="AI614" s="62" t="str">
        <f t="shared" si="137"/>
        <v>Wednesday</v>
      </c>
      <c r="AJ614" s="62" t="str">
        <f>VLOOKUP(AC614,'Currency Sheet'!A:C,3,)</f>
        <v>DOLLAR</v>
      </c>
      <c r="AK614" s="62" t="str">
        <f>VLOOKUP(X614,'Customer List'!B:D,3,)</f>
        <v>OutStation</v>
      </c>
    </row>
    <row r="615" spans="1:37" hidden="1" x14ac:dyDescent="0.25">
      <c r="A615" s="62">
        <f t="shared" si="138"/>
        <v>601</v>
      </c>
      <c r="B615" s="62" t="s">
        <v>1661</v>
      </c>
      <c r="C615" s="62" t="s">
        <v>1662</v>
      </c>
      <c r="D615" s="6">
        <v>46125</v>
      </c>
      <c r="E615" s="6">
        <v>46129</v>
      </c>
      <c r="F615" s="63">
        <v>38.4</v>
      </c>
      <c r="G615" s="64">
        <f t="shared" si="139"/>
        <v>3379.2</v>
      </c>
      <c r="H615" s="64">
        <f t="shared" si="140"/>
        <v>3379.2</v>
      </c>
      <c r="I615" s="70" t="s">
        <v>1641</v>
      </c>
      <c r="J615" s="62"/>
      <c r="K615" s="8"/>
      <c r="L615" s="10"/>
      <c r="M615" s="62">
        <v>1</v>
      </c>
      <c r="N615" s="8">
        <v>1</v>
      </c>
      <c r="O615" s="62">
        <f t="shared" si="141"/>
        <v>0</v>
      </c>
      <c r="P615" s="70">
        <v>129</v>
      </c>
      <c r="Q615" s="71">
        <v>46129</v>
      </c>
      <c r="R615" s="6">
        <v>46130</v>
      </c>
      <c r="S615" s="64">
        <v>5846.4</v>
      </c>
      <c r="T615" s="22">
        <v>5</v>
      </c>
      <c r="U615" s="64">
        <f t="shared" si="142"/>
        <v>292.32</v>
      </c>
      <c r="V615" s="22">
        <v>0</v>
      </c>
      <c r="W615" s="22">
        <v>307224</v>
      </c>
      <c r="X615" s="62" t="s">
        <v>1664</v>
      </c>
      <c r="Y615" s="62">
        <v>58164461272</v>
      </c>
      <c r="Z615" s="62" t="s">
        <v>1112</v>
      </c>
      <c r="AA615" s="65">
        <v>-20</v>
      </c>
      <c r="AB615" s="66"/>
      <c r="AC615" s="1" t="s">
        <v>1663</v>
      </c>
      <c r="AD615" s="62" t="str">
        <f>VLOOKUP(X615,'Customer List'!B:C,2,)</f>
        <v>JAIPUR</v>
      </c>
      <c r="AE615" s="67"/>
      <c r="AF615" s="6">
        <v>46134</v>
      </c>
      <c r="AG615" s="62">
        <f t="shared" si="143"/>
        <v>4</v>
      </c>
      <c r="AH615" s="62" t="str">
        <f t="shared" si="144"/>
        <v>Sunday</v>
      </c>
      <c r="AI615" s="62" t="str">
        <f t="shared" si="137"/>
        <v>Wednesday</v>
      </c>
      <c r="AJ615" s="62" t="str">
        <f>VLOOKUP(AC615,'Currency Sheet'!A:C,3,)</f>
        <v>DOLLAR</v>
      </c>
      <c r="AK615" s="62" t="str">
        <f>VLOOKUP(X615,'Customer List'!B:D,3,)</f>
        <v>OutStation</v>
      </c>
    </row>
    <row r="616" spans="1:37" hidden="1" x14ac:dyDescent="0.25">
      <c r="A616" s="62">
        <f t="shared" si="138"/>
        <v>602</v>
      </c>
      <c r="B616" s="62" t="s">
        <v>1661</v>
      </c>
      <c r="C616" s="62" t="s">
        <v>1662</v>
      </c>
      <c r="D616" s="6">
        <v>46125</v>
      </c>
      <c r="E616" s="6">
        <v>46129</v>
      </c>
      <c r="F616" s="63">
        <v>42.6</v>
      </c>
      <c r="G616" s="64">
        <f t="shared" si="139"/>
        <v>3748.8</v>
      </c>
      <c r="H616" s="64">
        <f t="shared" si="140"/>
        <v>3748.8</v>
      </c>
      <c r="I616" s="70" t="s">
        <v>1642</v>
      </c>
      <c r="J616" s="62"/>
      <c r="K616" s="8"/>
      <c r="L616" s="10"/>
      <c r="M616" s="62">
        <v>1</v>
      </c>
      <c r="N616" s="8">
        <v>1</v>
      </c>
      <c r="O616" s="62">
        <f t="shared" si="141"/>
        <v>0</v>
      </c>
      <c r="P616" s="70">
        <v>129</v>
      </c>
      <c r="Q616" s="71">
        <v>46129</v>
      </c>
      <c r="R616" s="6">
        <v>46130</v>
      </c>
      <c r="S616" s="64">
        <v>6485.85</v>
      </c>
      <c r="T616" s="22">
        <v>5</v>
      </c>
      <c r="U616" s="64">
        <f t="shared" si="142"/>
        <v>324.29250000000002</v>
      </c>
      <c r="V616" s="22">
        <v>0</v>
      </c>
      <c r="W616" s="22">
        <v>307224</v>
      </c>
      <c r="X616" s="62" t="s">
        <v>1664</v>
      </c>
      <c r="Y616" s="62">
        <v>58164461272</v>
      </c>
      <c r="Z616" s="62" t="s">
        <v>1112</v>
      </c>
      <c r="AA616" s="65">
        <v>-20</v>
      </c>
      <c r="AB616" s="66"/>
      <c r="AC616" s="1" t="s">
        <v>1663</v>
      </c>
      <c r="AD616" s="62" t="str">
        <f>VLOOKUP(X616,'Customer List'!B:C,2,)</f>
        <v>JAIPUR</v>
      </c>
      <c r="AE616" s="67"/>
      <c r="AF616" s="6">
        <v>46134</v>
      </c>
      <c r="AG616" s="62">
        <f t="shared" si="143"/>
        <v>4</v>
      </c>
      <c r="AH616" s="62" t="str">
        <f t="shared" si="144"/>
        <v>Tuesday</v>
      </c>
      <c r="AI616" s="62" t="str">
        <f t="shared" si="137"/>
        <v>Wednesday</v>
      </c>
      <c r="AJ616" s="62" t="str">
        <f>VLOOKUP(AC616,'Currency Sheet'!A:C,3,)</f>
        <v>DOLLAR</v>
      </c>
      <c r="AK616" s="62" t="str">
        <f>VLOOKUP(X616,'Customer List'!B:D,3,)</f>
        <v>OutStation</v>
      </c>
    </row>
    <row r="617" spans="1:37" hidden="1" x14ac:dyDescent="0.25">
      <c r="A617" s="62">
        <f t="shared" si="138"/>
        <v>603</v>
      </c>
      <c r="B617" s="62" t="s">
        <v>1661</v>
      </c>
      <c r="C617" s="62" t="s">
        <v>1662</v>
      </c>
      <c r="D617" s="6">
        <v>46125</v>
      </c>
      <c r="E617" s="6">
        <v>46129</v>
      </c>
      <c r="F617" s="63">
        <v>58.2</v>
      </c>
      <c r="G617" s="64">
        <f t="shared" si="139"/>
        <v>5121.6000000000004</v>
      </c>
      <c r="H617" s="64">
        <f t="shared" si="140"/>
        <v>5121.6000000000004</v>
      </c>
      <c r="I617" s="70" t="s">
        <v>1643</v>
      </c>
      <c r="J617" s="62"/>
      <c r="K617" s="8"/>
      <c r="L617" s="10"/>
      <c r="M617" s="62">
        <v>1</v>
      </c>
      <c r="N617" s="8">
        <v>1</v>
      </c>
      <c r="O617" s="62">
        <f t="shared" si="141"/>
        <v>0</v>
      </c>
      <c r="P617" s="70">
        <v>129</v>
      </c>
      <c r="Q617" s="71">
        <v>46129</v>
      </c>
      <c r="R617" s="6">
        <v>46130</v>
      </c>
      <c r="S617" s="64">
        <v>8860.9500000000007</v>
      </c>
      <c r="T617" s="22">
        <v>5</v>
      </c>
      <c r="U617" s="64">
        <f t="shared" si="142"/>
        <v>443.04750000000007</v>
      </c>
      <c r="V617" s="22">
        <v>0</v>
      </c>
      <c r="W617" s="22">
        <v>307224</v>
      </c>
      <c r="X617" s="62" t="s">
        <v>1664</v>
      </c>
      <c r="Y617" s="62">
        <v>58164461272</v>
      </c>
      <c r="Z617" s="62" t="s">
        <v>1112</v>
      </c>
      <c r="AA617" s="65">
        <v>-20</v>
      </c>
      <c r="AB617" s="66"/>
      <c r="AC617" s="1" t="s">
        <v>1663</v>
      </c>
      <c r="AD617" s="62" t="str">
        <f>VLOOKUP(X617,'Customer List'!B:C,2,)</f>
        <v>JAIPUR</v>
      </c>
      <c r="AE617" s="67"/>
      <c r="AF617" s="6">
        <v>46134</v>
      </c>
      <c r="AG617" s="62">
        <f t="shared" si="143"/>
        <v>4</v>
      </c>
      <c r="AH617" s="62" t="str">
        <f t="shared" si="144"/>
        <v>Thursday</v>
      </c>
      <c r="AI617" s="62" t="str">
        <f t="shared" si="137"/>
        <v>Wednesday</v>
      </c>
      <c r="AJ617" s="62" t="str">
        <f>VLOOKUP(AC617,'Currency Sheet'!A:C,3,)</f>
        <v>DOLLAR</v>
      </c>
      <c r="AK617" s="62" t="str">
        <f>VLOOKUP(X617,'Customer List'!B:D,3,)</f>
        <v>OutStation</v>
      </c>
    </row>
    <row r="618" spans="1:37" hidden="1" x14ac:dyDescent="0.25">
      <c r="A618" s="62">
        <f t="shared" si="138"/>
        <v>604</v>
      </c>
      <c r="B618" s="62" t="s">
        <v>1661</v>
      </c>
      <c r="C618" s="62" t="s">
        <v>1662</v>
      </c>
      <c r="D618" s="6">
        <v>46125</v>
      </c>
      <c r="E618" s="6">
        <v>46129</v>
      </c>
      <c r="F618" s="63">
        <v>46.2</v>
      </c>
      <c r="G618" s="64">
        <f t="shared" si="139"/>
        <v>4065.6000000000004</v>
      </c>
      <c r="H618" s="64">
        <f t="shared" si="140"/>
        <v>4065.6000000000004</v>
      </c>
      <c r="I618" s="70" t="s">
        <v>1644</v>
      </c>
      <c r="J618" s="62"/>
      <c r="K618" s="8"/>
      <c r="L618" s="10"/>
      <c r="M618" s="62">
        <v>1</v>
      </c>
      <c r="N618" s="8">
        <v>1</v>
      </c>
      <c r="O618" s="62">
        <f t="shared" si="141"/>
        <v>0</v>
      </c>
      <c r="P618" s="70">
        <v>129</v>
      </c>
      <c r="Q618" s="71">
        <v>46129</v>
      </c>
      <c r="R618" s="6">
        <v>46130</v>
      </c>
      <c r="S618" s="64">
        <v>7033.95</v>
      </c>
      <c r="T618" s="22">
        <v>5</v>
      </c>
      <c r="U618" s="64">
        <f t="shared" si="142"/>
        <v>351.69749999999999</v>
      </c>
      <c r="V618" s="22">
        <v>0</v>
      </c>
      <c r="W618" s="22">
        <v>307224</v>
      </c>
      <c r="X618" s="62" t="s">
        <v>1664</v>
      </c>
      <c r="Y618" s="62">
        <v>58164461272</v>
      </c>
      <c r="Z618" s="62" t="s">
        <v>1112</v>
      </c>
      <c r="AA618" s="65">
        <v>-20</v>
      </c>
      <c r="AB618" s="66"/>
      <c r="AC618" s="1" t="s">
        <v>1663</v>
      </c>
      <c r="AD618" s="62" t="str">
        <f>VLOOKUP(X618,'Customer List'!B:C,2,)</f>
        <v>JAIPUR</v>
      </c>
      <c r="AE618" s="67"/>
      <c r="AF618" s="6">
        <v>46134</v>
      </c>
      <c r="AG618" s="62">
        <f t="shared" si="143"/>
        <v>4</v>
      </c>
      <c r="AH618" s="62" t="str">
        <f t="shared" si="144"/>
        <v>Thursday</v>
      </c>
      <c r="AI618" s="62" t="str">
        <f t="shared" si="137"/>
        <v>Wednesday</v>
      </c>
      <c r="AJ618" s="62" t="str">
        <f>VLOOKUP(AC618,'Currency Sheet'!A:C,3,)</f>
        <v>DOLLAR</v>
      </c>
      <c r="AK618" s="62" t="str">
        <f>VLOOKUP(X618,'Customer List'!B:D,3,)</f>
        <v>OutStation</v>
      </c>
    </row>
    <row r="619" spans="1:37" hidden="1" x14ac:dyDescent="0.25">
      <c r="A619" s="62">
        <f t="shared" si="138"/>
        <v>605</v>
      </c>
      <c r="B619" s="62" t="s">
        <v>1661</v>
      </c>
      <c r="C619" s="62" t="s">
        <v>1662</v>
      </c>
      <c r="D619" s="6">
        <v>46125</v>
      </c>
      <c r="E619" s="6">
        <v>46129</v>
      </c>
      <c r="F619" s="63">
        <v>83.4</v>
      </c>
      <c r="G619" s="64">
        <f t="shared" si="139"/>
        <v>7339.2000000000007</v>
      </c>
      <c r="H619" s="64">
        <f t="shared" si="140"/>
        <v>7339.2000000000007</v>
      </c>
      <c r="I619" s="70" t="s">
        <v>1645</v>
      </c>
      <c r="J619" s="62"/>
      <c r="K619" s="8"/>
      <c r="L619" s="10"/>
      <c r="M619" s="62">
        <v>1</v>
      </c>
      <c r="N619" s="8">
        <v>1</v>
      </c>
      <c r="O619" s="62">
        <f t="shared" si="141"/>
        <v>0</v>
      </c>
      <c r="P619" s="70">
        <v>129</v>
      </c>
      <c r="Q619" s="71">
        <v>46129</v>
      </c>
      <c r="R619" s="6">
        <v>46130</v>
      </c>
      <c r="S619" s="64">
        <v>12697.65</v>
      </c>
      <c r="T619" s="22">
        <v>5</v>
      </c>
      <c r="U619" s="64">
        <f t="shared" si="142"/>
        <v>634.88250000000005</v>
      </c>
      <c r="V619" s="22">
        <v>0</v>
      </c>
      <c r="W619" s="22">
        <v>307224</v>
      </c>
      <c r="X619" s="62" t="s">
        <v>1664</v>
      </c>
      <c r="Y619" s="62">
        <v>58164461272</v>
      </c>
      <c r="Z619" s="62" t="s">
        <v>1112</v>
      </c>
      <c r="AA619" s="65">
        <v>-20</v>
      </c>
      <c r="AB619" s="66"/>
      <c r="AC619" s="1" t="s">
        <v>1663</v>
      </c>
      <c r="AD619" s="62" t="str">
        <f>VLOOKUP(X619,'Customer List'!B:C,2,)</f>
        <v>JAIPUR</v>
      </c>
      <c r="AE619" s="67"/>
      <c r="AF619" s="6">
        <v>46134</v>
      </c>
      <c r="AG619" s="62">
        <f t="shared" si="143"/>
        <v>4</v>
      </c>
      <c r="AH619" s="62" t="str">
        <f t="shared" si="144"/>
        <v>Friday</v>
      </c>
      <c r="AI619" s="62" t="str">
        <f t="shared" si="137"/>
        <v>Wednesday</v>
      </c>
      <c r="AJ619" s="62" t="str">
        <f>VLOOKUP(AC619,'Currency Sheet'!A:C,3,)</f>
        <v>DOLLAR</v>
      </c>
      <c r="AK619" s="62" t="str">
        <f>VLOOKUP(X619,'Customer List'!B:D,3,)</f>
        <v>OutStation</v>
      </c>
    </row>
    <row r="620" spans="1:37" hidden="1" x14ac:dyDescent="0.25">
      <c r="A620" s="62">
        <f t="shared" si="138"/>
        <v>606</v>
      </c>
      <c r="B620" s="62" t="s">
        <v>1661</v>
      </c>
      <c r="C620" s="62" t="s">
        <v>1662</v>
      </c>
      <c r="D620" s="6">
        <v>46125</v>
      </c>
      <c r="E620" s="6">
        <v>46129</v>
      </c>
      <c r="F620" s="63">
        <v>45.6</v>
      </c>
      <c r="G620" s="64">
        <f t="shared" si="139"/>
        <v>4012.8</v>
      </c>
      <c r="H620" s="64">
        <f t="shared" si="140"/>
        <v>4012.8</v>
      </c>
      <c r="I620" s="70" t="s">
        <v>1646</v>
      </c>
      <c r="J620" s="62"/>
      <c r="K620" s="8"/>
      <c r="L620" s="10"/>
      <c r="M620" s="62">
        <v>1</v>
      </c>
      <c r="N620" s="8">
        <v>1</v>
      </c>
      <c r="O620" s="62">
        <f t="shared" si="141"/>
        <v>0</v>
      </c>
      <c r="P620" s="70">
        <v>129</v>
      </c>
      <c r="Q620" s="71">
        <v>46129</v>
      </c>
      <c r="R620" s="6">
        <v>46130</v>
      </c>
      <c r="S620" s="64">
        <v>6942.6</v>
      </c>
      <c r="T620" s="22">
        <v>5</v>
      </c>
      <c r="U620" s="64">
        <f t="shared" si="142"/>
        <v>347.13000000000005</v>
      </c>
      <c r="V620" s="22">
        <v>0</v>
      </c>
      <c r="W620" s="22">
        <v>307224</v>
      </c>
      <c r="X620" s="62" t="s">
        <v>1664</v>
      </c>
      <c r="Y620" s="62">
        <v>58164461272</v>
      </c>
      <c r="Z620" s="62" t="s">
        <v>1112</v>
      </c>
      <c r="AA620" s="65">
        <v>-20</v>
      </c>
      <c r="AB620" s="66"/>
      <c r="AC620" s="1" t="s">
        <v>1663</v>
      </c>
      <c r="AD620" s="62" t="str">
        <f>VLOOKUP(X620,'Customer List'!B:C,2,)</f>
        <v>JAIPUR</v>
      </c>
      <c r="AE620" s="67"/>
      <c r="AF620" s="6">
        <v>46134</v>
      </c>
      <c r="AG620" s="62">
        <f t="shared" si="143"/>
        <v>4</v>
      </c>
      <c r="AH620" s="62" t="str">
        <f t="shared" si="144"/>
        <v>Thursday</v>
      </c>
      <c r="AI620" s="62" t="str">
        <f t="shared" si="137"/>
        <v>Wednesday</v>
      </c>
      <c r="AJ620" s="62" t="str">
        <f>VLOOKUP(AC620,'Currency Sheet'!A:C,3,)</f>
        <v>DOLLAR</v>
      </c>
      <c r="AK620" s="62" t="str">
        <f>VLOOKUP(X620,'Customer List'!B:D,3,)</f>
        <v>OutStation</v>
      </c>
    </row>
    <row r="621" spans="1:37" hidden="1" x14ac:dyDescent="0.25">
      <c r="A621" s="62">
        <f t="shared" si="138"/>
        <v>607</v>
      </c>
      <c r="B621" s="62" t="s">
        <v>1661</v>
      </c>
      <c r="C621" s="62" t="s">
        <v>1662</v>
      </c>
      <c r="D621" s="6">
        <v>46125</v>
      </c>
      <c r="E621" s="6">
        <v>46129</v>
      </c>
      <c r="F621" s="63">
        <v>60.6</v>
      </c>
      <c r="G621" s="64">
        <f t="shared" si="139"/>
        <v>5332.8</v>
      </c>
      <c r="H621" s="64">
        <f t="shared" si="140"/>
        <v>5332.8</v>
      </c>
      <c r="I621" s="70" t="s">
        <v>1647</v>
      </c>
      <c r="J621" s="62"/>
      <c r="K621" s="8"/>
      <c r="L621" s="10"/>
      <c r="M621" s="62">
        <v>1</v>
      </c>
      <c r="N621" s="8">
        <v>1</v>
      </c>
      <c r="O621" s="62">
        <f t="shared" si="141"/>
        <v>0</v>
      </c>
      <c r="P621" s="70">
        <v>129</v>
      </c>
      <c r="Q621" s="71">
        <v>46129</v>
      </c>
      <c r="R621" s="6">
        <v>46130</v>
      </c>
      <c r="S621" s="64">
        <v>9226.35</v>
      </c>
      <c r="T621" s="22">
        <v>5</v>
      </c>
      <c r="U621" s="64">
        <f t="shared" si="142"/>
        <v>461.31750000000005</v>
      </c>
      <c r="V621" s="22">
        <v>0</v>
      </c>
      <c r="W621" s="22">
        <v>307224</v>
      </c>
      <c r="X621" s="62" t="s">
        <v>1664</v>
      </c>
      <c r="Y621" s="62">
        <v>58164461272</v>
      </c>
      <c r="Z621" s="62" t="s">
        <v>1112</v>
      </c>
      <c r="AA621" s="65">
        <v>-20</v>
      </c>
      <c r="AB621" s="66"/>
      <c r="AC621" s="1" t="s">
        <v>1663</v>
      </c>
      <c r="AD621" s="62" t="str">
        <f>VLOOKUP(X621,'Customer List'!B:C,2,)</f>
        <v>JAIPUR</v>
      </c>
      <c r="AE621" s="67"/>
      <c r="AF621" s="6">
        <v>46134</v>
      </c>
      <c r="AG621" s="62">
        <f t="shared" si="143"/>
        <v>4</v>
      </c>
      <c r="AH621" s="62" t="str">
        <f t="shared" si="144"/>
        <v>Saturday</v>
      </c>
      <c r="AI621" s="62" t="str">
        <f t="shared" si="137"/>
        <v>Wednesday</v>
      </c>
      <c r="AJ621" s="62" t="str">
        <f>VLOOKUP(AC621,'Currency Sheet'!A:C,3,)</f>
        <v>DOLLAR</v>
      </c>
      <c r="AK621" s="62" t="str">
        <f>VLOOKUP(X621,'Customer List'!B:D,3,)</f>
        <v>OutStation</v>
      </c>
    </row>
    <row r="622" spans="1:37" hidden="1" x14ac:dyDescent="0.25">
      <c r="A622" s="62">
        <f t="shared" si="138"/>
        <v>608</v>
      </c>
      <c r="B622" s="62" t="s">
        <v>1661</v>
      </c>
      <c r="C622" s="62" t="s">
        <v>1662</v>
      </c>
      <c r="D622" s="6">
        <v>46125</v>
      </c>
      <c r="E622" s="6">
        <v>46129</v>
      </c>
      <c r="F622" s="63">
        <v>58.2</v>
      </c>
      <c r="G622" s="64">
        <f t="shared" si="139"/>
        <v>5121.6000000000004</v>
      </c>
      <c r="H622" s="64">
        <f t="shared" si="140"/>
        <v>5121.6000000000004</v>
      </c>
      <c r="I622" s="70" t="s">
        <v>1648</v>
      </c>
      <c r="J622" s="62"/>
      <c r="K622" s="8"/>
      <c r="L622" s="10"/>
      <c r="M622" s="62">
        <v>1</v>
      </c>
      <c r="N622" s="8">
        <v>1</v>
      </c>
      <c r="O622" s="62">
        <f t="shared" si="141"/>
        <v>0</v>
      </c>
      <c r="P622" s="70">
        <v>129</v>
      </c>
      <c r="Q622" s="71">
        <v>46129</v>
      </c>
      <c r="R622" s="6">
        <v>46130</v>
      </c>
      <c r="S622" s="64">
        <v>8860.9500000000007</v>
      </c>
      <c r="T622" s="22">
        <v>5</v>
      </c>
      <c r="U622" s="64">
        <f t="shared" si="142"/>
        <v>443.04750000000007</v>
      </c>
      <c r="V622" s="22">
        <v>0</v>
      </c>
      <c r="W622" s="22">
        <v>307224</v>
      </c>
      <c r="X622" s="62" t="s">
        <v>1664</v>
      </c>
      <c r="Y622" s="62">
        <v>58164461272</v>
      </c>
      <c r="Z622" s="62" t="s">
        <v>1112</v>
      </c>
      <c r="AA622" s="65">
        <v>-20</v>
      </c>
      <c r="AB622" s="66"/>
      <c r="AC622" s="1" t="s">
        <v>1663</v>
      </c>
      <c r="AD622" s="62" t="str">
        <f>VLOOKUP(X622,'Customer List'!B:C,2,)</f>
        <v>JAIPUR</v>
      </c>
      <c r="AE622" s="67"/>
      <c r="AF622" s="6">
        <v>46134</v>
      </c>
      <c r="AG622" s="62">
        <f t="shared" si="143"/>
        <v>4</v>
      </c>
      <c r="AH622" s="62" t="str">
        <f t="shared" si="144"/>
        <v>Thursday</v>
      </c>
      <c r="AI622" s="62" t="str">
        <f t="shared" si="137"/>
        <v>Wednesday</v>
      </c>
      <c r="AJ622" s="62" t="str">
        <f>VLOOKUP(AC622,'Currency Sheet'!A:C,3,)</f>
        <v>DOLLAR</v>
      </c>
      <c r="AK622" s="62" t="str">
        <f>VLOOKUP(X622,'Customer List'!B:D,3,)</f>
        <v>OutStation</v>
      </c>
    </row>
    <row r="623" spans="1:37" hidden="1" x14ac:dyDescent="0.25">
      <c r="A623" s="62">
        <f t="shared" si="138"/>
        <v>609</v>
      </c>
      <c r="B623" s="62" t="s">
        <v>1661</v>
      </c>
      <c r="C623" s="62" t="s">
        <v>1662</v>
      </c>
      <c r="D623" s="6">
        <v>46125</v>
      </c>
      <c r="E623" s="6">
        <v>46129</v>
      </c>
      <c r="F623" s="63">
        <v>51.6</v>
      </c>
      <c r="G623" s="64">
        <f t="shared" si="139"/>
        <v>4540.8</v>
      </c>
      <c r="H623" s="64">
        <f t="shared" si="140"/>
        <v>4540.8</v>
      </c>
      <c r="I623" s="70" t="s">
        <v>1649</v>
      </c>
      <c r="J623" s="62"/>
      <c r="K623" s="8"/>
      <c r="L623" s="10"/>
      <c r="M623" s="62">
        <v>1</v>
      </c>
      <c r="N623" s="8">
        <v>1</v>
      </c>
      <c r="O623" s="62">
        <f t="shared" si="141"/>
        <v>0</v>
      </c>
      <c r="P623" s="70">
        <v>129</v>
      </c>
      <c r="Q623" s="71">
        <v>46129</v>
      </c>
      <c r="R623" s="6">
        <v>46130</v>
      </c>
      <c r="S623" s="64">
        <v>7856.1</v>
      </c>
      <c r="T623" s="22">
        <v>5</v>
      </c>
      <c r="U623" s="64">
        <f t="shared" si="142"/>
        <v>392.80500000000006</v>
      </c>
      <c r="V623" s="22">
        <v>0</v>
      </c>
      <c r="W623" s="22">
        <v>307224</v>
      </c>
      <c r="X623" s="62" t="s">
        <v>1664</v>
      </c>
      <c r="Y623" s="62">
        <v>58164461272</v>
      </c>
      <c r="Z623" s="62" t="s">
        <v>1112</v>
      </c>
      <c r="AA623" s="65">
        <v>-20</v>
      </c>
      <c r="AB623" s="66"/>
      <c r="AC623" s="1" t="s">
        <v>1663</v>
      </c>
      <c r="AD623" s="62" t="str">
        <f>VLOOKUP(X623,'Customer List'!B:C,2,)</f>
        <v>JAIPUR</v>
      </c>
      <c r="AE623" s="67"/>
      <c r="AF623" s="6">
        <v>46134</v>
      </c>
      <c r="AG623" s="62">
        <f t="shared" si="143"/>
        <v>4</v>
      </c>
      <c r="AH623" s="62" t="str">
        <f t="shared" si="144"/>
        <v>Monday</v>
      </c>
      <c r="AI623" s="62" t="str">
        <f t="shared" si="137"/>
        <v>Wednesday</v>
      </c>
      <c r="AJ623" s="62" t="str">
        <f>VLOOKUP(AC623,'Currency Sheet'!A:C,3,)</f>
        <v>DOLLAR</v>
      </c>
      <c r="AK623" s="62" t="str">
        <f>VLOOKUP(X623,'Customer List'!B:D,3,)</f>
        <v>OutStation</v>
      </c>
    </row>
    <row r="624" spans="1:37" hidden="1" x14ac:dyDescent="0.25">
      <c r="A624" s="62">
        <f t="shared" si="138"/>
        <v>610</v>
      </c>
      <c r="B624" s="62" t="s">
        <v>1661</v>
      </c>
      <c r="C624" s="62" t="s">
        <v>1662</v>
      </c>
      <c r="D624" s="6">
        <v>46125</v>
      </c>
      <c r="E624" s="6">
        <v>46129</v>
      </c>
      <c r="F624" s="63">
        <v>43.2</v>
      </c>
      <c r="G624" s="64">
        <f t="shared" si="139"/>
        <v>3801.6000000000004</v>
      </c>
      <c r="H624" s="64">
        <f t="shared" si="140"/>
        <v>3801.6000000000004</v>
      </c>
      <c r="I624" s="70" t="s">
        <v>1650</v>
      </c>
      <c r="J624" s="62"/>
      <c r="K624" s="8"/>
      <c r="L624" s="10"/>
      <c r="M624" s="62">
        <v>1</v>
      </c>
      <c r="N624" s="8">
        <v>1</v>
      </c>
      <c r="O624" s="62">
        <f t="shared" si="141"/>
        <v>0</v>
      </c>
      <c r="P624" s="70">
        <v>129</v>
      </c>
      <c r="Q624" s="71">
        <v>46129</v>
      </c>
      <c r="R624" s="6">
        <v>46130</v>
      </c>
      <c r="S624" s="64">
        <v>6577.2</v>
      </c>
      <c r="T624" s="22">
        <v>5</v>
      </c>
      <c r="U624" s="64">
        <f t="shared" si="142"/>
        <v>328.86</v>
      </c>
      <c r="V624" s="22">
        <v>0</v>
      </c>
      <c r="W624" s="22">
        <v>307224</v>
      </c>
      <c r="X624" s="62" t="s">
        <v>1664</v>
      </c>
      <c r="Y624" s="62">
        <v>58164461272</v>
      </c>
      <c r="Z624" s="62" t="s">
        <v>1112</v>
      </c>
      <c r="AA624" s="65">
        <v>-20</v>
      </c>
      <c r="AB624" s="66"/>
      <c r="AC624" s="1" t="s">
        <v>1663</v>
      </c>
      <c r="AD624" s="62" t="str">
        <f>VLOOKUP(X624,'Customer List'!B:C,2,)</f>
        <v>JAIPUR</v>
      </c>
      <c r="AE624" s="67"/>
      <c r="AF624" s="6">
        <v>46134</v>
      </c>
      <c r="AG624" s="62">
        <f t="shared" si="143"/>
        <v>4</v>
      </c>
      <c r="AH624" s="62" t="str">
        <f t="shared" si="144"/>
        <v>Wednesday</v>
      </c>
      <c r="AI624" s="62" t="str">
        <f t="shared" si="137"/>
        <v>Wednesday</v>
      </c>
      <c r="AJ624" s="62" t="str">
        <f>VLOOKUP(AC624,'Currency Sheet'!A:C,3,)</f>
        <v>DOLLAR</v>
      </c>
      <c r="AK624" s="62" t="str">
        <f>VLOOKUP(X624,'Customer List'!B:D,3,)</f>
        <v>OutStation</v>
      </c>
    </row>
    <row r="625" spans="1:37" hidden="1" x14ac:dyDescent="0.25">
      <c r="A625" s="62">
        <f t="shared" si="138"/>
        <v>611</v>
      </c>
      <c r="B625" s="62" t="s">
        <v>1661</v>
      </c>
      <c r="C625" s="62" t="s">
        <v>1662</v>
      </c>
      <c r="D625" s="6">
        <v>46125</v>
      </c>
      <c r="E625" s="6">
        <v>46129</v>
      </c>
      <c r="F625" s="63">
        <v>35.4</v>
      </c>
      <c r="G625" s="64">
        <f t="shared" si="139"/>
        <v>3115.2</v>
      </c>
      <c r="H625" s="64">
        <f t="shared" si="140"/>
        <v>3115.2</v>
      </c>
      <c r="I625" s="70" t="s">
        <v>1651</v>
      </c>
      <c r="J625" s="62"/>
      <c r="K625" s="8"/>
      <c r="L625" s="10"/>
      <c r="M625" s="62">
        <v>1</v>
      </c>
      <c r="N625" s="8">
        <v>1</v>
      </c>
      <c r="O625" s="62">
        <f t="shared" si="141"/>
        <v>0</v>
      </c>
      <c r="P625" s="70">
        <v>129</v>
      </c>
      <c r="Q625" s="71">
        <v>46129</v>
      </c>
      <c r="R625" s="6">
        <v>46130</v>
      </c>
      <c r="S625" s="64">
        <v>5389.65</v>
      </c>
      <c r="T625" s="22">
        <v>5</v>
      </c>
      <c r="U625" s="64">
        <f t="shared" si="142"/>
        <v>269.48250000000002</v>
      </c>
      <c r="V625" s="22">
        <v>0</v>
      </c>
      <c r="W625" s="22">
        <v>307224</v>
      </c>
      <c r="X625" s="62" t="s">
        <v>1664</v>
      </c>
      <c r="Y625" s="62">
        <v>58164461272</v>
      </c>
      <c r="Z625" s="62" t="s">
        <v>1112</v>
      </c>
      <c r="AA625" s="65">
        <v>-20</v>
      </c>
      <c r="AB625" s="66"/>
      <c r="AC625" s="1" t="s">
        <v>1663</v>
      </c>
      <c r="AD625" s="62" t="str">
        <f>VLOOKUP(X625,'Customer List'!B:C,2,)</f>
        <v>JAIPUR</v>
      </c>
      <c r="AE625" s="67"/>
      <c r="AF625" s="6">
        <v>46134</v>
      </c>
      <c r="AG625" s="62">
        <f t="shared" si="143"/>
        <v>4</v>
      </c>
      <c r="AH625" s="62" t="str">
        <f t="shared" si="144"/>
        <v>Friday</v>
      </c>
      <c r="AI625" s="62" t="str">
        <f t="shared" si="137"/>
        <v>Wednesday</v>
      </c>
      <c r="AJ625" s="62" t="str">
        <f>VLOOKUP(AC625,'Currency Sheet'!A:C,3,)</f>
        <v>DOLLAR</v>
      </c>
      <c r="AK625" s="62" t="str">
        <f>VLOOKUP(X625,'Customer List'!B:D,3,)</f>
        <v>OutStation</v>
      </c>
    </row>
    <row r="626" spans="1:37" hidden="1" x14ac:dyDescent="0.25">
      <c r="A626" s="62">
        <f t="shared" si="138"/>
        <v>612</v>
      </c>
      <c r="B626" s="62" t="s">
        <v>1661</v>
      </c>
      <c r="C626" s="62" t="s">
        <v>1662</v>
      </c>
      <c r="D626" s="6">
        <v>46125</v>
      </c>
      <c r="E626" s="6">
        <v>46129</v>
      </c>
      <c r="F626" s="63">
        <v>37.799999999999997</v>
      </c>
      <c r="G626" s="64">
        <f t="shared" si="139"/>
        <v>3326.3999999999996</v>
      </c>
      <c r="H626" s="64">
        <f t="shared" si="140"/>
        <v>3326.3999999999996</v>
      </c>
      <c r="I626" s="70" t="s">
        <v>1652</v>
      </c>
      <c r="J626" s="62"/>
      <c r="K626" s="8"/>
      <c r="L626" s="10"/>
      <c r="M626" s="62">
        <v>1</v>
      </c>
      <c r="N626" s="8">
        <v>1</v>
      </c>
      <c r="O626" s="62">
        <f t="shared" si="141"/>
        <v>0</v>
      </c>
      <c r="P626" s="70">
        <v>129</v>
      </c>
      <c r="Q626" s="71">
        <v>46129</v>
      </c>
      <c r="R626" s="6">
        <v>46130</v>
      </c>
      <c r="S626" s="64">
        <v>5755.05</v>
      </c>
      <c r="T626" s="22">
        <v>5</v>
      </c>
      <c r="U626" s="64">
        <f t="shared" si="142"/>
        <v>287.7525</v>
      </c>
      <c r="V626" s="22">
        <v>0</v>
      </c>
      <c r="W626" s="22">
        <v>307224</v>
      </c>
      <c r="X626" s="62" t="s">
        <v>1664</v>
      </c>
      <c r="Y626" s="62">
        <v>58164461272</v>
      </c>
      <c r="Z626" s="62" t="s">
        <v>1112</v>
      </c>
      <c r="AA626" s="65">
        <v>-20</v>
      </c>
      <c r="AB626" s="66"/>
      <c r="AC626" s="1" t="s">
        <v>1663</v>
      </c>
      <c r="AD626" s="62" t="str">
        <f>VLOOKUP(X626,'Customer List'!B:C,2,)</f>
        <v>JAIPUR</v>
      </c>
      <c r="AE626" s="67"/>
      <c r="AF626" s="6">
        <v>46134</v>
      </c>
      <c r="AG626" s="62">
        <f t="shared" si="143"/>
        <v>4</v>
      </c>
      <c r="AH626" s="62" t="str">
        <f t="shared" si="144"/>
        <v>Sunday</v>
      </c>
      <c r="AI626" s="62" t="str">
        <f t="shared" si="137"/>
        <v>Wednesday</v>
      </c>
      <c r="AJ626" s="62" t="str">
        <f>VLOOKUP(AC626,'Currency Sheet'!A:C,3,)</f>
        <v>DOLLAR</v>
      </c>
      <c r="AK626" s="62" t="str">
        <f>VLOOKUP(X626,'Customer List'!B:D,3,)</f>
        <v>OutStation</v>
      </c>
    </row>
    <row r="627" spans="1:37" hidden="1" x14ac:dyDescent="0.25">
      <c r="A627" s="62">
        <f t="shared" si="138"/>
        <v>613</v>
      </c>
      <c r="B627" s="62" t="s">
        <v>1661</v>
      </c>
      <c r="C627" s="62" t="s">
        <v>1662</v>
      </c>
      <c r="D627" s="6">
        <v>46125</v>
      </c>
      <c r="E627" s="6">
        <v>46129</v>
      </c>
      <c r="F627" s="63">
        <v>58.2</v>
      </c>
      <c r="G627" s="64">
        <f t="shared" si="139"/>
        <v>5121.6000000000004</v>
      </c>
      <c r="H627" s="64">
        <f t="shared" si="140"/>
        <v>5121.6000000000004</v>
      </c>
      <c r="I627" s="70" t="s">
        <v>1653</v>
      </c>
      <c r="J627" s="62"/>
      <c r="K627" s="8"/>
      <c r="L627" s="10"/>
      <c r="M627" s="62">
        <v>1</v>
      </c>
      <c r="N627" s="8">
        <v>1</v>
      </c>
      <c r="O627" s="62">
        <f t="shared" si="141"/>
        <v>0</v>
      </c>
      <c r="P627" s="70">
        <v>129</v>
      </c>
      <c r="Q627" s="71">
        <v>46129</v>
      </c>
      <c r="R627" s="6">
        <v>46130</v>
      </c>
      <c r="S627" s="64">
        <v>8860.9500000000007</v>
      </c>
      <c r="T627" s="22">
        <v>5</v>
      </c>
      <c r="U627" s="64">
        <f t="shared" si="142"/>
        <v>443.04750000000007</v>
      </c>
      <c r="V627" s="22">
        <v>0</v>
      </c>
      <c r="W627" s="22">
        <v>307224</v>
      </c>
      <c r="X627" s="62" t="s">
        <v>1664</v>
      </c>
      <c r="Y627" s="62">
        <v>58164461272</v>
      </c>
      <c r="Z627" s="62" t="s">
        <v>1112</v>
      </c>
      <c r="AA627" s="65">
        <v>-20</v>
      </c>
      <c r="AB627" s="66"/>
      <c r="AC627" s="1" t="s">
        <v>1663</v>
      </c>
      <c r="AD627" s="62" t="str">
        <f>VLOOKUP(X627,'Customer List'!B:C,2,)</f>
        <v>JAIPUR</v>
      </c>
      <c r="AE627" s="67"/>
      <c r="AF627" s="6">
        <v>46134</v>
      </c>
      <c r="AG627" s="62">
        <f t="shared" si="143"/>
        <v>4</v>
      </c>
      <c r="AH627" s="62" t="str">
        <f t="shared" si="144"/>
        <v>Thursday</v>
      </c>
      <c r="AI627" s="62" t="str">
        <f t="shared" si="137"/>
        <v>Wednesday</v>
      </c>
      <c r="AJ627" s="62" t="str">
        <f>VLOOKUP(AC627,'Currency Sheet'!A:C,3,)</f>
        <v>DOLLAR</v>
      </c>
      <c r="AK627" s="62" t="str">
        <f>VLOOKUP(X627,'Customer List'!B:D,3,)</f>
        <v>OutStation</v>
      </c>
    </row>
    <row r="628" spans="1:37" hidden="1" x14ac:dyDescent="0.25">
      <c r="A628" s="62">
        <f t="shared" si="138"/>
        <v>614</v>
      </c>
      <c r="B628" s="62" t="s">
        <v>1661</v>
      </c>
      <c r="C628" s="62" t="s">
        <v>1662</v>
      </c>
      <c r="D628" s="6">
        <v>46125</v>
      </c>
      <c r="E628" s="6">
        <v>46129</v>
      </c>
      <c r="F628" s="63">
        <v>51</v>
      </c>
      <c r="G628" s="64">
        <f t="shared" si="139"/>
        <v>4488</v>
      </c>
      <c r="H628" s="64">
        <f t="shared" si="140"/>
        <v>4488</v>
      </c>
      <c r="I628" s="70" t="s">
        <v>1654</v>
      </c>
      <c r="J628" s="62"/>
      <c r="K628" s="8"/>
      <c r="L628" s="10"/>
      <c r="M628" s="62">
        <v>1</v>
      </c>
      <c r="N628" s="8">
        <v>1</v>
      </c>
      <c r="O628" s="62">
        <f t="shared" si="141"/>
        <v>0</v>
      </c>
      <c r="P628" s="70">
        <v>129</v>
      </c>
      <c r="Q628" s="71">
        <v>46129</v>
      </c>
      <c r="R628" s="6">
        <v>46130</v>
      </c>
      <c r="S628" s="64">
        <v>7764.75</v>
      </c>
      <c r="T628" s="22">
        <v>5</v>
      </c>
      <c r="U628" s="64">
        <f t="shared" si="142"/>
        <v>388.23750000000001</v>
      </c>
      <c r="V628" s="22">
        <v>0</v>
      </c>
      <c r="W628" s="22">
        <v>307224</v>
      </c>
      <c r="X628" s="62" t="s">
        <v>1664</v>
      </c>
      <c r="Y628" s="62">
        <v>58164461272</v>
      </c>
      <c r="Z628" s="62" t="s">
        <v>1112</v>
      </c>
      <c r="AA628" s="65">
        <v>-20</v>
      </c>
      <c r="AB628" s="66"/>
      <c r="AC628" s="1" t="s">
        <v>1663</v>
      </c>
      <c r="AD628" s="62" t="str">
        <f>VLOOKUP(X628,'Customer List'!B:C,2,)</f>
        <v>JAIPUR</v>
      </c>
      <c r="AE628" s="67"/>
      <c r="AF628" s="6">
        <v>46134</v>
      </c>
      <c r="AG628" s="62">
        <f t="shared" si="143"/>
        <v>4</v>
      </c>
      <c r="AH628" s="62" t="str">
        <f t="shared" si="144"/>
        <v>Sunday</v>
      </c>
      <c r="AI628" s="62" t="str">
        <f t="shared" si="137"/>
        <v>Wednesday</v>
      </c>
      <c r="AJ628" s="62" t="str">
        <f>VLOOKUP(AC628,'Currency Sheet'!A:C,3,)</f>
        <v>DOLLAR</v>
      </c>
      <c r="AK628" s="62" t="str">
        <f>VLOOKUP(X628,'Customer List'!B:D,3,)</f>
        <v>OutStation</v>
      </c>
    </row>
    <row r="629" spans="1:37" hidden="1" x14ac:dyDescent="0.25">
      <c r="A629" s="62">
        <f t="shared" si="138"/>
        <v>615</v>
      </c>
      <c r="B629" s="62" t="s">
        <v>1661</v>
      </c>
      <c r="C629" s="62" t="s">
        <v>1662</v>
      </c>
      <c r="D629" s="6">
        <v>46125</v>
      </c>
      <c r="E629" s="6">
        <v>46129</v>
      </c>
      <c r="F629" s="63">
        <v>44.4</v>
      </c>
      <c r="G629" s="64">
        <f t="shared" si="139"/>
        <v>3907.2</v>
      </c>
      <c r="H629" s="64">
        <f t="shared" si="140"/>
        <v>3907.2</v>
      </c>
      <c r="I629" s="70" t="s">
        <v>1655</v>
      </c>
      <c r="J629" s="62"/>
      <c r="K629" s="8"/>
      <c r="L629" s="10"/>
      <c r="M629" s="62">
        <v>1</v>
      </c>
      <c r="N629" s="8">
        <v>1</v>
      </c>
      <c r="O629" s="62">
        <f t="shared" si="141"/>
        <v>0</v>
      </c>
      <c r="P629" s="70">
        <v>129</v>
      </c>
      <c r="Q629" s="71">
        <v>46129</v>
      </c>
      <c r="R629" s="6">
        <v>46130</v>
      </c>
      <c r="S629" s="64">
        <v>6759.9</v>
      </c>
      <c r="T629" s="22">
        <v>5</v>
      </c>
      <c r="U629" s="64">
        <f t="shared" si="142"/>
        <v>337.995</v>
      </c>
      <c r="V629" s="22">
        <v>0</v>
      </c>
      <c r="W629" s="22">
        <v>307224</v>
      </c>
      <c r="X629" s="62" t="s">
        <v>1664</v>
      </c>
      <c r="Y629" s="62">
        <v>58164461272</v>
      </c>
      <c r="Z629" s="62" t="s">
        <v>1112</v>
      </c>
      <c r="AA629" s="65">
        <v>-20</v>
      </c>
      <c r="AB629" s="66"/>
      <c r="AC629" s="1" t="s">
        <v>1663</v>
      </c>
      <c r="AD629" s="62" t="str">
        <f>VLOOKUP(X629,'Customer List'!B:C,2,)</f>
        <v>JAIPUR</v>
      </c>
      <c r="AE629" s="67"/>
      <c r="AF629" s="6">
        <v>46134</v>
      </c>
      <c r="AG629" s="62">
        <f t="shared" si="143"/>
        <v>4</v>
      </c>
      <c r="AH629" s="62" t="str">
        <f t="shared" si="144"/>
        <v>Wednesday</v>
      </c>
      <c r="AI629" s="62" t="str">
        <f t="shared" si="137"/>
        <v>Wednesday</v>
      </c>
      <c r="AJ629" s="62" t="str">
        <f>VLOOKUP(AC629,'Currency Sheet'!A:C,3,)</f>
        <v>DOLLAR</v>
      </c>
      <c r="AK629" s="62" t="str">
        <f>VLOOKUP(X629,'Customer List'!B:D,3,)</f>
        <v>OutStation</v>
      </c>
    </row>
    <row r="630" spans="1:37" hidden="1" x14ac:dyDescent="0.25">
      <c r="A630" s="62">
        <f t="shared" si="138"/>
        <v>616</v>
      </c>
      <c r="B630" s="62" t="s">
        <v>1661</v>
      </c>
      <c r="C630" s="62" t="s">
        <v>1662</v>
      </c>
      <c r="D630" s="6">
        <v>46125</v>
      </c>
      <c r="E630" s="6">
        <v>46129</v>
      </c>
      <c r="F630" s="63">
        <v>31.8</v>
      </c>
      <c r="G630" s="64">
        <f t="shared" si="139"/>
        <v>2798.4</v>
      </c>
      <c r="H630" s="64">
        <f t="shared" si="140"/>
        <v>2798.4</v>
      </c>
      <c r="I630" s="70" t="s">
        <v>1656</v>
      </c>
      <c r="J630" s="62"/>
      <c r="K630" s="8"/>
      <c r="L630" s="10"/>
      <c r="M630" s="62">
        <v>1</v>
      </c>
      <c r="N630" s="8">
        <v>1</v>
      </c>
      <c r="O630" s="62">
        <f t="shared" si="141"/>
        <v>0</v>
      </c>
      <c r="P630" s="70">
        <v>129</v>
      </c>
      <c r="Q630" s="71">
        <v>46129</v>
      </c>
      <c r="R630" s="6">
        <v>46130</v>
      </c>
      <c r="S630" s="64">
        <v>4841.55</v>
      </c>
      <c r="T630" s="22">
        <v>5</v>
      </c>
      <c r="U630" s="64">
        <f t="shared" si="142"/>
        <v>242.07750000000001</v>
      </c>
      <c r="V630" s="22">
        <v>0</v>
      </c>
      <c r="W630" s="22">
        <v>307224</v>
      </c>
      <c r="X630" s="62" t="s">
        <v>1664</v>
      </c>
      <c r="Y630" s="62">
        <v>58164461272</v>
      </c>
      <c r="Z630" s="62" t="s">
        <v>1112</v>
      </c>
      <c r="AA630" s="65">
        <v>-20</v>
      </c>
      <c r="AB630" s="66"/>
      <c r="AC630" s="1" t="s">
        <v>1663</v>
      </c>
      <c r="AD630" s="62" t="str">
        <f>VLOOKUP(X630,'Customer List'!B:C,2,)</f>
        <v>JAIPUR</v>
      </c>
      <c r="AE630" s="67"/>
      <c r="AF630" s="6">
        <v>46134</v>
      </c>
      <c r="AG630" s="62">
        <f t="shared" si="143"/>
        <v>4</v>
      </c>
      <c r="AH630" s="62" t="str">
        <f t="shared" si="144"/>
        <v>Wednesday</v>
      </c>
      <c r="AI630" s="62" t="str">
        <f t="shared" si="137"/>
        <v>Wednesday</v>
      </c>
      <c r="AJ630" s="62" t="str">
        <f>VLOOKUP(AC630,'Currency Sheet'!A:C,3,)</f>
        <v>DOLLAR</v>
      </c>
      <c r="AK630" s="62" t="str">
        <f>VLOOKUP(X630,'Customer List'!B:D,3,)</f>
        <v>OutStation</v>
      </c>
    </row>
    <row r="631" spans="1:37" hidden="1" x14ac:dyDescent="0.25">
      <c r="A631" s="62">
        <f t="shared" si="138"/>
        <v>617</v>
      </c>
      <c r="B631" s="62" t="s">
        <v>1661</v>
      </c>
      <c r="C631" s="62" t="s">
        <v>1662</v>
      </c>
      <c r="D631" s="6">
        <v>46125</v>
      </c>
      <c r="E631" s="6">
        <v>46129</v>
      </c>
      <c r="F631" s="63">
        <v>199.8</v>
      </c>
      <c r="G631" s="64">
        <f t="shared" si="139"/>
        <v>17582.400000000001</v>
      </c>
      <c r="H631" s="64">
        <f t="shared" si="140"/>
        <v>17582.400000000001</v>
      </c>
      <c r="I631" s="70" t="s">
        <v>1657</v>
      </c>
      <c r="J631" s="62"/>
      <c r="K631" s="8"/>
      <c r="L631" s="10"/>
      <c r="M631" s="62">
        <v>1</v>
      </c>
      <c r="N631" s="8">
        <v>1</v>
      </c>
      <c r="O631" s="62">
        <f t="shared" si="141"/>
        <v>0</v>
      </c>
      <c r="P631" s="70">
        <v>125</v>
      </c>
      <c r="Q631" s="71">
        <v>46129</v>
      </c>
      <c r="R631" s="6">
        <v>46130</v>
      </c>
      <c r="S631" s="64">
        <v>33799.5</v>
      </c>
      <c r="T631" s="22">
        <v>5</v>
      </c>
      <c r="U631" s="64">
        <f t="shared" si="142"/>
        <v>1689.9750000000001</v>
      </c>
      <c r="V631" s="22">
        <v>-0.48</v>
      </c>
      <c r="W631" s="22">
        <v>37379</v>
      </c>
      <c r="X631" s="62" t="s">
        <v>501</v>
      </c>
      <c r="Y631" s="62">
        <v>58164465111</v>
      </c>
      <c r="Z631" s="62" t="s">
        <v>1112</v>
      </c>
      <c r="AA631" s="65">
        <v>-20</v>
      </c>
      <c r="AB631" s="66"/>
      <c r="AC631" s="1" t="s">
        <v>1663</v>
      </c>
      <c r="AD631" s="62" t="str">
        <f>VLOOKUP(X631,'Customer List'!B:C,2,)</f>
        <v>Dehradoon</v>
      </c>
      <c r="AE631" s="67"/>
      <c r="AF631" s="6">
        <v>46134</v>
      </c>
      <c r="AG631" s="62">
        <f t="shared" si="143"/>
        <v>4</v>
      </c>
      <c r="AH631" s="62" t="str">
        <f t="shared" si="144"/>
        <v>Tuesday</v>
      </c>
      <c r="AI631" s="62" t="str">
        <f t="shared" si="137"/>
        <v>Wednesday</v>
      </c>
      <c r="AJ631" s="62" t="str">
        <f>VLOOKUP(AC631,'Currency Sheet'!A:C,3,)</f>
        <v>DOLLAR</v>
      </c>
      <c r="AK631" s="62" t="str">
        <f>VLOOKUP(X631,'Customer List'!B:D,3,)</f>
        <v>OutStation</v>
      </c>
    </row>
    <row r="632" spans="1:37" hidden="1" x14ac:dyDescent="0.25">
      <c r="A632" s="62">
        <f t="shared" si="138"/>
        <v>618</v>
      </c>
      <c r="B632" s="62" t="s">
        <v>1661</v>
      </c>
      <c r="C632" s="62" t="s">
        <v>1662</v>
      </c>
      <c r="D632" s="6">
        <v>46125</v>
      </c>
      <c r="E632" s="6">
        <v>46129</v>
      </c>
      <c r="F632" s="63">
        <v>42</v>
      </c>
      <c r="G632" s="64">
        <f t="shared" si="139"/>
        <v>3696</v>
      </c>
      <c r="H632" s="64">
        <f t="shared" si="140"/>
        <v>3696</v>
      </c>
      <c r="I632" s="70" t="s">
        <v>1658</v>
      </c>
      <c r="J632" s="62"/>
      <c r="K632" s="8"/>
      <c r="L632" s="10"/>
      <c r="M632" s="62">
        <v>1</v>
      </c>
      <c r="N632" s="8">
        <v>1</v>
      </c>
      <c r="O632" s="62">
        <f t="shared" si="141"/>
        <v>0</v>
      </c>
      <c r="P632" s="70">
        <v>126</v>
      </c>
      <c r="Q632" s="71">
        <v>46129</v>
      </c>
      <c r="R632" s="6">
        <v>46130</v>
      </c>
      <c r="S632" s="64">
        <v>7105</v>
      </c>
      <c r="T632" s="22">
        <v>5</v>
      </c>
      <c r="U632" s="64">
        <f t="shared" si="142"/>
        <v>355.25</v>
      </c>
      <c r="V632" s="22">
        <v>0.27</v>
      </c>
      <c r="W632" s="22">
        <v>34424</v>
      </c>
      <c r="X632" s="62" t="s">
        <v>501</v>
      </c>
      <c r="Y632" s="62">
        <v>58164465111</v>
      </c>
      <c r="Z632" s="62" t="s">
        <v>1112</v>
      </c>
      <c r="AA632" s="65">
        <v>-20</v>
      </c>
      <c r="AB632" s="66"/>
      <c r="AC632" s="1" t="s">
        <v>1663</v>
      </c>
      <c r="AD632" s="62" t="str">
        <f>VLOOKUP(X632,'Customer List'!B:C,2,)</f>
        <v>Dehradoon</v>
      </c>
      <c r="AE632" s="67"/>
      <c r="AF632" s="6">
        <v>46134</v>
      </c>
      <c r="AG632" s="62">
        <f t="shared" si="143"/>
        <v>4</v>
      </c>
      <c r="AH632" s="62" t="str">
        <f t="shared" si="144"/>
        <v>Saturday</v>
      </c>
      <c r="AI632" s="62" t="str">
        <f t="shared" si="137"/>
        <v>Wednesday</v>
      </c>
      <c r="AJ632" s="62" t="str">
        <f>VLOOKUP(AC632,'Currency Sheet'!A:C,3,)</f>
        <v>DOLLAR</v>
      </c>
      <c r="AK632" s="62" t="str">
        <f>VLOOKUP(X632,'Customer List'!B:D,3,)</f>
        <v>OutStation</v>
      </c>
    </row>
    <row r="633" spans="1:37" hidden="1" x14ac:dyDescent="0.25">
      <c r="A633" s="62">
        <f t="shared" si="138"/>
        <v>619</v>
      </c>
      <c r="B633" s="62" t="s">
        <v>1661</v>
      </c>
      <c r="C633" s="62" t="s">
        <v>1662</v>
      </c>
      <c r="D633" s="6">
        <v>46125</v>
      </c>
      <c r="E633" s="6">
        <v>46129</v>
      </c>
      <c r="F633" s="63">
        <v>63.6</v>
      </c>
      <c r="G633" s="64">
        <f t="shared" si="139"/>
        <v>5596.8</v>
      </c>
      <c r="H633" s="64">
        <f t="shared" si="140"/>
        <v>5596.8</v>
      </c>
      <c r="I633" s="70" t="s">
        <v>1659</v>
      </c>
      <c r="J633" s="62"/>
      <c r="K633" s="8"/>
      <c r="L633" s="10"/>
      <c r="M633" s="62">
        <v>1</v>
      </c>
      <c r="N633" s="8">
        <v>1</v>
      </c>
      <c r="O633" s="62">
        <f t="shared" si="141"/>
        <v>0</v>
      </c>
      <c r="P633" s="70">
        <v>126</v>
      </c>
      <c r="Q633" s="71">
        <v>46129</v>
      </c>
      <c r="R633" s="6">
        <v>46130</v>
      </c>
      <c r="S633" s="64">
        <v>10759</v>
      </c>
      <c r="T633" s="22">
        <v>5</v>
      </c>
      <c r="U633" s="64">
        <f t="shared" si="142"/>
        <v>537.95000000000005</v>
      </c>
      <c r="V633" s="22">
        <v>0</v>
      </c>
      <c r="W633" s="22">
        <v>34424</v>
      </c>
      <c r="X633" s="62" t="s">
        <v>501</v>
      </c>
      <c r="Y633" s="62">
        <v>58164465111</v>
      </c>
      <c r="Z633" s="62" t="s">
        <v>1112</v>
      </c>
      <c r="AA633" s="65">
        <v>-20</v>
      </c>
      <c r="AB633" s="66"/>
      <c r="AC633" s="1" t="s">
        <v>1663</v>
      </c>
      <c r="AD633" s="62" t="str">
        <f>VLOOKUP(X633,'Customer List'!B:C,2,)</f>
        <v>Dehradoon</v>
      </c>
      <c r="AE633" s="67"/>
      <c r="AF633" s="6">
        <v>46134</v>
      </c>
      <c r="AG633" s="62">
        <f t="shared" si="143"/>
        <v>4</v>
      </c>
      <c r="AH633" s="62" t="str">
        <f t="shared" si="144"/>
        <v>Saturday</v>
      </c>
      <c r="AI633" s="62" t="str">
        <f t="shared" si="137"/>
        <v>Wednesday</v>
      </c>
      <c r="AJ633" s="62" t="str">
        <f>VLOOKUP(AC633,'Currency Sheet'!A:C,3,)</f>
        <v>DOLLAR</v>
      </c>
      <c r="AK633" s="62" t="str">
        <f>VLOOKUP(X633,'Customer List'!B:D,3,)</f>
        <v>OutStation</v>
      </c>
    </row>
    <row r="634" spans="1:37" hidden="1" x14ac:dyDescent="0.25">
      <c r="A634" s="62">
        <f t="shared" si="138"/>
        <v>620</v>
      </c>
      <c r="B634" s="62" t="s">
        <v>1661</v>
      </c>
      <c r="C634" s="62" t="s">
        <v>1662</v>
      </c>
      <c r="D634" s="6">
        <v>46125</v>
      </c>
      <c r="E634" s="6">
        <v>46129</v>
      </c>
      <c r="F634" s="63">
        <v>88.2</v>
      </c>
      <c r="G634" s="64">
        <f t="shared" si="139"/>
        <v>7761.6</v>
      </c>
      <c r="H634" s="64">
        <f t="shared" si="140"/>
        <v>7761.6</v>
      </c>
      <c r="I634" s="70" t="s">
        <v>1660</v>
      </c>
      <c r="J634" s="62"/>
      <c r="K634" s="8"/>
      <c r="L634" s="10"/>
      <c r="M634" s="62">
        <v>1</v>
      </c>
      <c r="N634" s="8">
        <v>1</v>
      </c>
      <c r="O634" s="62">
        <f t="shared" si="141"/>
        <v>0</v>
      </c>
      <c r="P634" s="70">
        <v>126</v>
      </c>
      <c r="Q634" s="71">
        <v>46129</v>
      </c>
      <c r="R634" s="6">
        <v>46130</v>
      </c>
      <c r="S634" s="64">
        <v>14920.5</v>
      </c>
      <c r="T634" s="22">
        <v>5</v>
      </c>
      <c r="U634" s="64">
        <f t="shared" si="142"/>
        <v>746.02500000000009</v>
      </c>
      <c r="V634" s="22">
        <v>0</v>
      </c>
      <c r="W634" s="22">
        <v>34424</v>
      </c>
      <c r="X634" s="62" t="s">
        <v>501</v>
      </c>
      <c r="Y634" s="62">
        <v>58164465111</v>
      </c>
      <c r="Z634" s="62" t="s">
        <v>1112</v>
      </c>
      <c r="AA634" s="65">
        <v>-20</v>
      </c>
      <c r="AB634" s="66"/>
      <c r="AC634" s="1" t="s">
        <v>1663</v>
      </c>
      <c r="AD634" s="62" t="str">
        <f>VLOOKUP(X634,'Customer List'!B:C,2,)</f>
        <v>Dehradoon</v>
      </c>
      <c r="AE634" s="67"/>
      <c r="AF634" s="6">
        <v>46134</v>
      </c>
      <c r="AG634" s="62">
        <f t="shared" si="143"/>
        <v>4</v>
      </c>
      <c r="AH634" s="62" t="str">
        <f t="shared" si="144"/>
        <v>Tuesday</v>
      </c>
      <c r="AI634" s="62" t="str">
        <f t="shared" si="137"/>
        <v>Wednesday</v>
      </c>
      <c r="AJ634" s="62" t="str">
        <f>VLOOKUP(AC634,'Currency Sheet'!A:C,3,)</f>
        <v>DOLLAR</v>
      </c>
      <c r="AK634" s="62" t="str">
        <f>VLOOKUP(X634,'Customer List'!B:D,3,)</f>
        <v>OutStation</v>
      </c>
    </row>
    <row r="635" spans="1:37" hidden="1" x14ac:dyDescent="0.25">
      <c r="A635" s="62">
        <f t="shared" si="138"/>
        <v>621</v>
      </c>
      <c r="B635" s="62" t="s">
        <v>1661</v>
      </c>
      <c r="C635" s="62" t="s">
        <v>1662</v>
      </c>
      <c r="D635" s="6">
        <v>46125</v>
      </c>
      <c r="E635" s="6">
        <v>46129</v>
      </c>
      <c r="F635" s="63">
        <v>43.2</v>
      </c>
      <c r="G635" s="64">
        <f t="shared" si="139"/>
        <v>3801.6000000000004</v>
      </c>
      <c r="H635" s="64">
        <f t="shared" si="140"/>
        <v>3801.6000000000004</v>
      </c>
      <c r="I635" s="70" t="s">
        <v>1650</v>
      </c>
      <c r="J635" s="62"/>
      <c r="K635" s="8"/>
      <c r="L635" s="10"/>
      <c r="M635" s="62">
        <v>1</v>
      </c>
      <c r="N635" s="8">
        <v>1</v>
      </c>
      <c r="O635" s="62">
        <f t="shared" si="141"/>
        <v>0</v>
      </c>
      <c r="P635" s="70">
        <v>129</v>
      </c>
      <c r="Q635" s="71">
        <v>46129</v>
      </c>
      <c r="R635" s="6">
        <v>46130</v>
      </c>
      <c r="S635" s="64">
        <v>6577.2</v>
      </c>
      <c r="T635" s="22">
        <v>5</v>
      </c>
      <c r="U635" s="64">
        <f t="shared" si="142"/>
        <v>328.86</v>
      </c>
      <c r="V635" s="22">
        <v>0</v>
      </c>
      <c r="W635" s="22">
        <v>307224</v>
      </c>
      <c r="X635" s="62" t="s">
        <v>1664</v>
      </c>
      <c r="Y635" s="62">
        <v>58164461272</v>
      </c>
      <c r="Z635" s="62" t="s">
        <v>1112</v>
      </c>
      <c r="AA635" s="65">
        <v>-20</v>
      </c>
      <c r="AB635" s="66"/>
      <c r="AC635" s="1" t="s">
        <v>1663</v>
      </c>
      <c r="AD635" s="62" t="str">
        <f>VLOOKUP(X635,'Customer List'!B:C,2,)</f>
        <v>JAIPUR</v>
      </c>
      <c r="AE635" s="67"/>
      <c r="AF635" s="6">
        <v>46134</v>
      </c>
      <c r="AG635" s="62">
        <f t="shared" si="143"/>
        <v>4</v>
      </c>
      <c r="AH635" s="62" t="str">
        <f t="shared" si="144"/>
        <v>Wednesday</v>
      </c>
      <c r="AI635" s="62" t="str">
        <f t="shared" si="137"/>
        <v>Wednesday</v>
      </c>
      <c r="AJ635" s="62" t="str">
        <f>VLOOKUP(AC635,'Currency Sheet'!A:C,3,)</f>
        <v>DOLLAR</v>
      </c>
      <c r="AK635" s="62" t="str">
        <f>VLOOKUP(X635,'Customer List'!B:D,3,)</f>
        <v>OutStation</v>
      </c>
    </row>
    <row r="636" spans="1:37" hidden="1" x14ac:dyDescent="0.25">
      <c r="A636" s="62">
        <f t="shared" si="138"/>
        <v>622</v>
      </c>
      <c r="B636" s="62" t="s">
        <v>1661</v>
      </c>
      <c r="C636" s="62" t="s">
        <v>1662</v>
      </c>
      <c r="D636" s="6">
        <v>46125</v>
      </c>
      <c r="E636" s="6">
        <v>46129</v>
      </c>
      <c r="F636" s="63">
        <v>35.4</v>
      </c>
      <c r="G636" s="64">
        <f t="shared" si="139"/>
        <v>3115.2</v>
      </c>
      <c r="H636" s="64">
        <f t="shared" si="140"/>
        <v>3115.2</v>
      </c>
      <c r="I636" s="70" t="s">
        <v>1651</v>
      </c>
      <c r="J636" s="62"/>
      <c r="K636" s="8"/>
      <c r="L636" s="10"/>
      <c r="M636" s="62">
        <v>1</v>
      </c>
      <c r="N636" s="8">
        <v>1</v>
      </c>
      <c r="O636" s="62">
        <f t="shared" si="141"/>
        <v>0</v>
      </c>
      <c r="P636" s="70">
        <v>129</v>
      </c>
      <c r="Q636" s="71">
        <v>46129</v>
      </c>
      <c r="R636" s="6">
        <v>46130</v>
      </c>
      <c r="S636" s="64">
        <v>5389.65</v>
      </c>
      <c r="T636" s="22">
        <v>5</v>
      </c>
      <c r="U636" s="64">
        <f t="shared" si="142"/>
        <v>269.48250000000002</v>
      </c>
      <c r="V636" s="22">
        <v>0</v>
      </c>
      <c r="W636" s="22">
        <v>307224</v>
      </c>
      <c r="X636" s="62" t="s">
        <v>1664</v>
      </c>
      <c r="Y636" s="62">
        <v>58164461272</v>
      </c>
      <c r="Z636" s="62" t="s">
        <v>1112</v>
      </c>
      <c r="AA636" s="65">
        <v>-20</v>
      </c>
      <c r="AB636" s="66"/>
      <c r="AC636" s="1" t="s">
        <v>1663</v>
      </c>
      <c r="AD636" s="62" t="str">
        <f>VLOOKUP(X636,'Customer List'!B:C,2,)</f>
        <v>JAIPUR</v>
      </c>
      <c r="AE636" s="67"/>
      <c r="AF636" s="6">
        <v>46134</v>
      </c>
      <c r="AG636" s="62">
        <f t="shared" si="143"/>
        <v>4</v>
      </c>
      <c r="AH636" s="62" t="str">
        <f t="shared" si="144"/>
        <v>Friday</v>
      </c>
      <c r="AI636" s="62" t="str">
        <f t="shared" si="137"/>
        <v>Wednesday</v>
      </c>
      <c r="AJ636" s="62" t="str">
        <f>VLOOKUP(AC636,'Currency Sheet'!A:C,3,)</f>
        <v>DOLLAR</v>
      </c>
      <c r="AK636" s="62" t="str">
        <f>VLOOKUP(X636,'Customer List'!B:D,3,)</f>
        <v>OutStation</v>
      </c>
    </row>
    <row r="637" spans="1:37" hidden="1" x14ac:dyDescent="0.25">
      <c r="A637" s="62">
        <f t="shared" si="138"/>
        <v>623</v>
      </c>
      <c r="B637" s="62" t="s">
        <v>824</v>
      </c>
      <c r="C637" s="62" t="s">
        <v>1841</v>
      </c>
      <c r="D637" s="6">
        <v>46122</v>
      </c>
      <c r="E637" s="6">
        <v>46132</v>
      </c>
      <c r="F637" s="63">
        <v>25.2</v>
      </c>
      <c r="G637" s="64">
        <f t="shared" si="139"/>
        <v>2217.6</v>
      </c>
      <c r="H637" s="64">
        <f t="shared" si="140"/>
        <v>2217.6</v>
      </c>
      <c r="I637" s="70">
        <v>100203</v>
      </c>
      <c r="J637" s="62" t="s">
        <v>1671</v>
      </c>
      <c r="K637" s="8" t="s">
        <v>1672</v>
      </c>
      <c r="L637" s="10">
        <v>47985</v>
      </c>
      <c r="M637" s="62">
        <v>1</v>
      </c>
      <c r="N637" s="8">
        <v>1</v>
      </c>
      <c r="O637" s="62">
        <f t="shared" si="141"/>
        <v>0</v>
      </c>
      <c r="P637" s="70">
        <v>141</v>
      </c>
      <c r="Q637" s="71">
        <v>46132</v>
      </c>
      <c r="R637" s="6">
        <v>46133</v>
      </c>
      <c r="S637" s="64">
        <v>3794.4</v>
      </c>
      <c r="T637" s="22">
        <v>5</v>
      </c>
      <c r="U637" s="64">
        <f t="shared" si="142"/>
        <v>189.72000000000003</v>
      </c>
      <c r="V637" s="22">
        <v>0</v>
      </c>
      <c r="W637" s="22">
        <v>147191</v>
      </c>
      <c r="X637" s="62" t="s">
        <v>92</v>
      </c>
      <c r="Y637" s="62">
        <v>58164559084</v>
      </c>
      <c r="Z637" s="62" t="s">
        <v>1112</v>
      </c>
      <c r="AA637" s="65">
        <v>4</v>
      </c>
      <c r="AB637" s="66"/>
      <c r="AC637" s="1" t="s">
        <v>1842</v>
      </c>
      <c r="AD637" s="62" t="str">
        <f>VLOOKUP(X637,'Customer List'!B:C,2,)</f>
        <v>Kolkata</v>
      </c>
      <c r="AE637" s="67"/>
      <c r="AF637" s="6">
        <v>46134</v>
      </c>
      <c r="AG637" s="62">
        <f t="shared" si="143"/>
        <v>1</v>
      </c>
      <c r="AH637" s="62" t="str">
        <f t="shared" si="144"/>
        <v>Saturday</v>
      </c>
      <c r="AI637" s="62" t="str">
        <f t="shared" ref="AI637:AI700" si="145">IF(AF637="", "", TEXT(AF637, "dddd"))</f>
        <v>Wednesday</v>
      </c>
      <c r="AJ637" s="62" t="str">
        <f>VLOOKUP(AC637,'Currency Sheet'!A:C,3,)</f>
        <v>DOLLAR</v>
      </c>
      <c r="AK637" s="62" t="str">
        <f>VLOOKUP(X637,'Customer List'!B:D,3,)</f>
        <v>OutStation</v>
      </c>
    </row>
    <row r="638" spans="1:37" hidden="1" x14ac:dyDescent="0.25">
      <c r="A638" s="62">
        <f t="shared" si="138"/>
        <v>624</v>
      </c>
      <c r="B638" s="62" t="s">
        <v>824</v>
      </c>
      <c r="C638" s="62" t="s">
        <v>1841</v>
      </c>
      <c r="D638" s="6">
        <v>46122</v>
      </c>
      <c r="E638" s="6">
        <v>46132</v>
      </c>
      <c r="F638" s="63">
        <v>25.2</v>
      </c>
      <c r="G638" s="64">
        <f t="shared" si="139"/>
        <v>2217.6</v>
      </c>
      <c r="H638" s="64">
        <f t="shared" si="140"/>
        <v>2217.6</v>
      </c>
      <c r="I638" s="70">
        <v>100203</v>
      </c>
      <c r="J638" s="62" t="s">
        <v>1671</v>
      </c>
      <c r="K638" s="8" t="s">
        <v>1672</v>
      </c>
      <c r="L638" s="10">
        <v>47985</v>
      </c>
      <c r="M638" s="62">
        <v>1</v>
      </c>
      <c r="N638" s="8">
        <v>1</v>
      </c>
      <c r="O638" s="62">
        <f t="shared" si="141"/>
        <v>0</v>
      </c>
      <c r="P638" s="70">
        <v>263</v>
      </c>
      <c r="Q638" s="71">
        <v>46148</v>
      </c>
      <c r="R638" s="6">
        <v>46148</v>
      </c>
      <c r="S638" s="64">
        <v>4185</v>
      </c>
      <c r="T638" s="22">
        <v>5</v>
      </c>
      <c r="U638" s="64">
        <f t="shared" si="142"/>
        <v>209.25</v>
      </c>
      <c r="V638" s="22">
        <v>-0.33</v>
      </c>
      <c r="W638" s="22">
        <v>18187</v>
      </c>
      <c r="X638" s="62" t="s">
        <v>1833</v>
      </c>
      <c r="Y638" s="62" t="s">
        <v>1120</v>
      </c>
      <c r="Z638" s="62" t="s">
        <v>1863</v>
      </c>
      <c r="AA638" s="65">
        <v>4</v>
      </c>
      <c r="AB638" s="66"/>
      <c r="AC638" s="1" t="s">
        <v>1842</v>
      </c>
      <c r="AD638" s="62" t="str">
        <f>VLOOKUP(X638,'Customer List'!B:C,2,)</f>
        <v>DELHI</v>
      </c>
      <c r="AE638" s="67"/>
      <c r="AF638" s="6"/>
      <c r="AG638" s="62" t="str">
        <f t="shared" si="143"/>
        <v/>
      </c>
      <c r="AH638" s="62" t="str">
        <f t="shared" si="144"/>
        <v>Friday</v>
      </c>
      <c r="AI638" s="62" t="str">
        <f t="shared" si="145"/>
        <v/>
      </c>
      <c r="AJ638" s="62" t="str">
        <f>VLOOKUP(AC638,'Currency Sheet'!A:C,3,)</f>
        <v>DOLLAR</v>
      </c>
      <c r="AK638" s="62" t="str">
        <f>VLOOKUP(X638,'Customer List'!B:D,3,)</f>
        <v>Local</v>
      </c>
    </row>
    <row r="639" spans="1:37" hidden="1" x14ac:dyDescent="0.25">
      <c r="A639" s="62">
        <f t="shared" si="138"/>
        <v>625</v>
      </c>
      <c r="B639" s="62" t="s">
        <v>824</v>
      </c>
      <c r="C639" s="62" t="s">
        <v>1841</v>
      </c>
      <c r="D639" s="6">
        <v>46122</v>
      </c>
      <c r="E639" s="6">
        <v>46132</v>
      </c>
      <c r="F639" s="63">
        <v>53.9</v>
      </c>
      <c r="G639" s="64">
        <f t="shared" si="139"/>
        <v>4743.2</v>
      </c>
      <c r="H639" s="64">
        <f t="shared" si="140"/>
        <v>4743.2</v>
      </c>
      <c r="I639" s="70">
        <v>100236</v>
      </c>
      <c r="J639" s="62" t="s">
        <v>1673</v>
      </c>
      <c r="K639" s="8" t="s">
        <v>1674</v>
      </c>
      <c r="L639" s="10">
        <v>47538</v>
      </c>
      <c r="M639" s="62">
        <v>1</v>
      </c>
      <c r="N639" s="8">
        <v>1</v>
      </c>
      <c r="O639" s="62">
        <f t="shared" si="141"/>
        <v>0</v>
      </c>
      <c r="P639" s="70">
        <v>141</v>
      </c>
      <c r="Q639" s="71">
        <v>46132</v>
      </c>
      <c r="R639" s="6">
        <v>46133</v>
      </c>
      <c r="S639" s="64">
        <v>8115.8</v>
      </c>
      <c r="T639" s="22">
        <v>5</v>
      </c>
      <c r="U639" s="64">
        <f t="shared" si="142"/>
        <v>405.79</v>
      </c>
      <c r="V639" s="22">
        <v>0</v>
      </c>
      <c r="W639" s="22">
        <v>147191</v>
      </c>
      <c r="X639" s="62" t="s">
        <v>1834</v>
      </c>
      <c r="Y639" s="62">
        <v>58164559084</v>
      </c>
      <c r="Z639" s="62" t="s">
        <v>1112</v>
      </c>
      <c r="AA639" s="65">
        <v>4</v>
      </c>
      <c r="AB639" s="66"/>
      <c r="AC639" s="1" t="s">
        <v>1842</v>
      </c>
      <c r="AD639" s="62" t="str">
        <f>VLOOKUP(X639,'Customer List'!B:C,2,)</f>
        <v>Kolkata</v>
      </c>
      <c r="AE639" s="67"/>
      <c r="AF639" s="6">
        <v>46134</v>
      </c>
      <c r="AG639" s="62">
        <f t="shared" si="143"/>
        <v>1</v>
      </c>
      <c r="AH639" s="62" t="str">
        <f t="shared" si="144"/>
        <v>Monday</v>
      </c>
      <c r="AI639" s="62" t="str">
        <f t="shared" si="145"/>
        <v>Wednesday</v>
      </c>
      <c r="AJ639" s="62" t="str">
        <f>VLOOKUP(AC639,'Currency Sheet'!A:C,3,)</f>
        <v>DOLLAR</v>
      </c>
      <c r="AK639" s="62" t="str">
        <f>VLOOKUP(X639,'Customer List'!B:D,3,)</f>
        <v>OutStation</v>
      </c>
    </row>
    <row r="640" spans="1:37" hidden="1" x14ac:dyDescent="0.25">
      <c r="A640" s="62">
        <f t="shared" si="138"/>
        <v>626</v>
      </c>
      <c r="B640" s="62" t="s">
        <v>824</v>
      </c>
      <c r="C640" s="62" t="s">
        <v>1841</v>
      </c>
      <c r="D640" s="6">
        <v>46122</v>
      </c>
      <c r="E640" s="6">
        <v>46132</v>
      </c>
      <c r="F640" s="63">
        <v>181.5</v>
      </c>
      <c r="G640" s="64">
        <f t="shared" si="139"/>
        <v>15972</v>
      </c>
      <c r="H640" s="64">
        <f t="shared" si="140"/>
        <v>15972</v>
      </c>
      <c r="I640" s="70">
        <v>100559</v>
      </c>
      <c r="J640" s="62" t="s">
        <v>1675</v>
      </c>
      <c r="K640" s="8" t="s">
        <v>1676</v>
      </c>
      <c r="L640" s="10">
        <v>46796</v>
      </c>
      <c r="M640" s="62">
        <v>1</v>
      </c>
      <c r="N640" s="8">
        <v>1</v>
      </c>
      <c r="O640" s="62">
        <f t="shared" si="141"/>
        <v>0</v>
      </c>
      <c r="P640" s="70">
        <v>252</v>
      </c>
      <c r="Q640" s="71">
        <v>46142</v>
      </c>
      <c r="R640" s="6">
        <v>46142</v>
      </c>
      <c r="S640" s="64">
        <v>27225</v>
      </c>
      <c r="T640" s="22">
        <v>5</v>
      </c>
      <c r="U640" s="64">
        <f t="shared" si="142"/>
        <v>1361.25</v>
      </c>
      <c r="V640" s="22">
        <v>-0.26</v>
      </c>
      <c r="W640" s="22">
        <v>219476</v>
      </c>
      <c r="X640" s="62" t="s">
        <v>793</v>
      </c>
      <c r="Y640" s="62" t="s">
        <v>1120</v>
      </c>
      <c r="Z640" s="62" t="s">
        <v>1863</v>
      </c>
      <c r="AA640" s="65">
        <v>4</v>
      </c>
      <c r="AB640" s="66"/>
      <c r="AC640" s="1" t="s">
        <v>1842</v>
      </c>
      <c r="AD640" s="62" t="str">
        <f>VLOOKUP(X640,'Customer List'!B:C,2,)</f>
        <v>Delhi</v>
      </c>
      <c r="AE640" s="67"/>
      <c r="AF640" s="6"/>
      <c r="AG640" s="62" t="str">
        <f t="shared" si="143"/>
        <v/>
      </c>
      <c r="AH640" s="62" t="str">
        <f t="shared" si="144"/>
        <v>Monday</v>
      </c>
      <c r="AI640" s="62" t="str">
        <f t="shared" si="145"/>
        <v/>
      </c>
      <c r="AJ640" s="62" t="str">
        <f>VLOOKUP(AC640,'Currency Sheet'!A:C,3,)</f>
        <v>DOLLAR</v>
      </c>
      <c r="AK640" s="62" t="str">
        <f>VLOOKUP(X640,'Customer List'!B:D,3,)</f>
        <v>Local</v>
      </c>
    </row>
    <row r="641" spans="1:37" hidden="1" x14ac:dyDescent="0.25">
      <c r="A641" s="62">
        <f t="shared" si="138"/>
        <v>627</v>
      </c>
      <c r="B641" s="62" t="s">
        <v>824</v>
      </c>
      <c r="C641" s="62" t="s">
        <v>1841</v>
      </c>
      <c r="D641" s="6">
        <v>46122</v>
      </c>
      <c r="E641" s="6">
        <v>46132</v>
      </c>
      <c r="F641" s="63">
        <v>181.5</v>
      </c>
      <c r="G641" s="64">
        <f t="shared" si="139"/>
        <v>15972</v>
      </c>
      <c r="H641" s="64">
        <f t="shared" si="140"/>
        <v>15972</v>
      </c>
      <c r="I641" s="70">
        <v>100559</v>
      </c>
      <c r="J641" s="62" t="s">
        <v>1675</v>
      </c>
      <c r="K641" s="8" t="s">
        <v>1676</v>
      </c>
      <c r="L641" s="10">
        <v>46796</v>
      </c>
      <c r="M641" s="62">
        <v>1</v>
      </c>
      <c r="N641" s="8">
        <v>1</v>
      </c>
      <c r="O641" s="62">
        <f t="shared" si="141"/>
        <v>0</v>
      </c>
      <c r="P641" s="70">
        <v>200</v>
      </c>
      <c r="Q641" s="71">
        <v>46139</v>
      </c>
      <c r="R641" s="6">
        <v>46139</v>
      </c>
      <c r="S641" s="64">
        <v>20691</v>
      </c>
      <c r="T641" s="22">
        <v>5</v>
      </c>
      <c r="U641" s="64">
        <f t="shared" si="142"/>
        <v>1034.55</v>
      </c>
      <c r="V641" s="22"/>
      <c r="W641" s="22"/>
      <c r="X641" s="62" t="s">
        <v>793</v>
      </c>
      <c r="Y641" s="62" t="s">
        <v>1120</v>
      </c>
      <c r="Z641" s="62" t="s">
        <v>1863</v>
      </c>
      <c r="AA641" s="65">
        <v>4</v>
      </c>
      <c r="AB641" s="66"/>
      <c r="AC641" s="1" t="s">
        <v>1842</v>
      </c>
      <c r="AD641" s="62" t="str">
        <f>VLOOKUP(X641,'Customer List'!B:C,2,)</f>
        <v>Delhi</v>
      </c>
      <c r="AE641" s="67"/>
      <c r="AF641" s="6"/>
      <c r="AG641" s="62" t="str">
        <f t="shared" si="143"/>
        <v/>
      </c>
      <c r="AH641" s="62" t="str">
        <f t="shared" si="144"/>
        <v>Friday</v>
      </c>
      <c r="AI641" s="62" t="str">
        <f t="shared" si="145"/>
        <v/>
      </c>
      <c r="AJ641" s="62" t="str">
        <f>VLOOKUP(AC641,'Currency Sheet'!A:C,3,)</f>
        <v>DOLLAR</v>
      </c>
      <c r="AK641" s="62" t="str">
        <f>VLOOKUP(X641,'Customer List'!B:D,3,)</f>
        <v>Local</v>
      </c>
    </row>
    <row r="642" spans="1:37" hidden="1" x14ac:dyDescent="0.25">
      <c r="A642" s="62">
        <f t="shared" ref="A642:A705" si="146">A641+1</f>
        <v>628</v>
      </c>
      <c r="B642" s="62" t="s">
        <v>824</v>
      </c>
      <c r="C642" s="62" t="s">
        <v>1841</v>
      </c>
      <c r="D642" s="6">
        <v>46122</v>
      </c>
      <c r="E642" s="6">
        <v>46132</v>
      </c>
      <c r="F642" s="63">
        <v>156.75</v>
      </c>
      <c r="G642" s="64">
        <f t="shared" si="139"/>
        <v>13794</v>
      </c>
      <c r="H642" s="64">
        <f t="shared" si="140"/>
        <v>13794</v>
      </c>
      <c r="I642" s="70">
        <v>100747</v>
      </c>
      <c r="J642" s="62" t="s">
        <v>1677</v>
      </c>
      <c r="K642" s="8" t="s">
        <v>1678</v>
      </c>
      <c r="L642" s="10">
        <v>46851</v>
      </c>
      <c r="M642" s="62">
        <v>1</v>
      </c>
      <c r="N642" s="8">
        <v>1</v>
      </c>
      <c r="O642" s="62">
        <f t="shared" si="141"/>
        <v>0</v>
      </c>
      <c r="P642" s="70">
        <v>141</v>
      </c>
      <c r="Q642" s="71">
        <v>46132</v>
      </c>
      <c r="R642" s="6">
        <v>46133</v>
      </c>
      <c r="S642" s="64">
        <v>22028.6</v>
      </c>
      <c r="T642" s="22">
        <v>5</v>
      </c>
      <c r="U642" s="64">
        <f t="shared" si="142"/>
        <v>1101.43</v>
      </c>
      <c r="V642" s="22">
        <v>0</v>
      </c>
      <c r="W642" s="22">
        <v>147191</v>
      </c>
      <c r="X642" s="62" t="s">
        <v>1834</v>
      </c>
      <c r="Y642" s="62">
        <v>58164559084</v>
      </c>
      <c r="Z642" s="62" t="s">
        <v>1112</v>
      </c>
      <c r="AA642" s="65">
        <v>4</v>
      </c>
      <c r="AB642" s="66"/>
      <c r="AC642" s="1" t="s">
        <v>1842</v>
      </c>
      <c r="AD642" s="62" t="str">
        <f>VLOOKUP(X642,'Customer List'!B:C,2,)</f>
        <v>Kolkata</v>
      </c>
      <c r="AE642" s="67"/>
      <c r="AF642" s="6">
        <v>46134</v>
      </c>
      <c r="AG642" s="62">
        <f t="shared" si="143"/>
        <v>1</v>
      </c>
      <c r="AH642" s="62" t="str">
        <f t="shared" si="144"/>
        <v>Friday</v>
      </c>
      <c r="AI642" s="62" t="str">
        <f t="shared" si="145"/>
        <v>Wednesday</v>
      </c>
      <c r="AJ642" s="62" t="str">
        <f>VLOOKUP(AC642,'Currency Sheet'!A:C,3,)</f>
        <v>DOLLAR</v>
      </c>
      <c r="AK642" s="62" t="str">
        <f>VLOOKUP(X642,'Customer List'!B:D,3,)</f>
        <v>OutStation</v>
      </c>
    </row>
    <row r="643" spans="1:37" hidden="1" x14ac:dyDescent="0.25">
      <c r="A643" s="62">
        <f t="shared" si="146"/>
        <v>629</v>
      </c>
      <c r="B643" s="62" t="s">
        <v>824</v>
      </c>
      <c r="C643" s="62" t="s">
        <v>1841</v>
      </c>
      <c r="D643" s="6">
        <v>46122</v>
      </c>
      <c r="E643" s="6">
        <v>46132</v>
      </c>
      <c r="F643" s="63">
        <v>65.8</v>
      </c>
      <c r="G643" s="64">
        <f t="shared" si="139"/>
        <v>5790.4</v>
      </c>
      <c r="H643" s="64">
        <f t="shared" si="140"/>
        <v>5790.4</v>
      </c>
      <c r="I643" s="70">
        <v>101225</v>
      </c>
      <c r="J643" s="62" t="s">
        <v>1679</v>
      </c>
      <c r="K643" s="8" t="s">
        <v>1680</v>
      </c>
      <c r="L643" s="10">
        <v>47562</v>
      </c>
      <c r="M643" s="62">
        <v>1</v>
      </c>
      <c r="N643" s="8">
        <v>1</v>
      </c>
      <c r="O643" s="62">
        <f t="shared" si="141"/>
        <v>0</v>
      </c>
      <c r="P643" s="70">
        <v>141</v>
      </c>
      <c r="Q643" s="71">
        <v>46132</v>
      </c>
      <c r="R643" s="6">
        <v>46133</v>
      </c>
      <c r="S643" s="64">
        <v>9907.6</v>
      </c>
      <c r="T643" s="22">
        <v>5</v>
      </c>
      <c r="U643" s="64">
        <f t="shared" si="142"/>
        <v>495.38000000000005</v>
      </c>
      <c r="V643" s="22">
        <v>0</v>
      </c>
      <c r="W643" s="22">
        <v>147191</v>
      </c>
      <c r="X643" s="62" t="s">
        <v>1834</v>
      </c>
      <c r="Y643" s="62">
        <v>58164559084</v>
      </c>
      <c r="Z643" s="62" t="s">
        <v>1112</v>
      </c>
      <c r="AA643" s="65">
        <v>4</v>
      </c>
      <c r="AB643" s="66"/>
      <c r="AC643" s="1" t="s">
        <v>1842</v>
      </c>
      <c r="AD643" s="62" t="str">
        <f>VLOOKUP(X643,'Customer List'!B:C,2,)</f>
        <v>Kolkata</v>
      </c>
      <c r="AE643" s="67"/>
      <c r="AF643" s="6">
        <v>46134</v>
      </c>
      <c r="AG643" s="62">
        <f t="shared" si="143"/>
        <v>1</v>
      </c>
      <c r="AH643" s="62" t="str">
        <f t="shared" si="144"/>
        <v>Monday</v>
      </c>
      <c r="AI643" s="62" t="str">
        <f t="shared" si="145"/>
        <v>Wednesday</v>
      </c>
      <c r="AJ643" s="62" t="str">
        <f>VLOOKUP(AC643,'Currency Sheet'!A:C,3,)</f>
        <v>DOLLAR</v>
      </c>
      <c r="AK643" s="62" t="str">
        <f>VLOOKUP(X643,'Customer List'!B:D,3,)</f>
        <v>OutStation</v>
      </c>
    </row>
    <row r="644" spans="1:37" hidden="1" x14ac:dyDescent="0.25">
      <c r="A644" s="62">
        <f t="shared" si="146"/>
        <v>630</v>
      </c>
      <c r="B644" s="62" t="s">
        <v>824</v>
      </c>
      <c r="C644" s="62" t="s">
        <v>1841</v>
      </c>
      <c r="D644" s="6">
        <v>46122</v>
      </c>
      <c r="E644" s="6">
        <v>46132</v>
      </c>
      <c r="F644" s="63">
        <v>154.69999999999999</v>
      </c>
      <c r="G644" s="64">
        <f t="shared" si="139"/>
        <v>13613.599999999999</v>
      </c>
      <c r="H644" s="64">
        <f t="shared" si="140"/>
        <v>13613.599999999999</v>
      </c>
      <c r="I644" s="70">
        <v>103132</v>
      </c>
      <c r="J644" s="62" t="s">
        <v>1681</v>
      </c>
      <c r="K644" s="8" t="s">
        <v>1682</v>
      </c>
      <c r="L644" s="10">
        <v>47562</v>
      </c>
      <c r="M644" s="62">
        <v>1</v>
      </c>
      <c r="N644" s="8">
        <v>1</v>
      </c>
      <c r="O644" s="62">
        <f t="shared" si="141"/>
        <v>0</v>
      </c>
      <c r="P644" s="70">
        <v>160</v>
      </c>
      <c r="Q644" s="71">
        <v>46133</v>
      </c>
      <c r="R644" s="6">
        <v>46133</v>
      </c>
      <c r="S644" s="64">
        <v>23291</v>
      </c>
      <c r="T644" s="22">
        <v>5</v>
      </c>
      <c r="U644" s="64">
        <f t="shared" si="142"/>
        <v>1164.55</v>
      </c>
      <c r="V644" s="22">
        <v>-7.0000000000000007E-2</v>
      </c>
      <c r="W644" s="22">
        <v>24458</v>
      </c>
      <c r="X644" s="62" t="s">
        <v>1111</v>
      </c>
      <c r="Y644" s="62">
        <v>58164560952</v>
      </c>
      <c r="Z644" s="62" t="s">
        <v>1112</v>
      </c>
      <c r="AA644" s="65">
        <v>4</v>
      </c>
      <c r="AB644" s="66"/>
      <c r="AC644" s="1" t="s">
        <v>1842</v>
      </c>
      <c r="AD644" s="62" t="str">
        <f>VLOOKUP(X644,'Customer List'!B:C,2,)</f>
        <v>Kanpur</v>
      </c>
      <c r="AE644" s="67"/>
      <c r="AF644" s="6">
        <v>46135</v>
      </c>
      <c r="AG644" s="62">
        <f t="shared" si="143"/>
        <v>2</v>
      </c>
      <c r="AH644" s="62" t="str">
        <f t="shared" si="144"/>
        <v>Monday</v>
      </c>
      <c r="AI644" s="62" t="str">
        <f t="shared" si="145"/>
        <v>Thursday</v>
      </c>
      <c r="AJ644" s="62" t="str">
        <f>VLOOKUP(AC644,'Currency Sheet'!A:C,3,)</f>
        <v>DOLLAR</v>
      </c>
      <c r="AK644" s="62" t="str">
        <f>VLOOKUP(X644,'Customer List'!B:D,3,)</f>
        <v>OutStation</v>
      </c>
    </row>
    <row r="645" spans="1:37" hidden="1" x14ac:dyDescent="0.25">
      <c r="A645" s="62">
        <f t="shared" si="146"/>
        <v>631</v>
      </c>
      <c r="B645" s="62" t="s">
        <v>824</v>
      </c>
      <c r="C645" s="62" t="s">
        <v>1841</v>
      </c>
      <c r="D645" s="6">
        <v>46122</v>
      </c>
      <c r="E645" s="6">
        <v>46132</v>
      </c>
      <c r="F645" s="63">
        <v>309.75</v>
      </c>
      <c r="G645" s="64">
        <f t="shared" si="139"/>
        <v>27258</v>
      </c>
      <c r="H645" s="64">
        <f t="shared" si="140"/>
        <v>27258</v>
      </c>
      <c r="I645" s="70">
        <v>104528</v>
      </c>
      <c r="J645" s="62" t="s">
        <v>1683</v>
      </c>
      <c r="K645" s="8" t="s">
        <v>1684</v>
      </c>
      <c r="L645" s="10">
        <v>46790</v>
      </c>
      <c r="M645" s="62">
        <v>1</v>
      </c>
      <c r="N645" s="8">
        <v>1</v>
      </c>
      <c r="O645" s="62">
        <f t="shared" si="141"/>
        <v>0</v>
      </c>
      <c r="P645" s="70">
        <v>252</v>
      </c>
      <c r="Q645" s="71">
        <v>46142</v>
      </c>
      <c r="R645" s="6">
        <v>46142</v>
      </c>
      <c r="S645" s="64">
        <v>46462.5</v>
      </c>
      <c r="T645" s="22">
        <v>5</v>
      </c>
      <c r="U645" s="64">
        <f t="shared" si="142"/>
        <v>2323.125</v>
      </c>
      <c r="V645" s="22">
        <v>0</v>
      </c>
      <c r="W645" s="22">
        <v>219476</v>
      </c>
      <c r="X645" s="62" t="s">
        <v>793</v>
      </c>
      <c r="Y645" s="62" t="s">
        <v>1120</v>
      </c>
      <c r="Z645" s="62" t="s">
        <v>1863</v>
      </c>
      <c r="AA645" s="65">
        <v>4</v>
      </c>
      <c r="AB645" s="66"/>
      <c r="AC645" s="1" t="s">
        <v>1842</v>
      </c>
      <c r="AD645" s="62" t="str">
        <f>VLOOKUP(X645,'Customer List'!B:C,2,)</f>
        <v>Delhi</v>
      </c>
      <c r="AE645" s="67"/>
      <c r="AF645" s="6"/>
      <c r="AG645" s="62" t="str">
        <f t="shared" si="143"/>
        <v/>
      </c>
      <c r="AH645" s="62" t="str">
        <f t="shared" si="144"/>
        <v>Tuesday</v>
      </c>
      <c r="AI645" s="62" t="str">
        <f t="shared" si="145"/>
        <v/>
      </c>
      <c r="AJ645" s="62" t="str">
        <f>VLOOKUP(AC645,'Currency Sheet'!A:C,3,)</f>
        <v>DOLLAR</v>
      </c>
      <c r="AK645" s="62" t="str">
        <f>VLOOKUP(X645,'Customer List'!B:D,3,)</f>
        <v>Local</v>
      </c>
    </row>
    <row r="646" spans="1:37" hidden="1" x14ac:dyDescent="0.25">
      <c r="A646" s="62">
        <f t="shared" si="146"/>
        <v>632</v>
      </c>
      <c r="B646" s="62" t="s">
        <v>824</v>
      </c>
      <c r="C646" s="62" t="s">
        <v>1841</v>
      </c>
      <c r="D646" s="6">
        <v>46122</v>
      </c>
      <c r="E646" s="6">
        <v>46132</v>
      </c>
      <c r="F646" s="63">
        <v>309.75</v>
      </c>
      <c r="G646" s="64">
        <f t="shared" si="139"/>
        <v>27258</v>
      </c>
      <c r="H646" s="64">
        <f t="shared" si="140"/>
        <v>27258</v>
      </c>
      <c r="I646" s="70">
        <v>104528</v>
      </c>
      <c r="J646" s="62" t="s">
        <v>1683</v>
      </c>
      <c r="K646" s="8" t="s">
        <v>1684</v>
      </c>
      <c r="L646" s="10">
        <v>46790</v>
      </c>
      <c r="M646" s="62">
        <v>1</v>
      </c>
      <c r="N646" s="8">
        <v>1</v>
      </c>
      <c r="O646" s="62">
        <f t="shared" si="141"/>
        <v>0</v>
      </c>
      <c r="P646" s="70">
        <v>200</v>
      </c>
      <c r="Q646" s="71">
        <v>46139</v>
      </c>
      <c r="R646" s="6">
        <v>46139</v>
      </c>
      <c r="S646" s="64">
        <v>35311.5</v>
      </c>
      <c r="T646" s="22">
        <v>5</v>
      </c>
      <c r="U646" s="64">
        <f t="shared" si="142"/>
        <v>1765.575</v>
      </c>
      <c r="V646" s="22"/>
      <c r="W646" s="22"/>
      <c r="X646" s="62" t="s">
        <v>793</v>
      </c>
      <c r="Y646" s="62" t="s">
        <v>1120</v>
      </c>
      <c r="Z646" s="62" t="s">
        <v>1863</v>
      </c>
      <c r="AA646" s="65">
        <v>4</v>
      </c>
      <c r="AB646" s="66"/>
      <c r="AC646" s="1" t="s">
        <v>1842</v>
      </c>
      <c r="AD646" s="62" t="str">
        <f>VLOOKUP(X646,'Customer List'!B:C,2,)</f>
        <v>Delhi</v>
      </c>
      <c r="AE646" s="67"/>
      <c r="AF646" s="6"/>
      <c r="AG646" s="62" t="str">
        <f t="shared" si="143"/>
        <v/>
      </c>
      <c r="AH646" s="62" t="str">
        <f t="shared" si="144"/>
        <v>Tuesday</v>
      </c>
      <c r="AI646" s="62" t="str">
        <f t="shared" si="145"/>
        <v/>
      </c>
      <c r="AJ646" s="62" t="str">
        <f>VLOOKUP(AC646,'Currency Sheet'!A:C,3,)</f>
        <v>DOLLAR</v>
      </c>
      <c r="AK646" s="62" t="str">
        <f>VLOOKUP(X646,'Customer List'!B:D,3,)</f>
        <v>Local</v>
      </c>
    </row>
    <row r="647" spans="1:37" hidden="1" x14ac:dyDescent="0.25">
      <c r="A647" s="62">
        <f t="shared" si="146"/>
        <v>633</v>
      </c>
      <c r="B647" s="62" t="s">
        <v>824</v>
      </c>
      <c r="C647" s="62" t="s">
        <v>1841</v>
      </c>
      <c r="D647" s="6">
        <v>46122</v>
      </c>
      <c r="E647" s="6">
        <v>46132</v>
      </c>
      <c r="F647" s="63">
        <v>169.5</v>
      </c>
      <c r="G647" s="64">
        <f t="shared" si="139"/>
        <v>14916</v>
      </c>
      <c r="H647" s="64">
        <f t="shared" si="140"/>
        <v>14916</v>
      </c>
      <c r="I647" s="70">
        <v>105037</v>
      </c>
      <c r="J647" s="62" t="s">
        <v>1685</v>
      </c>
      <c r="K647" s="8" t="s">
        <v>1686</v>
      </c>
      <c r="L647" s="10">
        <v>46674</v>
      </c>
      <c r="M647" s="62">
        <v>1</v>
      </c>
      <c r="N647" s="8">
        <v>1</v>
      </c>
      <c r="O647" s="62">
        <f t="shared" si="141"/>
        <v>0</v>
      </c>
      <c r="P647" s="70">
        <v>141</v>
      </c>
      <c r="Q647" s="71">
        <v>46132</v>
      </c>
      <c r="R647" s="6">
        <v>46133</v>
      </c>
      <c r="S647" s="64">
        <v>23820.400000000001</v>
      </c>
      <c r="T647" s="22">
        <v>5</v>
      </c>
      <c r="U647" s="64">
        <f t="shared" si="142"/>
        <v>1191.0200000000002</v>
      </c>
      <c r="V647" s="22">
        <v>0</v>
      </c>
      <c r="W647" s="22">
        <v>147191</v>
      </c>
      <c r="X647" s="62" t="s">
        <v>1834</v>
      </c>
      <c r="Y647" s="62">
        <v>58164559084</v>
      </c>
      <c r="Z647" s="62" t="s">
        <v>1112</v>
      </c>
      <c r="AA647" s="65">
        <v>4</v>
      </c>
      <c r="AB647" s="66"/>
      <c r="AC647" s="1" t="s">
        <v>1842</v>
      </c>
      <c r="AD647" s="62" t="str">
        <f>VLOOKUP(X647,'Customer List'!B:C,2,)</f>
        <v>Kolkata</v>
      </c>
      <c r="AE647" s="67"/>
      <c r="AF647" s="6">
        <v>46134</v>
      </c>
      <c r="AG647" s="62">
        <f t="shared" si="143"/>
        <v>1</v>
      </c>
      <c r="AH647" s="62" t="str">
        <f t="shared" si="144"/>
        <v>Friday</v>
      </c>
      <c r="AI647" s="62" t="str">
        <f t="shared" si="145"/>
        <v>Wednesday</v>
      </c>
      <c r="AJ647" s="62" t="str">
        <f>VLOOKUP(AC647,'Currency Sheet'!A:C,3,)</f>
        <v>DOLLAR</v>
      </c>
      <c r="AK647" s="62" t="str">
        <f>VLOOKUP(X647,'Customer List'!B:D,3,)</f>
        <v>OutStation</v>
      </c>
    </row>
    <row r="648" spans="1:37" hidden="1" x14ac:dyDescent="0.25">
      <c r="A648" s="62">
        <f t="shared" si="146"/>
        <v>634</v>
      </c>
      <c r="B648" s="62" t="s">
        <v>824</v>
      </c>
      <c r="C648" s="62" t="s">
        <v>1841</v>
      </c>
      <c r="D648" s="6">
        <v>46122</v>
      </c>
      <c r="E648" s="6">
        <v>46132</v>
      </c>
      <c r="F648" s="63">
        <v>183.75</v>
      </c>
      <c r="G648" s="64">
        <f t="shared" si="139"/>
        <v>16170</v>
      </c>
      <c r="H648" s="64">
        <f t="shared" si="140"/>
        <v>16170</v>
      </c>
      <c r="I648" s="70">
        <v>121125</v>
      </c>
      <c r="J648" s="62" t="s">
        <v>1687</v>
      </c>
      <c r="K648" s="8" t="s">
        <v>1688</v>
      </c>
      <c r="L648" s="10">
        <v>46965</v>
      </c>
      <c r="M648" s="62">
        <v>1</v>
      </c>
      <c r="N648" s="8">
        <v>1</v>
      </c>
      <c r="O648" s="62">
        <f t="shared" si="141"/>
        <v>0</v>
      </c>
      <c r="P648" s="70">
        <v>200</v>
      </c>
      <c r="Q648" s="71">
        <v>46139</v>
      </c>
      <c r="R648" s="6">
        <v>46139</v>
      </c>
      <c r="S648" s="64">
        <v>20947.5</v>
      </c>
      <c r="T648" s="22">
        <v>5</v>
      </c>
      <c r="U648" s="64">
        <f t="shared" si="142"/>
        <v>1047.375</v>
      </c>
      <c r="V648" s="22"/>
      <c r="W648" s="22"/>
      <c r="X648" s="62" t="s">
        <v>793</v>
      </c>
      <c r="Y648" s="62" t="s">
        <v>1120</v>
      </c>
      <c r="Z648" s="62" t="s">
        <v>1863</v>
      </c>
      <c r="AA648" s="65">
        <v>4</v>
      </c>
      <c r="AB648" s="66"/>
      <c r="AC648" s="1" t="s">
        <v>1842</v>
      </c>
      <c r="AD648" s="62" t="str">
        <f>VLOOKUP(X648,'Customer List'!B:C,2,)</f>
        <v>Delhi</v>
      </c>
      <c r="AE648" s="67"/>
      <c r="AF648" s="6"/>
      <c r="AG648" s="62" t="str">
        <f t="shared" si="143"/>
        <v/>
      </c>
      <c r="AH648" s="62" t="str">
        <f t="shared" si="144"/>
        <v>Tuesday</v>
      </c>
      <c r="AI648" s="62" t="str">
        <f t="shared" si="145"/>
        <v/>
      </c>
      <c r="AJ648" s="62" t="str">
        <f>VLOOKUP(AC648,'Currency Sheet'!A:C,3,)</f>
        <v>DOLLAR</v>
      </c>
      <c r="AK648" s="62" t="str">
        <f>VLOOKUP(X648,'Customer List'!B:D,3,)</f>
        <v>Local</v>
      </c>
    </row>
    <row r="649" spans="1:37" hidden="1" x14ac:dyDescent="0.25">
      <c r="A649" s="62">
        <f t="shared" si="146"/>
        <v>635</v>
      </c>
      <c r="B649" s="62" t="s">
        <v>824</v>
      </c>
      <c r="C649" s="62" t="s">
        <v>1841</v>
      </c>
      <c r="D649" s="6">
        <v>46122</v>
      </c>
      <c r="E649" s="6">
        <v>46132</v>
      </c>
      <c r="F649" s="63">
        <v>183.75</v>
      </c>
      <c r="G649" s="64">
        <f t="shared" si="139"/>
        <v>16170</v>
      </c>
      <c r="H649" s="64">
        <f t="shared" si="140"/>
        <v>16170</v>
      </c>
      <c r="I649" s="70">
        <v>121125</v>
      </c>
      <c r="J649" s="62" t="s">
        <v>1687</v>
      </c>
      <c r="K649" s="8" t="s">
        <v>1688</v>
      </c>
      <c r="L649" s="10">
        <v>46965</v>
      </c>
      <c r="M649" s="62">
        <v>1</v>
      </c>
      <c r="N649" s="8">
        <v>1</v>
      </c>
      <c r="O649" s="62">
        <f t="shared" si="141"/>
        <v>0</v>
      </c>
      <c r="P649" s="70">
        <v>252</v>
      </c>
      <c r="Q649" s="71">
        <v>46142</v>
      </c>
      <c r="R649" s="6">
        <v>46142</v>
      </c>
      <c r="S649" s="64">
        <v>27562.5</v>
      </c>
      <c r="T649" s="22">
        <v>5</v>
      </c>
      <c r="U649" s="64">
        <f t="shared" si="142"/>
        <v>1378.125</v>
      </c>
      <c r="V649" s="22">
        <v>0</v>
      </c>
      <c r="W649" s="22">
        <v>219476</v>
      </c>
      <c r="X649" s="62" t="s">
        <v>793</v>
      </c>
      <c r="Y649" s="62" t="s">
        <v>1120</v>
      </c>
      <c r="Z649" s="62" t="s">
        <v>1863</v>
      </c>
      <c r="AA649" s="65">
        <v>4</v>
      </c>
      <c r="AB649" s="66"/>
      <c r="AC649" s="1" t="s">
        <v>1842</v>
      </c>
      <c r="AD649" s="62" t="str">
        <f>VLOOKUP(X649,'Customer List'!B:C,2,)</f>
        <v>Delhi</v>
      </c>
      <c r="AE649" s="67"/>
      <c r="AF649" s="6"/>
      <c r="AG649" s="62" t="str">
        <f t="shared" si="143"/>
        <v/>
      </c>
      <c r="AH649" s="62" t="str">
        <f t="shared" si="144"/>
        <v>Tuesday</v>
      </c>
      <c r="AI649" s="62" t="str">
        <f t="shared" si="145"/>
        <v/>
      </c>
      <c r="AJ649" s="62" t="str">
        <f>VLOOKUP(AC649,'Currency Sheet'!A:C,3,)</f>
        <v>DOLLAR</v>
      </c>
      <c r="AK649" s="62" t="str">
        <f>VLOOKUP(X649,'Customer List'!B:D,3,)</f>
        <v>Local</v>
      </c>
    </row>
    <row r="650" spans="1:37" hidden="1" x14ac:dyDescent="0.25">
      <c r="A650" s="62">
        <f t="shared" si="146"/>
        <v>636</v>
      </c>
      <c r="B650" s="62" t="s">
        <v>824</v>
      </c>
      <c r="C650" s="62" t="s">
        <v>1841</v>
      </c>
      <c r="D650" s="6">
        <v>46122</v>
      </c>
      <c r="E650" s="6">
        <v>46132</v>
      </c>
      <c r="F650" s="63">
        <v>100.1</v>
      </c>
      <c r="G650" s="64">
        <f t="shared" ref="G650:G713" si="147">IF(AJ650="DOLLAR",F650*88,F650)</f>
        <v>8808.7999999999993</v>
      </c>
      <c r="H650" s="64">
        <f t="shared" ref="H650:H713" si="148">G650*M650</f>
        <v>8808.7999999999993</v>
      </c>
      <c r="I650" s="70">
        <v>123116</v>
      </c>
      <c r="J650" s="62" t="s">
        <v>1689</v>
      </c>
      <c r="K650" s="8" t="s">
        <v>1488</v>
      </c>
      <c r="L650" s="10">
        <v>47640</v>
      </c>
      <c r="M650" s="62">
        <v>1</v>
      </c>
      <c r="N650" s="8">
        <v>1</v>
      </c>
      <c r="O650" s="62">
        <f t="shared" ref="O650:O713" si="149">M650-N650</f>
        <v>0</v>
      </c>
      <c r="P650" s="70" t="s">
        <v>1874</v>
      </c>
      <c r="Q650" s="71">
        <v>46133</v>
      </c>
      <c r="R650" s="6">
        <v>46133</v>
      </c>
      <c r="S650" s="64">
        <v>0</v>
      </c>
      <c r="T650" s="22">
        <v>5</v>
      </c>
      <c r="U650" s="64">
        <f t="shared" ref="U650:U713" si="150">S650*T650%</f>
        <v>0</v>
      </c>
      <c r="V650" s="22">
        <v>0</v>
      </c>
      <c r="W650" s="22">
        <v>0</v>
      </c>
      <c r="X650" s="62" t="s">
        <v>1111</v>
      </c>
      <c r="Y650" s="62">
        <v>58164560952</v>
      </c>
      <c r="Z650" s="62" t="s">
        <v>1112</v>
      </c>
      <c r="AA650" s="65">
        <v>4</v>
      </c>
      <c r="AB650" s="66" t="s">
        <v>1875</v>
      </c>
      <c r="AC650" s="1" t="s">
        <v>1842</v>
      </c>
      <c r="AD650" s="62" t="str">
        <f>VLOOKUP(X650,'Customer List'!B:C,2,)</f>
        <v>Kanpur</v>
      </c>
      <c r="AE650" s="67"/>
      <c r="AF650" s="6">
        <v>46135</v>
      </c>
      <c r="AG650" s="62">
        <f t="shared" ref="AG650:AG713" si="151">IF(AF650="", "", AF650-R650)</f>
        <v>2</v>
      </c>
      <c r="AH650" s="62" t="str">
        <f t="shared" ref="AH650:AH713" si="152">IF(S650="", "", TEXT(S650, "dddd"))</f>
        <v>Saturday</v>
      </c>
      <c r="AI650" s="62" t="str">
        <f t="shared" si="145"/>
        <v>Thursday</v>
      </c>
      <c r="AJ650" s="62" t="str">
        <f>VLOOKUP(AC650,'Currency Sheet'!A:C,3,)</f>
        <v>DOLLAR</v>
      </c>
      <c r="AK650" s="62" t="str">
        <f>VLOOKUP(X650,'Customer List'!B:D,3,)</f>
        <v>OutStation</v>
      </c>
    </row>
    <row r="651" spans="1:37" hidden="1" x14ac:dyDescent="0.25">
      <c r="A651" s="62">
        <f t="shared" si="146"/>
        <v>637</v>
      </c>
      <c r="B651" s="62" t="s">
        <v>824</v>
      </c>
      <c r="C651" s="62" t="s">
        <v>1841</v>
      </c>
      <c r="D651" s="6">
        <v>46122</v>
      </c>
      <c r="E651" s="6">
        <v>46132</v>
      </c>
      <c r="F651" s="63">
        <v>61.6</v>
      </c>
      <c r="G651" s="64">
        <f t="shared" si="147"/>
        <v>5420.8</v>
      </c>
      <c r="H651" s="64">
        <f t="shared" si="148"/>
        <v>5420.8</v>
      </c>
      <c r="I651" s="70">
        <v>124311</v>
      </c>
      <c r="J651" s="62" t="s">
        <v>1690</v>
      </c>
      <c r="K651" s="8" t="s">
        <v>1691</v>
      </c>
      <c r="L651" s="10">
        <v>46712</v>
      </c>
      <c r="M651" s="62">
        <v>1</v>
      </c>
      <c r="N651" s="8">
        <v>1</v>
      </c>
      <c r="O651" s="62">
        <f t="shared" si="149"/>
        <v>0</v>
      </c>
      <c r="P651" s="70">
        <v>142</v>
      </c>
      <c r="Q651" s="71">
        <v>46132</v>
      </c>
      <c r="R651" s="6">
        <v>46133</v>
      </c>
      <c r="S651" s="64">
        <v>9548</v>
      </c>
      <c r="T651" s="22">
        <v>5</v>
      </c>
      <c r="U651" s="64">
        <f t="shared" si="150"/>
        <v>477.40000000000003</v>
      </c>
      <c r="V651" s="22">
        <v>0.05</v>
      </c>
      <c r="W651" s="22">
        <v>28937</v>
      </c>
      <c r="X651" s="62" t="s">
        <v>1835</v>
      </c>
      <c r="Y651" s="62">
        <v>58164554044</v>
      </c>
      <c r="Z651" s="62" t="s">
        <v>1112</v>
      </c>
      <c r="AA651" s="65">
        <v>4</v>
      </c>
      <c r="AB651" s="66"/>
      <c r="AC651" s="1" t="s">
        <v>1842</v>
      </c>
      <c r="AD651" s="62" t="str">
        <f>VLOOKUP(X651,'Customer List'!B:C,2,)</f>
        <v>Lucknow</v>
      </c>
      <c r="AE651" s="67"/>
      <c r="AF651" s="6">
        <v>46135</v>
      </c>
      <c r="AG651" s="62">
        <f t="shared" si="151"/>
        <v>2</v>
      </c>
      <c r="AH651" s="62" t="str">
        <f t="shared" si="152"/>
        <v>Saturday</v>
      </c>
      <c r="AI651" s="62" t="str">
        <f t="shared" si="145"/>
        <v>Thursday</v>
      </c>
      <c r="AJ651" s="62" t="str">
        <f>VLOOKUP(AC651,'Currency Sheet'!A:C,3,)</f>
        <v>DOLLAR</v>
      </c>
      <c r="AK651" s="62" t="str">
        <f>VLOOKUP(X651,'Customer List'!B:D,3,)</f>
        <v>OutStation</v>
      </c>
    </row>
    <row r="652" spans="1:37" hidden="1" x14ac:dyDescent="0.25">
      <c r="A652" s="62">
        <f t="shared" si="146"/>
        <v>638</v>
      </c>
      <c r="B652" s="62" t="s">
        <v>824</v>
      </c>
      <c r="C652" s="62" t="s">
        <v>1841</v>
      </c>
      <c r="D652" s="6">
        <v>46122</v>
      </c>
      <c r="E652" s="6">
        <v>46132</v>
      </c>
      <c r="F652" s="63">
        <v>62.3</v>
      </c>
      <c r="G652" s="64">
        <f t="shared" si="147"/>
        <v>5482.4</v>
      </c>
      <c r="H652" s="64">
        <f t="shared" si="148"/>
        <v>5482.4</v>
      </c>
      <c r="I652" s="70">
        <v>127605</v>
      </c>
      <c r="J652" s="62" t="s">
        <v>1692</v>
      </c>
      <c r="K652" s="8" t="s">
        <v>1693</v>
      </c>
      <c r="L652" s="10">
        <v>47918</v>
      </c>
      <c r="M652" s="62">
        <v>1</v>
      </c>
      <c r="N652" s="8">
        <v>1</v>
      </c>
      <c r="O652" s="62">
        <f t="shared" si="149"/>
        <v>0</v>
      </c>
      <c r="P652" s="70">
        <v>141</v>
      </c>
      <c r="Q652" s="71">
        <v>46132</v>
      </c>
      <c r="R652" s="6">
        <v>46133</v>
      </c>
      <c r="S652" s="64">
        <v>9380.6</v>
      </c>
      <c r="T652" s="22">
        <v>5</v>
      </c>
      <c r="U652" s="64">
        <f t="shared" si="150"/>
        <v>469.03000000000003</v>
      </c>
      <c r="V652" s="22">
        <v>0</v>
      </c>
      <c r="W652" s="22">
        <v>147191</v>
      </c>
      <c r="X652" s="62" t="s">
        <v>1834</v>
      </c>
      <c r="Y652" s="62">
        <v>58164559084</v>
      </c>
      <c r="Z652" s="62" t="s">
        <v>1112</v>
      </c>
      <c r="AA652" s="65">
        <v>4</v>
      </c>
      <c r="AB652" s="66"/>
      <c r="AC652" s="1" t="s">
        <v>1842</v>
      </c>
      <c r="AD652" s="62" t="str">
        <f>VLOOKUP(X652,'Customer List'!B:C,2,)</f>
        <v>Kolkata</v>
      </c>
      <c r="AE652" s="67"/>
      <c r="AF652" s="6">
        <v>46134</v>
      </c>
      <c r="AG652" s="62">
        <f t="shared" si="151"/>
        <v>1</v>
      </c>
      <c r="AH652" s="62" t="str">
        <f t="shared" si="152"/>
        <v>Saturday</v>
      </c>
      <c r="AI652" s="62" t="str">
        <f t="shared" si="145"/>
        <v>Wednesday</v>
      </c>
      <c r="AJ652" s="62" t="str">
        <f>VLOOKUP(AC652,'Currency Sheet'!A:C,3,)</f>
        <v>DOLLAR</v>
      </c>
      <c r="AK652" s="62" t="str">
        <f>VLOOKUP(X652,'Customer List'!B:D,3,)</f>
        <v>OutStation</v>
      </c>
    </row>
    <row r="653" spans="1:37" hidden="1" x14ac:dyDescent="0.25">
      <c r="A653" s="62">
        <f t="shared" si="146"/>
        <v>639</v>
      </c>
      <c r="B653" s="62" t="s">
        <v>824</v>
      </c>
      <c r="C653" s="62" t="s">
        <v>1841</v>
      </c>
      <c r="D653" s="6">
        <v>46122</v>
      </c>
      <c r="E653" s="6">
        <v>46132</v>
      </c>
      <c r="F653" s="63">
        <v>161.25</v>
      </c>
      <c r="G653" s="64">
        <f t="shared" si="147"/>
        <v>14190</v>
      </c>
      <c r="H653" s="64">
        <f t="shared" si="148"/>
        <v>14190</v>
      </c>
      <c r="I653" s="70">
        <v>155537</v>
      </c>
      <c r="J653" s="62" t="s">
        <v>1694</v>
      </c>
      <c r="K653" s="8" t="s">
        <v>1695</v>
      </c>
      <c r="L653" s="10">
        <v>46625</v>
      </c>
      <c r="M653" s="62">
        <v>1</v>
      </c>
      <c r="N653" s="8">
        <v>1</v>
      </c>
      <c r="O653" s="62">
        <f t="shared" si="149"/>
        <v>0</v>
      </c>
      <c r="P653" s="70">
        <v>141</v>
      </c>
      <c r="Q653" s="71">
        <v>46132</v>
      </c>
      <c r="R653" s="6">
        <v>46133</v>
      </c>
      <c r="S653" s="64">
        <v>22661</v>
      </c>
      <c r="T653" s="22">
        <v>5</v>
      </c>
      <c r="U653" s="64">
        <f t="shared" si="150"/>
        <v>1133.05</v>
      </c>
      <c r="V653" s="22">
        <v>0</v>
      </c>
      <c r="W653" s="22">
        <v>147191</v>
      </c>
      <c r="X653" s="62" t="s">
        <v>1834</v>
      </c>
      <c r="Y653" s="62">
        <v>58164559084</v>
      </c>
      <c r="Z653" s="62" t="s">
        <v>1112</v>
      </c>
      <c r="AA653" s="65">
        <v>4</v>
      </c>
      <c r="AB653" s="66"/>
      <c r="AC653" s="1" t="s">
        <v>1842</v>
      </c>
      <c r="AD653" s="62" t="str">
        <f>VLOOKUP(X653,'Customer List'!B:C,2,)</f>
        <v>Kolkata</v>
      </c>
      <c r="AE653" s="67"/>
      <c r="AF653" s="6">
        <v>46134</v>
      </c>
      <c r="AG653" s="62">
        <f t="shared" si="151"/>
        <v>1</v>
      </c>
      <c r="AH653" s="62" t="str">
        <f t="shared" si="152"/>
        <v>Monday</v>
      </c>
      <c r="AI653" s="62" t="str">
        <f t="shared" si="145"/>
        <v>Wednesday</v>
      </c>
      <c r="AJ653" s="62" t="str">
        <f>VLOOKUP(AC653,'Currency Sheet'!A:C,3,)</f>
        <v>DOLLAR</v>
      </c>
      <c r="AK653" s="62" t="str">
        <f>VLOOKUP(X653,'Customer List'!B:D,3,)</f>
        <v>OutStation</v>
      </c>
    </row>
    <row r="654" spans="1:37" hidden="1" x14ac:dyDescent="0.25">
      <c r="A654" s="62">
        <f t="shared" si="146"/>
        <v>640</v>
      </c>
      <c r="B654" s="62" t="s">
        <v>824</v>
      </c>
      <c r="C654" s="62" t="s">
        <v>1841</v>
      </c>
      <c r="D654" s="6">
        <v>46122</v>
      </c>
      <c r="E654" s="6">
        <v>46132</v>
      </c>
      <c r="F654" s="63">
        <v>45.5</v>
      </c>
      <c r="G654" s="64">
        <f t="shared" si="147"/>
        <v>4004</v>
      </c>
      <c r="H654" s="64">
        <f t="shared" si="148"/>
        <v>4004</v>
      </c>
      <c r="I654" s="70">
        <v>156603</v>
      </c>
      <c r="J654" s="62" t="s">
        <v>1696</v>
      </c>
      <c r="K654" s="8" t="s">
        <v>1697</v>
      </c>
      <c r="L654" s="10">
        <v>47412</v>
      </c>
      <c r="M654" s="62">
        <v>1</v>
      </c>
      <c r="N654" s="8">
        <v>1</v>
      </c>
      <c r="O654" s="62">
        <f t="shared" si="149"/>
        <v>0</v>
      </c>
      <c r="P654" s="70">
        <v>141</v>
      </c>
      <c r="Q654" s="71">
        <v>46132</v>
      </c>
      <c r="R654" s="6">
        <v>46133</v>
      </c>
      <c r="S654" s="64">
        <v>6851</v>
      </c>
      <c r="T654" s="22">
        <v>5</v>
      </c>
      <c r="U654" s="64">
        <f t="shared" si="150"/>
        <v>342.55</v>
      </c>
      <c r="V654" s="22">
        <v>0</v>
      </c>
      <c r="W654" s="22">
        <v>147191</v>
      </c>
      <c r="X654" s="62" t="s">
        <v>1834</v>
      </c>
      <c r="Y654" s="62">
        <v>58164559084</v>
      </c>
      <c r="Z654" s="62" t="s">
        <v>1112</v>
      </c>
      <c r="AA654" s="65">
        <v>4</v>
      </c>
      <c r="AB654" s="66"/>
      <c r="AC654" s="1" t="s">
        <v>1842</v>
      </c>
      <c r="AD654" s="62" t="str">
        <f>VLOOKUP(X654,'Customer List'!B:C,2,)</f>
        <v>Kolkata</v>
      </c>
      <c r="AE654" s="67"/>
      <c r="AF654" s="6">
        <v>46134</v>
      </c>
      <c r="AG654" s="62">
        <f t="shared" si="151"/>
        <v>1</v>
      </c>
      <c r="AH654" s="62" t="str">
        <f t="shared" si="152"/>
        <v>Thursday</v>
      </c>
      <c r="AI654" s="62" t="str">
        <f t="shared" si="145"/>
        <v>Wednesday</v>
      </c>
      <c r="AJ654" s="62" t="str">
        <f>VLOOKUP(AC654,'Currency Sheet'!A:C,3,)</f>
        <v>DOLLAR</v>
      </c>
      <c r="AK654" s="62" t="str">
        <f>VLOOKUP(X654,'Customer List'!B:D,3,)</f>
        <v>OutStation</v>
      </c>
    </row>
    <row r="655" spans="1:37" hidden="1" x14ac:dyDescent="0.25">
      <c r="A655" s="62">
        <f t="shared" si="146"/>
        <v>641</v>
      </c>
      <c r="B655" s="62" t="s">
        <v>824</v>
      </c>
      <c r="C655" s="62" t="s">
        <v>1841</v>
      </c>
      <c r="D655" s="6">
        <v>46122</v>
      </c>
      <c r="E655" s="6">
        <v>46132</v>
      </c>
      <c r="F655" s="63">
        <v>46.2</v>
      </c>
      <c r="G655" s="64">
        <f t="shared" si="147"/>
        <v>4065.6000000000004</v>
      </c>
      <c r="H655" s="64">
        <f t="shared" si="148"/>
        <v>4065.6000000000004</v>
      </c>
      <c r="I655" s="70">
        <v>300508</v>
      </c>
      <c r="J655" s="62" t="s">
        <v>1698</v>
      </c>
      <c r="K655" s="8" t="s">
        <v>1699</v>
      </c>
      <c r="L655" s="10">
        <v>47240</v>
      </c>
      <c r="M655" s="62">
        <v>1</v>
      </c>
      <c r="N655" s="8">
        <v>1</v>
      </c>
      <c r="O655" s="62">
        <f t="shared" si="149"/>
        <v>0</v>
      </c>
      <c r="P655" s="70">
        <v>151</v>
      </c>
      <c r="Q655" s="71">
        <v>46132</v>
      </c>
      <c r="R655" s="6">
        <v>46133</v>
      </c>
      <c r="S655" s="64">
        <v>7365.6</v>
      </c>
      <c r="T655" s="22">
        <v>5</v>
      </c>
      <c r="U655" s="64">
        <f t="shared" si="150"/>
        <v>368.28000000000003</v>
      </c>
      <c r="V655" s="22">
        <v>-0.18</v>
      </c>
      <c r="W655" s="22">
        <v>101610</v>
      </c>
      <c r="X655" s="62" t="s">
        <v>1098</v>
      </c>
      <c r="Y655" s="62">
        <v>58164559703</v>
      </c>
      <c r="Z655" s="62" t="s">
        <v>1112</v>
      </c>
      <c r="AA655" s="65">
        <v>4</v>
      </c>
      <c r="AB655" s="66"/>
      <c r="AC655" s="1" t="s">
        <v>1842</v>
      </c>
      <c r="AD655" s="62" t="str">
        <f>VLOOKUP(X655,'Customer List'!B:C,2,)</f>
        <v>Banglore</v>
      </c>
      <c r="AE655" s="67"/>
      <c r="AF655" s="6">
        <v>46134</v>
      </c>
      <c r="AG655" s="62">
        <f t="shared" si="151"/>
        <v>1</v>
      </c>
      <c r="AH655" s="62" t="str">
        <f t="shared" si="152"/>
        <v>Sunday</v>
      </c>
      <c r="AI655" s="62" t="str">
        <f t="shared" si="145"/>
        <v>Wednesday</v>
      </c>
      <c r="AJ655" s="62" t="str">
        <f>VLOOKUP(AC655,'Currency Sheet'!A:C,3,)</f>
        <v>DOLLAR</v>
      </c>
      <c r="AK655" s="62" t="str">
        <f>VLOOKUP(X655,'Customer List'!B:D,3,)</f>
        <v>OutStation</v>
      </c>
    </row>
    <row r="656" spans="1:37" hidden="1" x14ac:dyDescent="0.25">
      <c r="A656" s="62">
        <f t="shared" si="146"/>
        <v>642</v>
      </c>
      <c r="B656" s="62" t="s">
        <v>824</v>
      </c>
      <c r="C656" s="62" t="s">
        <v>1841</v>
      </c>
      <c r="D656" s="6">
        <v>46122</v>
      </c>
      <c r="E656" s="6">
        <v>46132</v>
      </c>
      <c r="F656" s="63">
        <v>58.8</v>
      </c>
      <c r="G656" s="64">
        <f t="shared" si="147"/>
        <v>5174.3999999999996</v>
      </c>
      <c r="H656" s="64">
        <f t="shared" si="148"/>
        <v>5174.3999999999996</v>
      </c>
      <c r="I656" s="70">
        <v>300605</v>
      </c>
      <c r="J656" s="62" t="s">
        <v>1700</v>
      </c>
      <c r="K656" s="8" t="s">
        <v>1701</v>
      </c>
      <c r="L656" s="10">
        <v>47289</v>
      </c>
      <c r="M656" s="62">
        <v>1</v>
      </c>
      <c r="N656" s="8">
        <v>1</v>
      </c>
      <c r="O656" s="62">
        <f t="shared" si="149"/>
        <v>0</v>
      </c>
      <c r="P656" s="70">
        <v>146</v>
      </c>
      <c r="Q656" s="71">
        <v>46132</v>
      </c>
      <c r="R656" s="6">
        <v>46133</v>
      </c>
      <c r="S656" s="64">
        <v>9114</v>
      </c>
      <c r="T656" s="22">
        <v>5</v>
      </c>
      <c r="U656" s="64">
        <f t="shared" si="150"/>
        <v>455.70000000000005</v>
      </c>
      <c r="V656" s="22">
        <v>-7.0000000000000007E-2</v>
      </c>
      <c r="W656" s="22">
        <v>53089</v>
      </c>
      <c r="X656" s="62" t="s">
        <v>1836</v>
      </c>
      <c r="Y656" s="62">
        <v>58164556354</v>
      </c>
      <c r="Z656" s="62" t="s">
        <v>1112</v>
      </c>
      <c r="AA656" s="65">
        <v>4</v>
      </c>
      <c r="AB656" s="66"/>
      <c r="AC656" s="1" t="s">
        <v>1842</v>
      </c>
      <c r="AD656" s="62" t="str">
        <f>VLOOKUP(X656,'Customer List'!B:C,2,)</f>
        <v>Chennai</v>
      </c>
      <c r="AE656" s="67"/>
      <c r="AF656" s="6">
        <v>46134</v>
      </c>
      <c r="AG656" s="62">
        <f t="shared" si="151"/>
        <v>1</v>
      </c>
      <c r="AH656" s="62" t="str">
        <f t="shared" si="152"/>
        <v>Saturday</v>
      </c>
      <c r="AI656" s="62" t="str">
        <f t="shared" si="145"/>
        <v>Wednesday</v>
      </c>
      <c r="AJ656" s="62" t="str">
        <f>VLOOKUP(AC656,'Currency Sheet'!A:C,3,)</f>
        <v>DOLLAR</v>
      </c>
      <c r="AK656" s="62" t="str">
        <f>VLOOKUP(X656,'Customer List'!B:D,3,)</f>
        <v>OutStation</v>
      </c>
    </row>
    <row r="657" spans="1:37" hidden="1" x14ac:dyDescent="0.25">
      <c r="A657" s="62">
        <f t="shared" si="146"/>
        <v>643</v>
      </c>
      <c r="B657" s="62" t="s">
        <v>824</v>
      </c>
      <c r="C657" s="62" t="s">
        <v>1841</v>
      </c>
      <c r="D657" s="6">
        <v>46122</v>
      </c>
      <c r="E657" s="6">
        <v>46132</v>
      </c>
      <c r="F657" s="63">
        <v>82.6</v>
      </c>
      <c r="G657" s="64">
        <f t="shared" si="147"/>
        <v>7268.7999999999993</v>
      </c>
      <c r="H657" s="64">
        <f t="shared" si="148"/>
        <v>7268.7999999999993</v>
      </c>
      <c r="I657" s="70">
        <v>300912</v>
      </c>
      <c r="J657" s="62" t="s">
        <v>1702</v>
      </c>
      <c r="K657" s="8" t="s">
        <v>1703</v>
      </c>
      <c r="L657" s="10">
        <v>46559</v>
      </c>
      <c r="M657" s="62">
        <v>1</v>
      </c>
      <c r="N657" s="8">
        <v>1</v>
      </c>
      <c r="O657" s="62">
        <f t="shared" si="149"/>
        <v>0</v>
      </c>
      <c r="P657" s="70">
        <v>151</v>
      </c>
      <c r="Q657" s="71">
        <v>46132</v>
      </c>
      <c r="R657" s="6">
        <v>46133</v>
      </c>
      <c r="S657" s="64">
        <v>13168.8</v>
      </c>
      <c r="T657" s="22">
        <v>5</v>
      </c>
      <c r="U657" s="64">
        <f t="shared" si="150"/>
        <v>658.44</v>
      </c>
      <c r="V657" s="22">
        <v>0</v>
      </c>
      <c r="W657" s="22">
        <v>101610</v>
      </c>
      <c r="X657" s="62" t="s">
        <v>1098</v>
      </c>
      <c r="Y657" s="62">
        <v>58164559703</v>
      </c>
      <c r="Z657" s="62" t="s">
        <v>1112</v>
      </c>
      <c r="AA657" s="65">
        <v>4</v>
      </c>
      <c r="AB657" s="66"/>
      <c r="AC657" s="1" t="s">
        <v>1842</v>
      </c>
      <c r="AD657" s="62" t="str">
        <f>VLOOKUP(X657,'Customer List'!B:C,2,)</f>
        <v>Banglore</v>
      </c>
      <c r="AE657" s="67"/>
      <c r="AF657" s="6">
        <v>46134</v>
      </c>
      <c r="AG657" s="62">
        <f t="shared" si="151"/>
        <v>1</v>
      </c>
      <c r="AH657" s="62" t="str">
        <f t="shared" si="152"/>
        <v>Sunday</v>
      </c>
      <c r="AI657" s="62" t="str">
        <f t="shared" si="145"/>
        <v>Wednesday</v>
      </c>
      <c r="AJ657" s="62" t="str">
        <f>VLOOKUP(AC657,'Currency Sheet'!A:C,3,)</f>
        <v>DOLLAR</v>
      </c>
      <c r="AK657" s="62" t="str">
        <f>VLOOKUP(X657,'Customer List'!B:D,3,)</f>
        <v>OutStation</v>
      </c>
    </row>
    <row r="658" spans="1:37" hidden="1" x14ac:dyDescent="0.25">
      <c r="A658" s="62">
        <f t="shared" si="146"/>
        <v>644</v>
      </c>
      <c r="B658" s="62" t="s">
        <v>824</v>
      </c>
      <c r="C658" s="62" t="s">
        <v>1841</v>
      </c>
      <c r="D658" s="6">
        <v>46122</v>
      </c>
      <c r="E658" s="6">
        <v>46132</v>
      </c>
      <c r="F658" s="63">
        <v>45.5</v>
      </c>
      <c r="G658" s="64">
        <f t="shared" si="147"/>
        <v>4004</v>
      </c>
      <c r="H658" s="64">
        <f t="shared" si="148"/>
        <v>4004</v>
      </c>
      <c r="I658" s="70">
        <v>301805</v>
      </c>
      <c r="J658" s="62" t="s">
        <v>1704</v>
      </c>
      <c r="K658" s="8" t="s">
        <v>1705</v>
      </c>
      <c r="L658" s="10">
        <v>47695</v>
      </c>
      <c r="M658" s="62">
        <v>1</v>
      </c>
      <c r="N658" s="8">
        <v>1</v>
      </c>
      <c r="O658" s="62">
        <f t="shared" si="149"/>
        <v>0</v>
      </c>
      <c r="P658" s="70">
        <v>146</v>
      </c>
      <c r="Q658" s="71">
        <v>46132</v>
      </c>
      <c r="R658" s="6">
        <v>46133</v>
      </c>
      <c r="S658" s="64">
        <v>7052.5</v>
      </c>
      <c r="T658" s="22">
        <v>5</v>
      </c>
      <c r="U658" s="64">
        <f t="shared" si="150"/>
        <v>352.625</v>
      </c>
      <c r="V658" s="22">
        <v>0</v>
      </c>
      <c r="W658" s="22">
        <v>53089</v>
      </c>
      <c r="X658" s="62" t="s">
        <v>1836</v>
      </c>
      <c r="Y658" s="62">
        <v>58164556354</v>
      </c>
      <c r="Z658" s="62" t="s">
        <v>1112</v>
      </c>
      <c r="AA658" s="65">
        <v>4</v>
      </c>
      <c r="AB658" s="66"/>
      <c r="AC658" s="1" t="s">
        <v>1842</v>
      </c>
      <c r="AD658" s="62" t="str">
        <f>VLOOKUP(X658,'Customer List'!B:C,2,)</f>
        <v>Chennai</v>
      </c>
      <c r="AE658" s="67"/>
      <c r="AF658" s="6">
        <v>46134</v>
      </c>
      <c r="AG658" s="62">
        <f t="shared" si="151"/>
        <v>1</v>
      </c>
      <c r="AH658" s="62" t="str">
        <f t="shared" si="152"/>
        <v>Tuesday</v>
      </c>
      <c r="AI658" s="62" t="str">
        <f t="shared" si="145"/>
        <v>Wednesday</v>
      </c>
      <c r="AJ658" s="62" t="str">
        <f>VLOOKUP(AC658,'Currency Sheet'!A:C,3,)</f>
        <v>DOLLAR</v>
      </c>
      <c r="AK658" s="62" t="str">
        <f>VLOOKUP(X658,'Customer List'!B:D,3,)</f>
        <v>OutStation</v>
      </c>
    </row>
    <row r="659" spans="1:37" hidden="1" x14ac:dyDescent="0.25">
      <c r="A659" s="62">
        <f t="shared" si="146"/>
        <v>645</v>
      </c>
      <c r="B659" s="62" t="s">
        <v>824</v>
      </c>
      <c r="C659" s="62" t="s">
        <v>1841</v>
      </c>
      <c r="D659" s="6">
        <v>46122</v>
      </c>
      <c r="E659" s="6">
        <v>46132</v>
      </c>
      <c r="F659" s="63">
        <v>73.5</v>
      </c>
      <c r="G659" s="64">
        <f t="shared" si="147"/>
        <v>6468</v>
      </c>
      <c r="H659" s="64">
        <f t="shared" si="148"/>
        <v>6468</v>
      </c>
      <c r="I659" s="70">
        <v>302212</v>
      </c>
      <c r="J659" s="62" t="s">
        <v>1706</v>
      </c>
      <c r="K659" s="8" t="s">
        <v>952</v>
      </c>
      <c r="L659" s="10">
        <v>47821</v>
      </c>
      <c r="M659" s="62">
        <v>1</v>
      </c>
      <c r="N659" s="8">
        <v>1</v>
      </c>
      <c r="O659" s="62">
        <f t="shared" si="149"/>
        <v>0</v>
      </c>
      <c r="P659" s="70">
        <v>138</v>
      </c>
      <c r="Q659" s="71">
        <v>46132</v>
      </c>
      <c r="R659" s="6">
        <v>46132</v>
      </c>
      <c r="S659" s="64">
        <v>10290</v>
      </c>
      <c r="T659" s="22">
        <v>5</v>
      </c>
      <c r="U659" s="64">
        <f t="shared" si="150"/>
        <v>514.5</v>
      </c>
      <c r="V659" s="22">
        <v>0.1</v>
      </c>
      <c r="W659" s="22">
        <v>37147</v>
      </c>
      <c r="X659" s="62" t="s">
        <v>23</v>
      </c>
      <c r="Y659" s="62" t="s">
        <v>1105</v>
      </c>
      <c r="Z659" s="62" t="s">
        <v>1105</v>
      </c>
      <c r="AA659" s="65">
        <v>4</v>
      </c>
      <c r="AB659" s="66"/>
      <c r="AC659" s="1" t="s">
        <v>1842</v>
      </c>
      <c r="AD659" s="62" t="str">
        <f>VLOOKUP(X659,'Customer List'!B:C,2,)</f>
        <v>Delhi</v>
      </c>
      <c r="AE659" s="67"/>
      <c r="AF659" s="6"/>
      <c r="AG659" s="62" t="str">
        <f t="shared" si="151"/>
        <v/>
      </c>
      <c r="AH659" s="62" t="str">
        <f t="shared" si="152"/>
        <v>Saturday</v>
      </c>
      <c r="AI659" s="62" t="str">
        <f t="shared" si="145"/>
        <v/>
      </c>
      <c r="AJ659" s="62" t="str">
        <f>VLOOKUP(AC659,'Currency Sheet'!A:C,3,)</f>
        <v>DOLLAR</v>
      </c>
      <c r="AK659" s="62" t="str">
        <f>VLOOKUP(X659,'Customer List'!B:D,3,)</f>
        <v>Local</v>
      </c>
    </row>
    <row r="660" spans="1:37" hidden="1" x14ac:dyDescent="0.25">
      <c r="A660" s="62">
        <f t="shared" si="146"/>
        <v>646</v>
      </c>
      <c r="B660" s="62" t="s">
        <v>824</v>
      </c>
      <c r="C660" s="62" t="s">
        <v>1841</v>
      </c>
      <c r="D660" s="6">
        <v>46122</v>
      </c>
      <c r="E660" s="6">
        <v>46132</v>
      </c>
      <c r="F660" s="63">
        <v>133.69999999999999</v>
      </c>
      <c r="G660" s="64">
        <f t="shared" si="147"/>
        <v>11765.599999999999</v>
      </c>
      <c r="H660" s="64">
        <f t="shared" si="148"/>
        <v>11765.599999999999</v>
      </c>
      <c r="I660" s="70">
        <v>303704</v>
      </c>
      <c r="J660" s="62" t="s">
        <v>1707</v>
      </c>
      <c r="K660" s="8" t="s">
        <v>1708</v>
      </c>
      <c r="L660" s="10">
        <v>48041</v>
      </c>
      <c r="M660" s="62">
        <v>1</v>
      </c>
      <c r="N660" s="8">
        <v>1</v>
      </c>
      <c r="O660" s="62">
        <f t="shared" si="149"/>
        <v>0</v>
      </c>
      <c r="P660" s="70" t="s">
        <v>1937</v>
      </c>
      <c r="Q660" s="71">
        <v>46132</v>
      </c>
      <c r="R660" s="6">
        <v>46132</v>
      </c>
      <c r="S660" s="64">
        <v>17763</v>
      </c>
      <c r="T660" s="22">
        <v>5</v>
      </c>
      <c r="U660" s="64">
        <f t="shared" si="150"/>
        <v>888.15000000000009</v>
      </c>
      <c r="V660" s="22">
        <v>0.04</v>
      </c>
      <c r="W660" s="22">
        <v>258561</v>
      </c>
      <c r="X660" s="62" t="s">
        <v>94</v>
      </c>
      <c r="Y660" s="62" t="s">
        <v>1120</v>
      </c>
      <c r="Z660" s="62" t="s">
        <v>1863</v>
      </c>
      <c r="AA660" s="65">
        <v>4</v>
      </c>
      <c r="AB660" s="66"/>
      <c r="AC660" s="1" t="s">
        <v>1842</v>
      </c>
      <c r="AD660" s="62" t="str">
        <f>VLOOKUP(X660,'Customer List'!B:C,2,)</f>
        <v>Delhi</v>
      </c>
      <c r="AE660" s="67"/>
      <c r="AF660" s="6"/>
      <c r="AG660" s="62" t="str">
        <f t="shared" si="151"/>
        <v/>
      </c>
      <c r="AH660" s="62" t="str">
        <f t="shared" si="152"/>
        <v>Wednesday</v>
      </c>
      <c r="AI660" s="62" t="str">
        <f t="shared" si="145"/>
        <v/>
      </c>
      <c r="AJ660" s="62" t="str">
        <f>VLOOKUP(AC660,'Currency Sheet'!A:C,3,)</f>
        <v>DOLLAR</v>
      </c>
      <c r="AK660" s="62" t="str">
        <f>VLOOKUP(X660,'Customer List'!B:D,3,)</f>
        <v>Local</v>
      </c>
    </row>
    <row r="661" spans="1:37" hidden="1" x14ac:dyDescent="0.25">
      <c r="A661" s="62">
        <f t="shared" si="146"/>
        <v>647</v>
      </c>
      <c r="B661" s="62" t="s">
        <v>824</v>
      </c>
      <c r="C661" s="62" t="s">
        <v>1841</v>
      </c>
      <c r="D661" s="6">
        <v>46122</v>
      </c>
      <c r="E661" s="6">
        <v>46132</v>
      </c>
      <c r="F661" s="63">
        <v>185.5</v>
      </c>
      <c r="G661" s="64">
        <f t="shared" si="147"/>
        <v>16324</v>
      </c>
      <c r="H661" s="64">
        <f t="shared" si="148"/>
        <v>16324</v>
      </c>
      <c r="I661" s="70">
        <v>304024</v>
      </c>
      <c r="J661" s="62" t="s">
        <v>1709</v>
      </c>
      <c r="K661" s="8" t="s">
        <v>963</v>
      </c>
      <c r="L661" s="10">
        <v>47692</v>
      </c>
      <c r="M661" s="62">
        <v>1</v>
      </c>
      <c r="N661" s="8">
        <v>1</v>
      </c>
      <c r="O661" s="62">
        <f t="shared" si="149"/>
        <v>0</v>
      </c>
      <c r="P661" s="70">
        <v>136</v>
      </c>
      <c r="Q661" s="71">
        <v>46132</v>
      </c>
      <c r="R661" s="6">
        <v>46132</v>
      </c>
      <c r="S661" s="64">
        <v>28752.5</v>
      </c>
      <c r="T661" s="22">
        <v>5</v>
      </c>
      <c r="U661" s="64">
        <f t="shared" si="150"/>
        <v>1437.625</v>
      </c>
      <c r="V661" s="22">
        <v>0.09</v>
      </c>
      <c r="W661" s="22">
        <v>133154</v>
      </c>
      <c r="X661" s="62" t="s">
        <v>1837</v>
      </c>
      <c r="Y661" s="62" t="s">
        <v>1120</v>
      </c>
      <c r="Z661" s="62" t="s">
        <v>1843</v>
      </c>
      <c r="AA661" s="65">
        <v>4</v>
      </c>
      <c r="AB661" s="66"/>
      <c r="AC661" s="1" t="s">
        <v>1842</v>
      </c>
      <c r="AD661" s="62" t="str">
        <f>VLOOKUP(X661,'Customer List'!B:C,2,)</f>
        <v>DELHI</v>
      </c>
      <c r="AE661" s="67"/>
      <c r="AF661" s="6"/>
      <c r="AG661" s="62" t="str">
        <f t="shared" si="151"/>
        <v/>
      </c>
      <c r="AH661" s="62" t="str">
        <f t="shared" si="152"/>
        <v>Tuesday</v>
      </c>
      <c r="AI661" s="62" t="str">
        <f t="shared" si="145"/>
        <v/>
      </c>
      <c r="AJ661" s="62" t="str">
        <f>VLOOKUP(AC661,'Currency Sheet'!A:C,3,)</f>
        <v>DOLLAR</v>
      </c>
      <c r="AK661" s="62" t="str">
        <f>VLOOKUP(X661,'Customer List'!B:D,3,)</f>
        <v>Local</v>
      </c>
    </row>
    <row r="662" spans="1:37" hidden="1" x14ac:dyDescent="0.25">
      <c r="A662" s="62">
        <f t="shared" si="146"/>
        <v>648</v>
      </c>
      <c r="B662" s="62" t="s">
        <v>824</v>
      </c>
      <c r="C662" s="62" t="s">
        <v>1841</v>
      </c>
      <c r="D662" s="6">
        <v>46122</v>
      </c>
      <c r="E662" s="6">
        <v>46132</v>
      </c>
      <c r="F662" s="63">
        <v>238</v>
      </c>
      <c r="G662" s="64">
        <f t="shared" si="147"/>
        <v>20944</v>
      </c>
      <c r="H662" s="64">
        <f t="shared" si="148"/>
        <v>104720</v>
      </c>
      <c r="I662" s="70">
        <v>304028</v>
      </c>
      <c r="J662" s="62" t="s">
        <v>1710</v>
      </c>
      <c r="K662" s="8" t="s">
        <v>1711</v>
      </c>
      <c r="L662" s="10">
        <v>47223</v>
      </c>
      <c r="M662" s="62">
        <v>5</v>
      </c>
      <c r="N662" s="8">
        <v>5</v>
      </c>
      <c r="O662" s="62">
        <f t="shared" si="149"/>
        <v>0</v>
      </c>
      <c r="P662" s="70" t="s">
        <v>1938</v>
      </c>
      <c r="Q662" s="71">
        <v>46132</v>
      </c>
      <c r="R662" s="6">
        <v>46132</v>
      </c>
      <c r="S662" s="64">
        <v>158100</v>
      </c>
      <c r="T662" s="22">
        <v>5</v>
      </c>
      <c r="U662" s="64">
        <f t="shared" si="150"/>
        <v>7905</v>
      </c>
      <c r="V662" s="22">
        <v>-0.42</v>
      </c>
      <c r="W662" s="22">
        <v>757373</v>
      </c>
      <c r="X662" s="62" t="s">
        <v>94</v>
      </c>
      <c r="Y662" s="62" t="s">
        <v>1120</v>
      </c>
      <c r="Z662" s="62" t="s">
        <v>1863</v>
      </c>
      <c r="AA662" s="65">
        <v>4</v>
      </c>
      <c r="AB662" s="66"/>
      <c r="AC662" s="1" t="s">
        <v>1842</v>
      </c>
      <c r="AD662" s="62" t="str">
        <f>VLOOKUP(X662,'Customer List'!B:C,2,)</f>
        <v>Delhi</v>
      </c>
      <c r="AE662" s="67"/>
      <c r="AF662" s="6"/>
      <c r="AG662" s="62" t="str">
        <f t="shared" si="151"/>
        <v/>
      </c>
      <c r="AH662" s="62" t="str">
        <f t="shared" si="152"/>
        <v>Thursday</v>
      </c>
      <c r="AI662" s="62" t="str">
        <f t="shared" si="145"/>
        <v/>
      </c>
      <c r="AJ662" s="62" t="str">
        <f>VLOOKUP(AC662,'Currency Sheet'!A:C,3,)</f>
        <v>DOLLAR</v>
      </c>
      <c r="AK662" s="62" t="str">
        <f>VLOOKUP(X662,'Customer List'!B:D,3,)</f>
        <v>Local</v>
      </c>
    </row>
    <row r="663" spans="1:37" hidden="1" x14ac:dyDescent="0.25">
      <c r="A663" s="62">
        <f t="shared" si="146"/>
        <v>649</v>
      </c>
      <c r="B663" s="62" t="s">
        <v>824</v>
      </c>
      <c r="C663" s="62" t="s">
        <v>1841</v>
      </c>
      <c r="D663" s="6">
        <v>46122</v>
      </c>
      <c r="E663" s="6">
        <v>46132</v>
      </c>
      <c r="F663" s="63">
        <v>161.25</v>
      </c>
      <c r="G663" s="64">
        <f t="shared" si="147"/>
        <v>14190</v>
      </c>
      <c r="H663" s="64">
        <f t="shared" si="148"/>
        <v>14190</v>
      </c>
      <c r="I663" s="70">
        <v>304137</v>
      </c>
      <c r="J663" s="62" t="s">
        <v>1712</v>
      </c>
      <c r="K663" s="8" t="s">
        <v>1713</v>
      </c>
      <c r="L663" s="10">
        <v>46831</v>
      </c>
      <c r="M663" s="62">
        <v>1</v>
      </c>
      <c r="N663" s="8">
        <v>1</v>
      </c>
      <c r="O663" s="62">
        <f t="shared" si="149"/>
        <v>0</v>
      </c>
      <c r="P663" s="70">
        <v>252</v>
      </c>
      <c r="Q663" s="71">
        <v>46142</v>
      </c>
      <c r="R663" s="6">
        <v>46142</v>
      </c>
      <c r="S663" s="64">
        <v>24187.5</v>
      </c>
      <c r="T663" s="22">
        <v>5</v>
      </c>
      <c r="U663" s="64">
        <f t="shared" si="150"/>
        <v>1209.375</v>
      </c>
      <c r="V663" s="22">
        <v>0</v>
      </c>
      <c r="W663" s="22">
        <v>219476</v>
      </c>
      <c r="X663" s="62" t="s">
        <v>793</v>
      </c>
      <c r="Y663" s="62" t="s">
        <v>1120</v>
      </c>
      <c r="Z663" s="62" t="s">
        <v>1863</v>
      </c>
      <c r="AA663" s="65">
        <v>4</v>
      </c>
      <c r="AB663" s="66"/>
      <c r="AC663" s="1" t="s">
        <v>1842</v>
      </c>
      <c r="AD663" s="62" t="str">
        <f>VLOOKUP(X663,'Customer List'!B:C,2,)</f>
        <v>Delhi</v>
      </c>
      <c r="AE663" s="67"/>
      <c r="AF663" s="6"/>
      <c r="AG663" s="62" t="str">
        <f t="shared" si="151"/>
        <v/>
      </c>
      <c r="AH663" s="62" t="str">
        <f t="shared" si="152"/>
        <v>Monday</v>
      </c>
      <c r="AI663" s="62" t="str">
        <f t="shared" si="145"/>
        <v/>
      </c>
      <c r="AJ663" s="62" t="str">
        <f>VLOOKUP(AC663,'Currency Sheet'!A:C,3,)</f>
        <v>DOLLAR</v>
      </c>
      <c r="AK663" s="62" t="str">
        <f>VLOOKUP(X663,'Customer List'!B:D,3,)</f>
        <v>Local</v>
      </c>
    </row>
    <row r="664" spans="1:37" hidden="1" x14ac:dyDescent="0.25">
      <c r="A664" s="62">
        <f t="shared" si="146"/>
        <v>650</v>
      </c>
      <c r="B664" s="62" t="s">
        <v>824</v>
      </c>
      <c r="C664" s="62" t="s">
        <v>1841</v>
      </c>
      <c r="D664" s="6">
        <v>46122</v>
      </c>
      <c r="E664" s="6">
        <v>46132</v>
      </c>
      <c r="F664" s="63">
        <v>161.25</v>
      </c>
      <c r="G664" s="64">
        <f t="shared" si="147"/>
        <v>14190</v>
      </c>
      <c r="H664" s="64">
        <f t="shared" si="148"/>
        <v>14190</v>
      </c>
      <c r="I664" s="70">
        <v>304137</v>
      </c>
      <c r="J664" s="62" t="s">
        <v>1712</v>
      </c>
      <c r="K664" s="8" t="s">
        <v>1713</v>
      </c>
      <c r="L664" s="10">
        <v>46831</v>
      </c>
      <c r="M664" s="62">
        <v>1</v>
      </c>
      <c r="N664" s="8">
        <v>1</v>
      </c>
      <c r="O664" s="62">
        <f t="shared" si="149"/>
        <v>0</v>
      </c>
      <c r="P664" s="70">
        <v>200</v>
      </c>
      <c r="Q664" s="71">
        <v>46139</v>
      </c>
      <c r="R664" s="6">
        <v>46139</v>
      </c>
      <c r="S664" s="64">
        <v>18382.5</v>
      </c>
      <c r="T664" s="22">
        <v>5</v>
      </c>
      <c r="U664" s="64">
        <f t="shared" si="150"/>
        <v>919.125</v>
      </c>
      <c r="V664" s="22"/>
      <c r="W664" s="22"/>
      <c r="X664" s="62" t="s">
        <v>793</v>
      </c>
      <c r="Y664" s="62" t="s">
        <v>1120</v>
      </c>
      <c r="Z664" s="62" t="s">
        <v>1863</v>
      </c>
      <c r="AA664" s="65">
        <v>4</v>
      </c>
      <c r="AB664" s="66"/>
      <c r="AC664" s="1" t="s">
        <v>1842</v>
      </c>
      <c r="AD664" s="62" t="str">
        <f>VLOOKUP(X664,'Customer List'!B:C,2,)</f>
        <v>Delhi</v>
      </c>
      <c r="AE664" s="67"/>
      <c r="AF664" s="6"/>
      <c r="AG664" s="62" t="str">
        <f t="shared" si="151"/>
        <v/>
      </c>
      <c r="AH664" s="62" t="str">
        <f t="shared" si="152"/>
        <v>Saturday</v>
      </c>
      <c r="AI664" s="62" t="str">
        <f t="shared" si="145"/>
        <v/>
      </c>
      <c r="AJ664" s="62" t="str">
        <f>VLOOKUP(AC664,'Currency Sheet'!A:C,3,)</f>
        <v>DOLLAR</v>
      </c>
      <c r="AK664" s="62" t="str">
        <f>VLOOKUP(X664,'Customer List'!B:D,3,)</f>
        <v>Local</v>
      </c>
    </row>
    <row r="665" spans="1:37" hidden="1" x14ac:dyDescent="0.25">
      <c r="A665" s="62">
        <f t="shared" si="146"/>
        <v>651</v>
      </c>
      <c r="B665" s="62" t="s">
        <v>824</v>
      </c>
      <c r="C665" s="62" t="s">
        <v>1841</v>
      </c>
      <c r="D665" s="6">
        <v>46122</v>
      </c>
      <c r="E665" s="6">
        <v>46132</v>
      </c>
      <c r="F665" s="63">
        <v>334.5</v>
      </c>
      <c r="G665" s="64">
        <f t="shared" si="147"/>
        <v>29436</v>
      </c>
      <c r="H665" s="64">
        <f t="shared" si="148"/>
        <v>147180</v>
      </c>
      <c r="I665" s="70">
        <v>306026</v>
      </c>
      <c r="J665" s="62" t="s">
        <v>1714</v>
      </c>
      <c r="K665" s="8" t="s">
        <v>1715</v>
      </c>
      <c r="L665" s="10">
        <v>47000</v>
      </c>
      <c r="M665" s="62">
        <v>5</v>
      </c>
      <c r="N665" s="8">
        <v>5</v>
      </c>
      <c r="O665" s="62">
        <f t="shared" si="149"/>
        <v>0</v>
      </c>
      <c r="P665" s="70" t="s">
        <v>1938</v>
      </c>
      <c r="Q665" s="71">
        <v>46132</v>
      </c>
      <c r="R665" s="6">
        <v>46132</v>
      </c>
      <c r="S665" s="64">
        <v>241955</v>
      </c>
      <c r="T665" s="22">
        <v>5</v>
      </c>
      <c r="U665" s="64">
        <f t="shared" si="150"/>
        <v>12097.75</v>
      </c>
      <c r="V665" s="22">
        <v>0</v>
      </c>
      <c r="W665" s="22">
        <v>757373</v>
      </c>
      <c r="X665" s="62" t="s">
        <v>94</v>
      </c>
      <c r="Y665" s="62" t="s">
        <v>1120</v>
      </c>
      <c r="Z665" s="62" t="s">
        <v>1863</v>
      </c>
      <c r="AA665" s="65">
        <v>4</v>
      </c>
      <c r="AB665" s="66"/>
      <c r="AC665" s="1" t="s">
        <v>1842</v>
      </c>
      <c r="AD665" s="62" t="str">
        <f>VLOOKUP(X665,'Customer List'!B:C,2,)</f>
        <v>Delhi</v>
      </c>
      <c r="AE665" s="67"/>
      <c r="AF665" s="6"/>
      <c r="AG665" s="62" t="str">
        <f t="shared" si="151"/>
        <v/>
      </c>
      <c r="AH665" s="62" t="str">
        <f t="shared" si="152"/>
        <v>Saturday</v>
      </c>
      <c r="AI665" s="62" t="str">
        <f t="shared" si="145"/>
        <v/>
      </c>
      <c r="AJ665" s="62" t="str">
        <f>VLOOKUP(AC665,'Currency Sheet'!A:C,3,)</f>
        <v>DOLLAR</v>
      </c>
      <c r="AK665" s="62" t="str">
        <f>VLOOKUP(X665,'Customer List'!B:D,3,)</f>
        <v>Local</v>
      </c>
    </row>
    <row r="666" spans="1:37" hidden="1" x14ac:dyDescent="0.25">
      <c r="A666" s="62">
        <f t="shared" si="146"/>
        <v>652</v>
      </c>
      <c r="B666" s="62" t="s">
        <v>824</v>
      </c>
      <c r="C666" s="62" t="s">
        <v>1841</v>
      </c>
      <c r="D666" s="6">
        <v>46122</v>
      </c>
      <c r="E666" s="6">
        <v>46132</v>
      </c>
      <c r="F666" s="63">
        <v>318</v>
      </c>
      <c r="G666" s="64">
        <f t="shared" si="147"/>
        <v>27984</v>
      </c>
      <c r="H666" s="64">
        <f t="shared" si="148"/>
        <v>27984</v>
      </c>
      <c r="I666" s="70">
        <v>308120</v>
      </c>
      <c r="J666" s="62" t="s">
        <v>1716</v>
      </c>
      <c r="K666" s="8" t="s">
        <v>1717</v>
      </c>
      <c r="L666" s="10">
        <v>46333</v>
      </c>
      <c r="M666" s="62">
        <v>1</v>
      </c>
      <c r="N666" s="8">
        <v>1</v>
      </c>
      <c r="O666" s="62">
        <f t="shared" si="149"/>
        <v>0</v>
      </c>
      <c r="P666" s="70" t="s">
        <v>2190</v>
      </c>
      <c r="Q666" s="71">
        <v>46140</v>
      </c>
      <c r="R666" s="6">
        <v>46140</v>
      </c>
      <c r="S666" s="64">
        <v>0</v>
      </c>
      <c r="T666" s="22">
        <v>5</v>
      </c>
      <c r="U666" s="64">
        <f t="shared" si="150"/>
        <v>0</v>
      </c>
      <c r="V666" s="22">
        <v>0</v>
      </c>
      <c r="W666" s="22">
        <v>0</v>
      </c>
      <c r="X666" s="62" t="s">
        <v>801</v>
      </c>
      <c r="Y666" s="62">
        <v>58164836354</v>
      </c>
      <c r="Z666" s="62" t="s">
        <v>1112</v>
      </c>
      <c r="AA666" s="65">
        <v>4</v>
      </c>
      <c r="AB666" s="66"/>
      <c r="AC666" s="1" t="s">
        <v>1842</v>
      </c>
      <c r="AD666" s="62" t="str">
        <f>VLOOKUP(X666,'Customer List'!B:C,2,)</f>
        <v>Mumbai</v>
      </c>
      <c r="AE666" s="67" t="s">
        <v>1878</v>
      </c>
      <c r="AF666" s="6">
        <v>46141</v>
      </c>
      <c r="AG666" s="62">
        <f t="shared" si="151"/>
        <v>1</v>
      </c>
      <c r="AH666" s="62" t="str">
        <f t="shared" si="152"/>
        <v>Saturday</v>
      </c>
      <c r="AI666" s="62" t="str">
        <f t="shared" si="145"/>
        <v>Wednesday</v>
      </c>
      <c r="AJ666" s="62" t="str">
        <f>VLOOKUP(AC666,'Currency Sheet'!A:C,3,)</f>
        <v>DOLLAR</v>
      </c>
      <c r="AK666" s="62" t="str">
        <f>VLOOKUP(X666,'Customer List'!B:D,3,)</f>
        <v>OutStation</v>
      </c>
    </row>
    <row r="667" spans="1:37" hidden="1" x14ac:dyDescent="0.25">
      <c r="A667" s="62">
        <f t="shared" si="146"/>
        <v>653</v>
      </c>
      <c r="B667" s="62" t="s">
        <v>824</v>
      </c>
      <c r="C667" s="62" t="s">
        <v>1841</v>
      </c>
      <c r="D667" s="6">
        <v>46122</v>
      </c>
      <c r="E667" s="6">
        <v>46132</v>
      </c>
      <c r="F667" s="63">
        <v>293.25</v>
      </c>
      <c r="G667" s="64">
        <f t="shared" si="147"/>
        <v>25806</v>
      </c>
      <c r="H667" s="64">
        <f t="shared" si="148"/>
        <v>25806</v>
      </c>
      <c r="I667" s="70">
        <v>309218</v>
      </c>
      <c r="J667" s="62" t="s">
        <v>1718</v>
      </c>
      <c r="K667" s="8" t="s">
        <v>1719</v>
      </c>
      <c r="L667" s="10">
        <v>47042</v>
      </c>
      <c r="M667" s="62">
        <v>1</v>
      </c>
      <c r="N667" s="8">
        <v>1</v>
      </c>
      <c r="O667" s="62">
        <f t="shared" si="149"/>
        <v>0</v>
      </c>
      <c r="P667" s="70" t="s">
        <v>1937</v>
      </c>
      <c r="Q667" s="71">
        <v>46132</v>
      </c>
      <c r="R667" s="6">
        <v>46132</v>
      </c>
      <c r="S667" s="64">
        <v>42423</v>
      </c>
      <c r="T667" s="22">
        <v>5</v>
      </c>
      <c r="U667" s="64">
        <f t="shared" si="150"/>
        <v>2121.15</v>
      </c>
      <c r="V667" s="22">
        <v>0</v>
      </c>
      <c r="W667" s="22">
        <v>258561</v>
      </c>
      <c r="X667" s="62" t="s">
        <v>94</v>
      </c>
      <c r="Y667" s="62" t="s">
        <v>1120</v>
      </c>
      <c r="Z667" s="62" t="s">
        <v>1863</v>
      </c>
      <c r="AA667" s="65">
        <v>4</v>
      </c>
      <c r="AB667" s="66"/>
      <c r="AC667" s="1" t="s">
        <v>1842</v>
      </c>
      <c r="AD667" s="62" t="str">
        <f>VLOOKUP(X667,'Customer List'!B:C,2,)</f>
        <v>Delhi</v>
      </c>
      <c r="AE667" s="67"/>
      <c r="AF667" s="6"/>
      <c r="AG667" s="62" t="str">
        <f t="shared" si="151"/>
        <v/>
      </c>
      <c r="AH667" s="62" t="str">
        <f t="shared" si="152"/>
        <v>Tuesday</v>
      </c>
      <c r="AI667" s="62" t="str">
        <f t="shared" si="145"/>
        <v/>
      </c>
      <c r="AJ667" s="62" t="str">
        <f>VLOOKUP(AC667,'Currency Sheet'!A:C,3,)</f>
        <v>DOLLAR</v>
      </c>
      <c r="AK667" s="62" t="str">
        <f>VLOOKUP(X667,'Customer List'!B:D,3,)</f>
        <v>Local</v>
      </c>
    </row>
    <row r="668" spans="1:37" hidden="1" x14ac:dyDescent="0.25">
      <c r="A668" s="62">
        <f t="shared" si="146"/>
        <v>654</v>
      </c>
      <c r="B668" s="62" t="s">
        <v>824</v>
      </c>
      <c r="C668" s="62" t="s">
        <v>1841</v>
      </c>
      <c r="D668" s="6">
        <v>46122</v>
      </c>
      <c r="E668" s="6">
        <v>46132</v>
      </c>
      <c r="F668" s="63">
        <v>87.5</v>
      </c>
      <c r="G668" s="64">
        <f t="shared" si="147"/>
        <v>7700</v>
      </c>
      <c r="H668" s="64">
        <f t="shared" si="148"/>
        <v>7700</v>
      </c>
      <c r="I668" s="70">
        <v>312107</v>
      </c>
      <c r="J668" s="62" t="s">
        <v>1720</v>
      </c>
      <c r="K668" s="8" t="s">
        <v>1721</v>
      </c>
      <c r="L668" s="10">
        <v>46864</v>
      </c>
      <c r="M668" s="62">
        <v>1</v>
      </c>
      <c r="N668" s="8">
        <v>1</v>
      </c>
      <c r="O668" s="62">
        <f t="shared" si="149"/>
        <v>0</v>
      </c>
      <c r="P668" s="70">
        <v>136</v>
      </c>
      <c r="Q668" s="71">
        <v>46132</v>
      </c>
      <c r="R668" s="6">
        <v>46132</v>
      </c>
      <c r="S668" s="64">
        <v>13562.5</v>
      </c>
      <c r="T668" s="22">
        <v>5</v>
      </c>
      <c r="U668" s="64">
        <f t="shared" si="150"/>
        <v>678.125</v>
      </c>
      <c r="V668" s="22">
        <v>0</v>
      </c>
      <c r="W668" s="22">
        <v>133154</v>
      </c>
      <c r="X668" s="62" t="s">
        <v>1837</v>
      </c>
      <c r="Y668" s="62" t="s">
        <v>1120</v>
      </c>
      <c r="Z668" s="62" t="s">
        <v>1843</v>
      </c>
      <c r="AA668" s="65">
        <v>4</v>
      </c>
      <c r="AB668" s="66"/>
      <c r="AC668" s="1" t="s">
        <v>1842</v>
      </c>
      <c r="AD668" s="62" t="str">
        <f>VLOOKUP(X668,'Customer List'!B:C,2,)</f>
        <v>DELHI</v>
      </c>
      <c r="AE668" s="67"/>
      <c r="AF668" s="6"/>
      <c r="AG668" s="62" t="str">
        <f t="shared" si="151"/>
        <v/>
      </c>
      <c r="AH668" s="62" t="str">
        <f t="shared" si="152"/>
        <v>Tuesday</v>
      </c>
      <c r="AI668" s="62" t="str">
        <f t="shared" si="145"/>
        <v/>
      </c>
      <c r="AJ668" s="62" t="str">
        <f>VLOOKUP(AC668,'Currency Sheet'!A:C,3,)</f>
        <v>DOLLAR</v>
      </c>
      <c r="AK668" s="62" t="str">
        <f>VLOOKUP(X668,'Customer List'!B:D,3,)</f>
        <v>Local</v>
      </c>
    </row>
    <row r="669" spans="1:37" hidden="1" x14ac:dyDescent="0.25">
      <c r="A669" s="62">
        <f t="shared" si="146"/>
        <v>655</v>
      </c>
      <c r="B669" s="62" t="s">
        <v>824</v>
      </c>
      <c r="C669" s="62" t="s">
        <v>1841</v>
      </c>
      <c r="D669" s="6">
        <v>46122</v>
      </c>
      <c r="E669" s="6">
        <v>46132</v>
      </c>
      <c r="F669" s="63">
        <v>179.2</v>
      </c>
      <c r="G669" s="64">
        <f t="shared" si="147"/>
        <v>15769.599999999999</v>
      </c>
      <c r="H669" s="64">
        <f t="shared" si="148"/>
        <v>15769.599999999999</v>
      </c>
      <c r="I669" s="70">
        <v>313404</v>
      </c>
      <c r="J669" s="62" t="s">
        <v>1722</v>
      </c>
      <c r="K669" s="8" t="s">
        <v>1723</v>
      </c>
      <c r="L669" s="10">
        <v>46526</v>
      </c>
      <c r="M669" s="62">
        <v>1</v>
      </c>
      <c r="N669" s="8">
        <v>1</v>
      </c>
      <c r="O669" s="62">
        <f t="shared" si="149"/>
        <v>0</v>
      </c>
      <c r="P669" s="70">
        <v>138</v>
      </c>
      <c r="Q669" s="71">
        <v>46132</v>
      </c>
      <c r="R669" s="6">
        <v>46132</v>
      </c>
      <c r="S669" s="64">
        <v>25088</v>
      </c>
      <c r="T669" s="22">
        <v>5</v>
      </c>
      <c r="U669" s="64">
        <f t="shared" si="150"/>
        <v>1254.4000000000001</v>
      </c>
      <c r="V669" s="22">
        <v>0</v>
      </c>
      <c r="W669" s="22">
        <v>37147</v>
      </c>
      <c r="X669" s="62" t="s">
        <v>23</v>
      </c>
      <c r="Y669" s="62" t="s">
        <v>1105</v>
      </c>
      <c r="Z669" s="62" t="s">
        <v>1105</v>
      </c>
      <c r="AA669" s="65">
        <v>4</v>
      </c>
      <c r="AB669" s="66"/>
      <c r="AC669" s="1" t="s">
        <v>1842</v>
      </c>
      <c r="AD669" s="62" t="str">
        <f>VLOOKUP(X669,'Customer List'!B:C,2,)</f>
        <v>Delhi</v>
      </c>
      <c r="AE669" s="67"/>
      <c r="AF669" s="6"/>
      <c r="AG669" s="62" t="str">
        <f t="shared" si="151"/>
        <v/>
      </c>
      <c r="AH669" s="62" t="str">
        <f t="shared" si="152"/>
        <v>Saturday</v>
      </c>
      <c r="AI669" s="62" t="str">
        <f t="shared" si="145"/>
        <v/>
      </c>
      <c r="AJ669" s="62" t="str">
        <f>VLOOKUP(AC669,'Currency Sheet'!A:C,3,)</f>
        <v>DOLLAR</v>
      </c>
      <c r="AK669" s="62" t="str">
        <f>VLOOKUP(X669,'Customer List'!B:D,3,)</f>
        <v>Local</v>
      </c>
    </row>
    <row r="670" spans="1:37" hidden="1" x14ac:dyDescent="0.25">
      <c r="A670" s="62">
        <f t="shared" si="146"/>
        <v>656</v>
      </c>
      <c r="B670" s="62" t="s">
        <v>824</v>
      </c>
      <c r="C670" s="62" t="s">
        <v>1841</v>
      </c>
      <c r="D670" s="6">
        <v>46122</v>
      </c>
      <c r="E670" s="6">
        <v>46132</v>
      </c>
      <c r="F670" s="63">
        <v>38.5</v>
      </c>
      <c r="G670" s="64">
        <f t="shared" si="147"/>
        <v>3388</v>
      </c>
      <c r="H670" s="64">
        <f t="shared" si="148"/>
        <v>3388</v>
      </c>
      <c r="I670" s="70">
        <v>317306</v>
      </c>
      <c r="J670" s="62" t="s">
        <v>1724</v>
      </c>
      <c r="K670" s="8" t="s">
        <v>981</v>
      </c>
      <c r="L670" s="10">
        <v>48150</v>
      </c>
      <c r="M670" s="62">
        <v>1</v>
      </c>
      <c r="N670" s="8">
        <v>1</v>
      </c>
      <c r="O670" s="62">
        <f t="shared" si="149"/>
        <v>0</v>
      </c>
      <c r="P670" s="70">
        <v>151</v>
      </c>
      <c r="Q670" s="71">
        <v>46132</v>
      </c>
      <c r="R670" s="6">
        <v>46133</v>
      </c>
      <c r="S670" s="64">
        <v>6138</v>
      </c>
      <c r="T670" s="22">
        <v>5</v>
      </c>
      <c r="U670" s="64">
        <f t="shared" si="150"/>
        <v>306.90000000000003</v>
      </c>
      <c r="V670" s="22">
        <v>0</v>
      </c>
      <c r="W670" s="22">
        <v>101610</v>
      </c>
      <c r="X670" s="62" t="s">
        <v>1098</v>
      </c>
      <c r="Y670" s="62">
        <v>58164559703</v>
      </c>
      <c r="Z670" s="62" t="s">
        <v>1112</v>
      </c>
      <c r="AA670" s="65">
        <v>4</v>
      </c>
      <c r="AB670" s="66"/>
      <c r="AC670" s="1" t="s">
        <v>1842</v>
      </c>
      <c r="AD670" s="62" t="str">
        <f>VLOOKUP(X670,'Customer List'!B:C,2,)</f>
        <v>Banglore</v>
      </c>
      <c r="AE670" s="67"/>
      <c r="AF670" s="6">
        <v>46134</v>
      </c>
      <c r="AG670" s="62">
        <f t="shared" si="151"/>
        <v>1</v>
      </c>
      <c r="AH670" s="62" t="str">
        <f t="shared" si="152"/>
        <v>Friday</v>
      </c>
      <c r="AI670" s="62" t="str">
        <f t="shared" si="145"/>
        <v>Wednesday</v>
      </c>
      <c r="AJ670" s="62" t="str">
        <f>VLOOKUP(AC670,'Currency Sheet'!A:C,3,)</f>
        <v>DOLLAR</v>
      </c>
      <c r="AK670" s="62" t="str">
        <f>VLOOKUP(X670,'Customer List'!B:D,3,)</f>
        <v>OutStation</v>
      </c>
    </row>
    <row r="671" spans="1:37" hidden="1" x14ac:dyDescent="0.25">
      <c r="A671" s="62">
        <f t="shared" si="146"/>
        <v>657</v>
      </c>
      <c r="B671" s="62" t="s">
        <v>824</v>
      </c>
      <c r="C671" s="62" t="s">
        <v>1841</v>
      </c>
      <c r="D671" s="6">
        <v>46122</v>
      </c>
      <c r="E671" s="6">
        <v>46132</v>
      </c>
      <c r="F671" s="63">
        <v>193.2</v>
      </c>
      <c r="G671" s="64">
        <f t="shared" si="147"/>
        <v>17001.599999999999</v>
      </c>
      <c r="H671" s="64">
        <f t="shared" si="148"/>
        <v>17001.599999999999</v>
      </c>
      <c r="I671" s="70">
        <v>317412</v>
      </c>
      <c r="J671" s="62" t="s">
        <v>1698</v>
      </c>
      <c r="K671" s="8" t="s">
        <v>1725</v>
      </c>
      <c r="L671" s="10">
        <v>47225</v>
      </c>
      <c r="M671" s="62">
        <v>1</v>
      </c>
      <c r="N671" s="8">
        <v>1</v>
      </c>
      <c r="O671" s="62">
        <f t="shared" si="149"/>
        <v>0</v>
      </c>
      <c r="P671" s="70">
        <v>159</v>
      </c>
      <c r="Q671" s="71">
        <v>46133</v>
      </c>
      <c r="R671" s="6">
        <v>46133</v>
      </c>
      <c r="S671" s="64">
        <v>30982.5</v>
      </c>
      <c r="T671" s="22">
        <v>5</v>
      </c>
      <c r="U671" s="64">
        <f t="shared" si="150"/>
        <v>1549.125</v>
      </c>
      <c r="V671" s="22">
        <v>-0.38</v>
      </c>
      <c r="W671" s="22">
        <v>324993</v>
      </c>
      <c r="X671" s="62" t="s">
        <v>94</v>
      </c>
      <c r="Y671" s="62" t="s">
        <v>1120</v>
      </c>
      <c r="Z671" s="62" t="s">
        <v>1863</v>
      </c>
      <c r="AA671" s="65">
        <v>4</v>
      </c>
      <c r="AB671" s="66"/>
      <c r="AC671" s="1" t="s">
        <v>1842</v>
      </c>
      <c r="AD671" s="62" t="str">
        <f>VLOOKUP(X671,'Customer List'!B:C,2,)</f>
        <v>Delhi</v>
      </c>
      <c r="AE671" s="67"/>
      <c r="AF671" s="6"/>
      <c r="AG671" s="62" t="str">
        <f t="shared" si="151"/>
        <v/>
      </c>
      <c r="AH671" s="62" t="str">
        <f t="shared" si="152"/>
        <v>Saturday</v>
      </c>
      <c r="AI671" s="62" t="str">
        <f t="shared" si="145"/>
        <v/>
      </c>
      <c r="AJ671" s="62" t="str">
        <f>VLOOKUP(AC671,'Currency Sheet'!A:C,3,)</f>
        <v>DOLLAR</v>
      </c>
      <c r="AK671" s="62" t="str">
        <f>VLOOKUP(X671,'Customer List'!B:D,3,)</f>
        <v>Local</v>
      </c>
    </row>
    <row r="672" spans="1:37" hidden="1" x14ac:dyDescent="0.25">
      <c r="A672" s="62">
        <f t="shared" si="146"/>
        <v>658</v>
      </c>
      <c r="B672" s="62" t="s">
        <v>824</v>
      </c>
      <c r="C672" s="62" t="s">
        <v>1841</v>
      </c>
      <c r="D672" s="6">
        <v>46122</v>
      </c>
      <c r="E672" s="6">
        <v>46132</v>
      </c>
      <c r="F672" s="63">
        <v>219.8</v>
      </c>
      <c r="G672" s="64">
        <f t="shared" si="147"/>
        <v>19342.400000000001</v>
      </c>
      <c r="H672" s="64">
        <f t="shared" si="148"/>
        <v>19342.400000000001</v>
      </c>
      <c r="I672" s="70">
        <v>318310</v>
      </c>
      <c r="J672" s="62" t="s">
        <v>1726</v>
      </c>
      <c r="K672" s="8" t="s">
        <v>1727</v>
      </c>
      <c r="L672" s="10">
        <v>47666</v>
      </c>
      <c r="M672" s="62">
        <v>1</v>
      </c>
      <c r="N672" s="8">
        <v>1</v>
      </c>
      <c r="O672" s="62">
        <f t="shared" si="149"/>
        <v>0</v>
      </c>
      <c r="P672" s="70" t="s">
        <v>1937</v>
      </c>
      <c r="Q672" s="71">
        <v>46132</v>
      </c>
      <c r="R672" s="6">
        <v>46132</v>
      </c>
      <c r="S672" s="64">
        <v>29202</v>
      </c>
      <c r="T672" s="22">
        <v>5</v>
      </c>
      <c r="U672" s="64">
        <f t="shared" si="150"/>
        <v>1460.1000000000001</v>
      </c>
      <c r="V672" s="22">
        <v>0</v>
      </c>
      <c r="W672" s="22">
        <v>258561</v>
      </c>
      <c r="X672" s="62" t="s">
        <v>94</v>
      </c>
      <c r="Y672" s="62" t="s">
        <v>1120</v>
      </c>
      <c r="Z672" s="62" t="s">
        <v>1863</v>
      </c>
      <c r="AA672" s="65">
        <v>4</v>
      </c>
      <c r="AB672" s="66"/>
      <c r="AC672" s="1" t="s">
        <v>1842</v>
      </c>
      <c r="AD672" s="62" t="str">
        <f>VLOOKUP(X672,'Customer List'!B:C,2,)</f>
        <v>Delhi</v>
      </c>
      <c r="AE672" s="67"/>
      <c r="AF672" s="6"/>
      <c r="AG672" s="62" t="str">
        <f t="shared" si="151"/>
        <v/>
      </c>
      <c r="AH672" s="62" t="str">
        <f t="shared" si="152"/>
        <v>Thursday</v>
      </c>
      <c r="AI672" s="62" t="str">
        <f t="shared" si="145"/>
        <v/>
      </c>
      <c r="AJ672" s="62" t="str">
        <f>VLOOKUP(AC672,'Currency Sheet'!A:C,3,)</f>
        <v>DOLLAR</v>
      </c>
      <c r="AK672" s="62" t="str">
        <f>VLOOKUP(X672,'Customer List'!B:D,3,)</f>
        <v>Local</v>
      </c>
    </row>
    <row r="673" spans="1:37" hidden="1" x14ac:dyDescent="0.25">
      <c r="A673" s="62">
        <f t="shared" si="146"/>
        <v>659</v>
      </c>
      <c r="B673" s="62" t="s">
        <v>824</v>
      </c>
      <c r="C673" s="62" t="s">
        <v>1841</v>
      </c>
      <c r="D673" s="6">
        <v>46122</v>
      </c>
      <c r="E673" s="6">
        <v>46132</v>
      </c>
      <c r="F673" s="63">
        <v>313.5</v>
      </c>
      <c r="G673" s="64">
        <f t="shared" si="147"/>
        <v>27588</v>
      </c>
      <c r="H673" s="64">
        <f t="shared" si="148"/>
        <v>27588</v>
      </c>
      <c r="I673" s="70">
        <v>323050</v>
      </c>
      <c r="J673" s="62" t="s">
        <v>1728</v>
      </c>
      <c r="K673" s="8" t="s">
        <v>1729</v>
      </c>
      <c r="L673" s="10">
        <v>46846</v>
      </c>
      <c r="M673" s="62">
        <v>1</v>
      </c>
      <c r="N673" s="8">
        <v>1</v>
      </c>
      <c r="O673" s="62">
        <f t="shared" si="149"/>
        <v>0</v>
      </c>
      <c r="P673" s="70" t="s">
        <v>1938</v>
      </c>
      <c r="Q673" s="71">
        <v>46132</v>
      </c>
      <c r="R673" s="6">
        <v>46132</v>
      </c>
      <c r="S673" s="64">
        <v>45353</v>
      </c>
      <c r="T673" s="22">
        <v>5</v>
      </c>
      <c r="U673" s="64">
        <f t="shared" si="150"/>
        <v>2267.65</v>
      </c>
      <c r="V673" s="22">
        <v>0</v>
      </c>
      <c r="W673" s="22">
        <v>757373</v>
      </c>
      <c r="X673" s="62" t="s">
        <v>94</v>
      </c>
      <c r="Y673" s="62" t="s">
        <v>1120</v>
      </c>
      <c r="Z673" s="62" t="s">
        <v>1863</v>
      </c>
      <c r="AA673" s="65">
        <v>4</v>
      </c>
      <c r="AB673" s="66"/>
      <c r="AC673" s="1" t="s">
        <v>1842</v>
      </c>
      <c r="AD673" s="62" t="str">
        <f>VLOOKUP(X673,'Customer List'!B:C,2,)</f>
        <v>Delhi</v>
      </c>
      <c r="AE673" s="67"/>
      <c r="AF673" s="6"/>
      <c r="AG673" s="62" t="str">
        <f t="shared" si="151"/>
        <v/>
      </c>
      <c r="AH673" s="62" t="str">
        <f t="shared" si="152"/>
        <v>Saturday</v>
      </c>
      <c r="AI673" s="62" t="str">
        <f t="shared" si="145"/>
        <v/>
      </c>
      <c r="AJ673" s="62" t="str">
        <f>VLOOKUP(AC673,'Currency Sheet'!A:C,3,)</f>
        <v>DOLLAR</v>
      </c>
      <c r="AK673" s="62" t="str">
        <f>VLOOKUP(X673,'Customer List'!B:D,3,)</f>
        <v>Local</v>
      </c>
    </row>
    <row r="674" spans="1:37" hidden="1" x14ac:dyDescent="0.25">
      <c r="A674" s="62">
        <f t="shared" si="146"/>
        <v>660</v>
      </c>
      <c r="B674" s="62" t="s">
        <v>824</v>
      </c>
      <c r="C674" s="62" t="s">
        <v>1841</v>
      </c>
      <c r="D674" s="6">
        <v>46122</v>
      </c>
      <c r="E674" s="6">
        <v>46132</v>
      </c>
      <c r="F674" s="63">
        <v>175</v>
      </c>
      <c r="G674" s="64">
        <f t="shared" si="147"/>
        <v>15400</v>
      </c>
      <c r="H674" s="64">
        <f t="shared" si="148"/>
        <v>30800</v>
      </c>
      <c r="I674" s="70">
        <v>324206</v>
      </c>
      <c r="J674" s="62" t="s">
        <v>1730</v>
      </c>
      <c r="K674" s="8" t="s">
        <v>1731</v>
      </c>
      <c r="L674" s="10">
        <v>46489</v>
      </c>
      <c r="M674" s="62">
        <v>2</v>
      </c>
      <c r="N674" s="8">
        <v>2</v>
      </c>
      <c r="O674" s="62">
        <f t="shared" si="149"/>
        <v>0</v>
      </c>
      <c r="P674" s="70">
        <v>152</v>
      </c>
      <c r="Q674" s="71">
        <v>46132</v>
      </c>
      <c r="R674" s="6">
        <v>46133</v>
      </c>
      <c r="S674" s="64">
        <v>54250</v>
      </c>
      <c r="T674" s="22">
        <v>5</v>
      </c>
      <c r="U674" s="64">
        <f t="shared" si="150"/>
        <v>2712.5</v>
      </c>
      <c r="V674" s="22">
        <v>-0.38</v>
      </c>
      <c r="W674" s="22">
        <v>113355</v>
      </c>
      <c r="X674" s="62" t="s">
        <v>1100</v>
      </c>
      <c r="Y674" s="62">
        <v>58164556240</v>
      </c>
      <c r="Z674" s="62" t="s">
        <v>1112</v>
      </c>
      <c r="AA674" s="65">
        <v>4</v>
      </c>
      <c r="AB674" s="66"/>
      <c r="AC674" s="1" t="s">
        <v>1842</v>
      </c>
      <c r="AD674" s="62" t="str">
        <f>VLOOKUP(X674,'Customer List'!B:C,2,)</f>
        <v>Banglore</v>
      </c>
      <c r="AE674" s="67"/>
      <c r="AF674" s="6">
        <v>46134</v>
      </c>
      <c r="AG674" s="62">
        <f t="shared" si="151"/>
        <v>1</v>
      </c>
      <c r="AH674" s="62" t="str">
        <f t="shared" si="152"/>
        <v>Saturday</v>
      </c>
      <c r="AI674" s="62" t="str">
        <f t="shared" si="145"/>
        <v>Wednesday</v>
      </c>
      <c r="AJ674" s="62" t="str">
        <f>VLOOKUP(AC674,'Currency Sheet'!A:C,3,)</f>
        <v>DOLLAR</v>
      </c>
      <c r="AK674" s="62" t="str">
        <f>VLOOKUP(X674,'Customer List'!B:D,3,)</f>
        <v>OutStation</v>
      </c>
    </row>
    <row r="675" spans="1:37" hidden="1" x14ac:dyDescent="0.25">
      <c r="A675" s="62">
        <f t="shared" si="146"/>
        <v>661</v>
      </c>
      <c r="B675" s="62" t="s">
        <v>824</v>
      </c>
      <c r="C675" s="62" t="s">
        <v>1841</v>
      </c>
      <c r="D675" s="6">
        <v>46122</v>
      </c>
      <c r="E675" s="6">
        <v>46132</v>
      </c>
      <c r="F675" s="63">
        <v>205.1</v>
      </c>
      <c r="G675" s="64">
        <f t="shared" si="147"/>
        <v>18048.8</v>
      </c>
      <c r="H675" s="64">
        <f t="shared" si="148"/>
        <v>18048.8</v>
      </c>
      <c r="I675" s="70">
        <v>324212</v>
      </c>
      <c r="J675" s="62" t="s">
        <v>1730</v>
      </c>
      <c r="K675" s="8" t="s">
        <v>1732</v>
      </c>
      <c r="L675" s="10">
        <v>46937</v>
      </c>
      <c r="M675" s="62">
        <v>1</v>
      </c>
      <c r="N675" s="8">
        <v>1</v>
      </c>
      <c r="O675" s="62">
        <f t="shared" si="149"/>
        <v>0</v>
      </c>
      <c r="P675" s="70">
        <v>137</v>
      </c>
      <c r="Q675" s="71">
        <v>46132</v>
      </c>
      <c r="R675" s="6">
        <v>46132</v>
      </c>
      <c r="S675" s="64">
        <v>28714</v>
      </c>
      <c r="T675" s="22">
        <v>5</v>
      </c>
      <c r="U675" s="64">
        <f t="shared" si="150"/>
        <v>1435.7</v>
      </c>
      <c r="V675" s="22">
        <v>0.4</v>
      </c>
      <c r="W675" s="22">
        <v>62152</v>
      </c>
      <c r="X675" s="62" t="s">
        <v>20</v>
      </c>
      <c r="Y675" s="62" t="s">
        <v>1105</v>
      </c>
      <c r="Z675" s="62" t="s">
        <v>1105</v>
      </c>
      <c r="AA675" s="65">
        <v>4</v>
      </c>
      <c r="AB675" s="66"/>
      <c r="AC675" s="1" t="s">
        <v>1842</v>
      </c>
      <c r="AD675" s="62" t="str">
        <f>VLOOKUP(X675,'Customer List'!B:C,2,)</f>
        <v>Delhi</v>
      </c>
      <c r="AE675" s="67"/>
      <c r="AF675" s="6"/>
      <c r="AG675" s="62" t="str">
        <f t="shared" si="151"/>
        <v/>
      </c>
      <c r="AH675" s="62" t="str">
        <f t="shared" si="152"/>
        <v>Saturday</v>
      </c>
      <c r="AI675" s="62" t="str">
        <f t="shared" si="145"/>
        <v/>
      </c>
      <c r="AJ675" s="62" t="str">
        <f>VLOOKUP(AC675,'Currency Sheet'!A:C,3,)</f>
        <v>DOLLAR</v>
      </c>
      <c r="AK675" s="62" t="str">
        <f>VLOOKUP(X675,'Customer List'!B:D,3,)</f>
        <v>Local</v>
      </c>
    </row>
    <row r="676" spans="1:37" hidden="1" x14ac:dyDescent="0.25">
      <c r="A676" s="62">
        <f t="shared" si="146"/>
        <v>662</v>
      </c>
      <c r="B676" s="62" t="s">
        <v>824</v>
      </c>
      <c r="C676" s="62" t="s">
        <v>1841</v>
      </c>
      <c r="D676" s="6">
        <v>46122</v>
      </c>
      <c r="E676" s="6">
        <v>46132</v>
      </c>
      <c r="F676" s="63">
        <v>245</v>
      </c>
      <c r="G676" s="64">
        <f t="shared" si="147"/>
        <v>21560</v>
      </c>
      <c r="H676" s="64">
        <f t="shared" si="148"/>
        <v>21560</v>
      </c>
      <c r="I676" s="70">
        <v>324610</v>
      </c>
      <c r="J676" s="62" t="s">
        <v>1733</v>
      </c>
      <c r="K676" s="8" t="s">
        <v>1734</v>
      </c>
      <c r="L676" s="10">
        <v>47549</v>
      </c>
      <c r="M676" s="62">
        <v>1</v>
      </c>
      <c r="N676" s="8">
        <v>1</v>
      </c>
      <c r="O676" s="62">
        <f t="shared" si="149"/>
        <v>0</v>
      </c>
      <c r="P676" s="70" t="s">
        <v>1938</v>
      </c>
      <c r="Q676" s="71">
        <v>46132</v>
      </c>
      <c r="R676" s="6">
        <v>46132</v>
      </c>
      <c r="S676" s="64">
        <v>32550</v>
      </c>
      <c r="T676" s="22">
        <v>5</v>
      </c>
      <c r="U676" s="64">
        <f t="shared" si="150"/>
        <v>1627.5</v>
      </c>
      <c r="V676" s="22">
        <v>0</v>
      </c>
      <c r="W676" s="22">
        <v>757373</v>
      </c>
      <c r="X676" s="62" t="s">
        <v>94</v>
      </c>
      <c r="Y676" s="62" t="s">
        <v>1120</v>
      </c>
      <c r="Z676" s="62" t="s">
        <v>1863</v>
      </c>
      <c r="AA676" s="65">
        <v>4</v>
      </c>
      <c r="AB676" s="66"/>
      <c r="AC676" s="1" t="s">
        <v>1842</v>
      </c>
      <c r="AD676" s="62" t="str">
        <f>VLOOKUP(X676,'Customer List'!B:C,2,)</f>
        <v>Delhi</v>
      </c>
      <c r="AE676" s="67"/>
      <c r="AF676" s="6"/>
      <c r="AG676" s="62" t="str">
        <f t="shared" si="151"/>
        <v/>
      </c>
      <c r="AH676" s="62" t="str">
        <f t="shared" si="152"/>
        <v>Saturday</v>
      </c>
      <c r="AI676" s="62" t="str">
        <f t="shared" si="145"/>
        <v/>
      </c>
      <c r="AJ676" s="62" t="str">
        <f>VLOOKUP(AC676,'Currency Sheet'!A:C,3,)</f>
        <v>DOLLAR</v>
      </c>
      <c r="AK676" s="62" t="str">
        <f>VLOOKUP(X676,'Customer List'!B:D,3,)</f>
        <v>Local</v>
      </c>
    </row>
    <row r="677" spans="1:37" hidden="1" x14ac:dyDescent="0.25">
      <c r="A677" s="62">
        <f t="shared" si="146"/>
        <v>663</v>
      </c>
      <c r="B677" s="62" t="s">
        <v>824</v>
      </c>
      <c r="C677" s="62" t="s">
        <v>1841</v>
      </c>
      <c r="D677" s="6">
        <v>46122</v>
      </c>
      <c r="E677" s="6">
        <v>46132</v>
      </c>
      <c r="F677" s="63">
        <v>136.5</v>
      </c>
      <c r="G677" s="64">
        <f t="shared" si="147"/>
        <v>12012</v>
      </c>
      <c r="H677" s="64">
        <f t="shared" si="148"/>
        <v>12012</v>
      </c>
      <c r="I677" s="70">
        <v>328121</v>
      </c>
      <c r="J677" s="62" t="s">
        <v>1735</v>
      </c>
      <c r="K677" s="8" t="s">
        <v>1736</v>
      </c>
      <c r="L677" s="10">
        <v>47018</v>
      </c>
      <c r="M677" s="62">
        <v>1</v>
      </c>
      <c r="N677" s="8">
        <v>1</v>
      </c>
      <c r="O677" s="62">
        <f t="shared" si="149"/>
        <v>0</v>
      </c>
      <c r="P677" s="70">
        <v>136</v>
      </c>
      <c r="Q677" s="71">
        <v>46132</v>
      </c>
      <c r="R677" s="6">
        <v>46132</v>
      </c>
      <c r="S677" s="64">
        <v>21157.5</v>
      </c>
      <c r="T677" s="22">
        <v>5</v>
      </c>
      <c r="U677" s="64">
        <f t="shared" si="150"/>
        <v>1057.875</v>
      </c>
      <c r="V677" s="22">
        <v>0</v>
      </c>
      <c r="W677" s="22">
        <v>133154</v>
      </c>
      <c r="X677" s="62" t="s">
        <v>1837</v>
      </c>
      <c r="Y677" s="62" t="s">
        <v>1120</v>
      </c>
      <c r="Z677" s="62" t="s">
        <v>1843</v>
      </c>
      <c r="AA677" s="65">
        <v>4</v>
      </c>
      <c r="AB677" s="66"/>
      <c r="AC677" s="1" t="s">
        <v>1842</v>
      </c>
      <c r="AD677" s="62" t="str">
        <f>VLOOKUP(X677,'Customer List'!B:C,2,)</f>
        <v>DELHI</v>
      </c>
      <c r="AE677" s="67"/>
      <c r="AF677" s="6"/>
      <c r="AG677" s="62" t="str">
        <f t="shared" si="151"/>
        <v/>
      </c>
      <c r="AH677" s="62" t="str">
        <f t="shared" si="152"/>
        <v>Tuesday</v>
      </c>
      <c r="AI677" s="62" t="str">
        <f t="shared" si="145"/>
        <v/>
      </c>
      <c r="AJ677" s="62" t="str">
        <f>VLOOKUP(AC677,'Currency Sheet'!A:C,3,)</f>
        <v>DOLLAR</v>
      </c>
      <c r="AK677" s="62" t="str">
        <f>VLOOKUP(X677,'Customer List'!B:D,3,)</f>
        <v>Local</v>
      </c>
    </row>
    <row r="678" spans="1:37" hidden="1" x14ac:dyDescent="0.25">
      <c r="A678" s="62">
        <f t="shared" si="146"/>
        <v>664</v>
      </c>
      <c r="B678" s="62" t="s">
        <v>824</v>
      </c>
      <c r="C678" s="62" t="s">
        <v>1841</v>
      </c>
      <c r="D678" s="6">
        <v>46122</v>
      </c>
      <c r="E678" s="6">
        <v>46132</v>
      </c>
      <c r="F678" s="63">
        <v>82.6</v>
      </c>
      <c r="G678" s="64">
        <f t="shared" si="147"/>
        <v>7268.7999999999993</v>
      </c>
      <c r="H678" s="64">
        <f t="shared" si="148"/>
        <v>7268.7999999999993</v>
      </c>
      <c r="I678" s="70">
        <v>329705</v>
      </c>
      <c r="J678" s="62" t="s">
        <v>1737</v>
      </c>
      <c r="K678" s="8" t="s">
        <v>1738</v>
      </c>
      <c r="L678" s="10">
        <v>47737</v>
      </c>
      <c r="M678" s="62">
        <v>1</v>
      </c>
      <c r="N678" s="8">
        <v>1</v>
      </c>
      <c r="O678" s="62">
        <f t="shared" si="149"/>
        <v>0</v>
      </c>
      <c r="P678" s="70">
        <v>142</v>
      </c>
      <c r="Q678" s="71">
        <v>46132</v>
      </c>
      <c r="R678" s="6">
        <v>46133</v>
      </c>
      <c r="S678" s="64">
        <v>12803</v>
      </c>
      <c r="T678" s="22">
        <v>5</v>
      </c>
      <c r="U678" s="64">
        <f t="shared" si="150"/>
        <v>640.15000000000009</v>
      </c>
      <c r="V678" s="22">
        <v>0</v>
      </c>
      <c r="W678" s="22">
        <v>28937</v>
      </c>
      <c r="X678" s="62" t="s">
        <v>1835</v>
      </c>
      <c r="Y678" s="62">
        <v>58164554044</v>
      </c>
      <c r="Z678" s="62" t="s">
        <v>1112</v>
      </c>
      <c r="AA678" s="65">
        <v>4</v>
      </c>
      <c r="AB678" s="66"/>
      <c r="AC678" s="1" t="s">
        <v>1842</v>
      </c>
      <c r="AD678" s="62" t="str">
        <f>VLOOKUP(X678,'Customer List'!B:C,2,)</f>
        <v>Lucknow</v>
      </c>
      <c r="AE678" s="67"/>
      <c r="AF678" s="6">
        <v>46135</v>
      </c>
      <c r="AG678" s="62">
        <f t="shared" si="151"/>
        <v>2</v>
      </c>
      <c r="AH678" s="62" t="str">
        <f t="shared" si="152"/>
        <v>Saturday</v>
      </c>
      <c r="AI678" s="62" t="str">
        <f t="shared" si="145"/>
        <v>Thursday</v>
      </c>
      <c r="AJ678" s="62" t="str">
        <f>VLOOKUP(AC678,'Currency Sheet'!A:C,3,)</f>
        <v>DOLLAR</v>
      </c>
      <c r="AK678" s="62" t="str">
        <f>VLOOKUP(X678,'Customer List'!B:D,3,)</f>
        <v>OutStation</v>
      </c>
    </row>
    <row r="679" spans="1:37" hidden="1" x14ac:dyDescent="0.25">
      <c r="A679" s="62">
        <f t="shared" si="146"/>
        <v>665</v>
      </c>
      <c r="B679" s="62" t="s">
        <v>824</v>
      </c>
      <c r="C679" s="62" t="s">
        <v>1841</v>
      </c>
      <c r="D679" s="6">
        <v>46122</v>
      </c>
      <c r="E679" s="6">
        <v>46132</v>
      </c>
      <c r="F679" s="63">
        <v>165.75</v>
      </c>
      <c r="G679" s="64">
        <f t="shared" si="147"/>
        <v>14586</v>
      </c>
      <c r="H679" s="64">
        <f t="shared" si="148"/>
        <v>14586</v>
      </c>
      <c r="I679" s="70">
        <v>331245</v>
      </c>
      <c r="J679" s="62" t="s">
        <v>1739</v>
      </c>
      <c r="K679" s="8" t="s">
        <v>1740</v>
      </c>
      <c r="L679" s="10">
        <v>47006</v>
      </c>
      <c r="M679" s="62">
        <v>1</v>
      </c>
      <c r="N679" s="8">
        <v>1</v>
      </c>
      <c r="O679" s="62">
        <f t="shared" si="149"/>
        <v>0</v>
      </c>
      <c r="P679" s="70">
        <v>136</v>
      </c>
      <c r="Q679" s="71">
        <v>46132</v>
      </c>
      <c r="R679" s="6">
        <v>46132</v>
      </c>
      <c r="S679" s="64">
        <v>25691.25</v>
      </c>
      <c r="T679" s="22">
        <v>5</v>
      </c>
      <c r="U679" s="64">
        <f t="shared" si="150"/>
        <v>1284.5625</v>
      </c>
      <c r="V679" s="22">
        <v>0</v>
      </c>
      <c r="W679" s="22">
        <v>133154</v>
      </c>
      <c r="X679" s="62" t="s">
        <v>1837</v>
      </c>
      <c r="Y679" s="62" t="s">
        <v>1120</v>
      </c>
      <c r="Z679" s="62" t="s">
        <v>1843</v>
      </c>
      <c r="AA679" s="65">
        <v>4</v>
      </c>
      <c r="AB679" s="66"/>
      <c r="AC679" s="1" t="s">
        <v>1842</v>
      </c>
      <c r="AD679" s="62" t="str">
        <f>VLOOKUP(X679,'Customer List'!B:C,2,)</f>
        <v>DELHI</v>
      </c>
      <c r="AE679" s="67"/>
      <c r="AF679" s="6"/>
      <c r="AG679" s="62" t="str">
        <f t="shared" si="151"/>
        <v/>
      </c>
      <c r="AH679" s="62" t="str">
        <f t="shared" si="152"/>
        <v>Sunday</v>
      </c>
      <c r="AI679" s="62" t="str">
        <f t="shared" si="145"/>
        <v/>
      </c>
      <c r="AJ679" s="62" t="str">
        <f>VLOOKUP(AC679,'Currency Sheet'!A:C,3,)</f>
        <v>DOLLAR</v>
      </c>
      <c r="AK679" s="62" t="str">
        <f>VLOOKUP(X679,'Customer List'!B:D,3,)</f>
        <v>Local</v>
      </c>
    </row>
    <row r="680" spans="1:37" hidden="1" x14ac:dyDescent="0.25">
      <c r="A680" s="62">
        <f t="shared" si="146"/>
        <v>666</v>
      </c>
      <c r="B680" s="62" t="s">
        <v>824</v>
      </c>
      <c r="C680" s="62" t="s">
        <v>1841</v>
      </c>
      <c r="D680" s="6">
        <v>46122</v>
      </c>
      <c r="E680" s="6">
        <v>46132</v>
      </c>
      <c r="F680" s="63">
        <v>204.4</v>
      </c>
      <c r="G680" s="64">
        <f t="shared" si="147"/>
        <v>17987.2</v>
      </c>
      <c r="H680" s="64">
        <f t="shared" si="148"/>
        <v>17987.2</v>
      </c>
      <c r="I680" s="70">
        <v>331806</v>
      </c>
      <c r="J680" s="62" t="s">
        <v>1741</v>
      </c>
      <c r="K680" s="8" t="s">
        <v>1742</v>
      </c>
      <c r="L680" s="10">
        <v>47213</v>
      </c>
      <c r="M680" s="62">
        <v>1</v>
      </c>
      <c r="N680" s="8">
        <v>1</v>
      </c>
      <c r="O680" s="62">
        <f t="shared" si="149"/>
        <v>0</v>
      </c>
      <c r="P680" s="70" t="s">
        <v>1938</v>
      </c>
      <c r="Q680" s="71">
        <v>46132</v>
      </c>
      <c r="R680" s="6">
        <v>46132</v>
      </c>
      <c r="S680" s="64">
        <v>27156</v>
      </c>
      <c r="T680" s="22">
        <v>5</v>
      </c>
      <c r="U680" s="64">
        <f t="shared" si="150"/>
        <v>1357.8000000000002</v>
      </c>
      <c r="V680" s="22">
        <v>0</v>
      </c>
      <c r="W680" s="22">
        <v>757373</v>
      </c>
      <c r="X680" s="62" t="s">
        <v>94</v>
      </c>
      <c r="Y680" s="62" t="s">
        <v>1120</v>
      </c>
      <c r="Z680" s="62" t="s">
        <v>1863</v>
      </c>
      <c r="AA680" s="65">
        <v>4</v>
      </c>
      <c r="AB680" s="66"/>
      <c r="AC680" s="1" t="s">
        <v>1842</v>
      </c>
      <c r="AD680" s="62" t="str">
        <f>VLOOKUP(X680,'Customer List'!B:C,2,)</f>
        <v>Delhi</v>
      </c>
      <c r="AE680" s="67"/>
      <c r="AF680" s="6"/>
      <c r="AG680" s="62" t="str">
        <f t="shared" si="151"/>
        <v/>
      </c>
      <c r="AH680" s="62" t="str">
        <f t="shared" si="152"/>
        <v>Tuesday</v>
      </c>
      <c r="AI680" s="62" t="str">
        <f t="shared" si="145"/>
        <v/>
      </c>
      <c r="AJ680" s="62" t="str">
        <f>VLOOKUP(AC680,'Currency Sheet'!A:C,3,)</f>
        <v>DOLLAR</v>
      </c>
      <c r="AK680" s="62" t="str">
        <f>VLOOKUP(X680,'Customer List'!B:D,3,)</f>
        <v>Local</v>
      </c>
    </row>
    <row r="681" spans="1:37" hidden="1" x14ac:dyDescent="0.25">
      <c r="A681" s="62">
        <f t="shared" si="146"/>
        <v>667</v>
      </c>
      <c r="B681" s="62" t="s">
        <v>824</v>
      </c>
      <c r="C681" s="62" t="s">
        <v>1841</v>
      </c>
      <c r="D681" s="6">
        <v>46122</v>
      </c>
      <c r="E681" s="6">
        <v>46132</v>
      </c>
      <c r="F681" s="63">
        <v>187.6</v>
      </c>
      <c r="G681" s="64">
        <f t="shared" si="147"/>
        <v>16508.8</v>
      </c>
      <c r="H681" s="64">
        <f t="shared" si="148"/>
        <v>16508.8</v>
      </c>
      <c r="I681" s="70">
        <v>333108</v>
      </c>
      <c r="J681" s="62" t="s">
        <v>1743</v>
      </c>
      <c r="K681" s="8" t="s">
        <v>1744</v>
      </c>
      <c r="L681" s="10">
        <v>47297</v>
      </c>
      <c r="M681" s="62">
        <v>1</v>
      </c>
      <c r="N681" s="8">
        <v>1</v>
      </c>
      <c r="O681" s="62">
        <f t="shared" si="149"/>
        <v>0</v>
      </c>
      <c r="P681" s="70">
        <v>159</v>
      </c>
      <c r="Q681" s="71">
        <v>46133</v>
      </c>
      <c r="R681" s="6">
        <v>46133</v>
      </c>
      <c r="S681" s="64">
        <v>31155</v>
      </c>
      <c r="T681" s="22">
        <v>5</v>
      </c>
      <c r="U681" s="64">
        <f t="shared" si="150"/>
        <v>1557.75</v>
      </c>
      <c r="V681" s="22">
        <v>0</v>
      </c>
      <c r="W681" s="22">
        <v>324993</v>
      </c>
      <c r="X681" s="62" t="s">
        <v>94</v>
      </c>
      <c r="Y681" s="62" t="s">
        <v>1120</v>
      </c>
      <c r="Z681" s="62" t="s">
        <v>1863</v>
      </c>
      <c r="AA681" s="65">
        <v>4</v>
      </c>
      <c r="AB681" s="66"/>
      <c r="AC681" s="1" t="s">
        <v>1842</v>
      </c>
      <c r="AD681" s="62" t="str">
        <f>VLOOKUP(X681,'Customer List'!B:C,2,)</f>
        <v>Delhi</v>
      </c>
      <c r="AE681" s="67"/>
      <c r="AF681" s="6"/>
      <c r="AG681" s="62" t="str">
        <f t="shared" si="151"/>
        <v/>
      </c>
      <c r="AH681" s="62" t="str">
        <f t="shared" si="152"/>
        <v>Thursday</v>
      </c>
      <c r="AI681" s="62" t="str">
        <f t="shared" si="145"/>
        <v/>
      </c>
      <c r="AJ681" s="62" t="str">
        <f>VLOOKUP(AC681,'Currency Sheet'!A:C,3,)</f>
        <v>DOLLAR</v>
      </c>
      <c r="AK681" s="62" t="str">
        <f>VLOOKUP(X681,'Customer List'!B:D,3,)</f>
        <v>Local</v>
      </c>
    </row>
    <row r="682" spans="1:37" hidden="1" x14ac:dyDescent="0.25">
      <c r="A682" s="62">
        <f t="shared" si="146"/>
        <v>668</v>
      </c>
      <c r="B682" s="62" t="s">
        <v>824</v>
      </c>
      <c r="C682" s="62" t="s">
        <v>1841</v>
      </c>
      <c r="D682" s="6">
        <v>46122</v>
      </c>
      <c r="E682" s="6">
        <v>46132</v>
      </c>
      <c r="F682" s="63">
        <v>119.7</v>
      </c>
      <c r="G682" s="64">
        <f t="shared" si="147"/>
        <v>10533.6</v>
      </c>
      <c r="H682" s="64">
        <f t="shared" si="148"/>
        <v>10533.6</v>
      </c>
      <c r="I682" s="70">
        <v>334609</v>
      </c>
      <c r="J682" s="62" t="s">
        <v>1745</v>
      </c>
      <c r="K682" s="8" t="s">
        <v>1746</v>
      </c>
      <c r="L682" s="10">
        <v>47400</v>
      </c>
      <c r="M682" s="62">
        <v>1</v>
      </c>
      <c r="N682" s="8">
        <v>1</v>
      </c>
      <c r="O682" s="62">
        <f t="shared" si="149"/>
        <v>0</v>
      </c>
      <c r="P682" s="70">
        <v>136</v>
      </c>
      <c r="Q682" s="71">
        <v>46132</v>
      </c>
      <c r="R682" s="6">
        <v>46132</v>
      </c>
      <c r="S682" s="64">
        <v>18553.5</v>
      </c>
      <c r="T682" s="22">
        <v>5</v>
      </c>
      <c r="U682" s="64">
        <f t="shared" si="150"/>
        <v>927.67500000000007</v>
      </c>
      <c r="V682" s="22">
        <v>0</v>
      </c>
      <c r="W682" s="22">
        <v>133154</v>
      </c>
      <c r="X682" s="62" t="s">
        <v>1837</v>
      </c>
      <c r="Y682" s="62" t="s">
        <v>1120</v>
      </c>
      <c r="Z682" s="62" t="s">
        <v>1843</v>
      </c>
      <c r="AA682" s="65">
        <v>4</v>
      </c>
      <c r="AB682" s="66"/>
      <c r="AC682" s="1" t="s">
        <v>1842</v>
      </c>
      <c r="AD682" s="62" t="str">
        <f>VLOOKUP(X682,'Customer List'!B:C,2,)</f>
        <v>DELHI</v>
      </c>
      <c r="AE682" s="67"/>
      <c r="AF682" s="6"/>
      <c r="AG682" s="62" t="str">
        <f t="shared" si="151"/>
        <v/>
      </c>
      <c r="AH682" s="62" t="str">
        <f t="shared" si="152"/>
        <v>Tuesday</v>
      </c>
      <c r="AI682" s="62" t="str">
        <f t="shared" si="145"/>
        <v/>
      </c>
      <c r="AJ682" s="62" t="str">
        <f>VLOOKUP(AC682,'Currency Sheet'!A:C,3,)</f>
        <v>DOLLAR</v>
      </c>
      <c r="AK682" s="62" t="str">
        <f>VLOOKUP(X682,'Customer List'!B:D,3,)</f>
        <v>Local</v>
      </c>
    </row>
    <row r="683" spans="1:37" hidden="1" x14ac:dyDescent="0.25">
      <c r="A683" s="62">
        <f t="shared" si="146"/>
        <v>669</v>
      </c>
      <c r="B683" s="62" t="s">
        <v>824</v>
      </c>
      <c r="C683" s="62" t="s">
        <v>1841</v>
      </c>
      <c r="D683" s="6">
        <v>46122</v>
      </c>
      <c r="E683" s="6">
        <v>46132</v>
      </c>
      <c r="F683" s="63">
        <v>221.9</v>
      </c>
      <c r="G683" s="64">
        <f t="shared" si="147"/>
        <v>19527.2</v>
      </c>
      <c r="H683" s="64">
        <f t="shared" si="148"/>
        <v>19527.2</v>
      </c>
      <c r="I683" s="70">
        <v>336236</v>
      </c>
      <c r="J683" s="62" t="s">
        <v>1747</v>
      </c>
      <c r="K683" s="8" t="s">
        <v>1748</v>
      </c>
      <c r="L683" s="10">
        <v>46505</v>
      </c>
      <c r="M683" s="62">
        <v>1</v>
      </c>
      <c r="N683" s="8">
        <v>1</v>
      </c>
      <c r="O683" s="62">
        <f t="shared" si="149"/>
        <v>0</v>
      </c>
      <c r="P683" s="70" t="s">
        <v>1937</v>
      </c>
      <c r="Q683" s="71">
        <v>46132</v>
      </c>
      <c r="R683" s="6">
        <v>46132</v>
      </c>
      <c r="S683" s="64">
        <v>29481</v>
      </c>
      <c r="T683" s="22">
        <v>5</v>
      </c>
      <c r="U683" s="64">
        <f t="shared" si="150"/>
        <v>1474.0500000000002</v>
      </c>
      <c r="V683" s="22">
        <v>0</v>
      </c>
      <c r="W683" s="22">
        <v>258561</v>
      </c>
      <c r="X683" s="62" t="s">
        <v>94</v>
      </c>
      <c r="Y683" s="62" t="s">
        <v>1120</v>
      </c>
      <c r="Z683" s="62" t="s">
        <v>1863</v>
      </c>
      <c r="AA683" s="65">
        <v>4</v>
      </c>
      <c r="AB683" s="66"/>
      <c r="AC683" s="1" t="s">
        <v>1842</v>
      </c>
      <c r="AD683" s="62" t="str">
        <f>VLOOKUP(X683,'Customer List'!B:C,2,)</f>
        <v>Delhi</v>
      </c>
      <c r="AE683" s="67"/>
      <c r="AF683" s="6"/>
      <c r="AG683" s="62" t="str">
        <f t="shared" si="151"/>
        <v/>
      </c>
      <c r="AH683" s="62" t="str">
        <f t="shared" si="152"/>
        <v>Wednesday</v>
      </c>
      <c r="AI683" s="62" t="str">
        <f t="shared" si="145"/>
        <v/>
      </c>
      <c r="AJ683" s="62" t="str">
        <f>VLOOKUP(AC683,'Currency Sheet'!A:C,3,)</f>
        <v>DOLLAR</v>
      </c>
      <c r="AK683" s="62" t="str">
        <f>VLOOKUP(X683,'Customer List'!B:D,3,)</f>
        <v>Local</v>
      </c>
    </row>
    <row r="684" spans="1:37" hidden="1" x14ac:dyDescent="0.25">
      <c r="A684" s="62">
        <f t="shared" si="146"/>
        <v>670</v>
      </c>
      <c r="B684" s="62" t="s">
        <v>824</v>
      </c>
      <c r="C684" s="62" t="s">
        <v>1841</v>
      </c>
      <c r="D684" s="6">
        <v>46122</v>
      </c>
      <c r="E684" s="6">
        <v>46132</v>
      </c>
      <c r="F684" s="63">
        <v>160.30000000000001</v>
      </c>
      <c r="G684" s="64">
        <f t="shared" si="147"/>
        <v>14106.400000000001</v>
      </c>
      <c r="H684" s="64">
        <f t="shared" si="148"/>
        <v>28212.800000000003</v>
      </c>
      <c r="I684" s="70">
        <v>336706</v>
      </c>
      <c r="J684" s="62" t="s">
        <v>1749</v>
      </c>
      <c r="K684" s="8" t="s">
        <v>1750</v>
      </c>
      <c r="L684" s="10">
        <v>47076</v>
      </c>
      <c r="M684" s="62">
        <v>2</v>
      </c>
      <c r="N684" s="8">
        <v>2</v>
      </c>
      <c r="O684" s="62">
        <f t="shared" si="149"/>
        <v>0</v>
      </c>
      <c r="P684" s="70" t="s">
        <v>1938</v>
      </c>
      <c r="Q684" s="71">
        <v>46132</v>
      </c>
      <c r="R684" s="6">
        <v>46132</v>
      </c>
      <c r="S684" s="64">
        <v>42594</v>
      </c>
      <c r="T684" s="22">
        <v>5</v>
      </c>
      <c r="U684" s="64">
        <f t="shared" si="150"/>
        <v>2129.7000000000003</v>
      </c>
      <c r="V684" s="22">
        <v>0</v>
      </c>
      <c r="W684" s="22">
        <v>757373</v>
      </c>
      <c r="X684" s="62" t="s">
        <v>94</v>
      </c>
      <c r="Y684" s="62" t="s">
        <v>1120</v>
      </c>
      <c r="Z684" s="62" t="s">
        <v>1863</v>
      </c>
      <c r="AA684" s="65">
        <v>4</v>
      </c>
      <c r="AB684" s="66"/>
      <c r="AC684" s="1" t="s">
        <v>1842</v>
      </c>
      <c r="AD684" s="62" t="str">
        <f>VLOOKUP(X684,'Customer List'!B:C,2,)</f>
        <v>Delhi</v>
      </c>
      <c r="AE684" s="67"/>
      <c r="AF684" s="6"/>
      <c r="AG684" s="62" t="str">
        <f t="shared" si="151"/>
        <v/>
      </c>
      <c r="AH684" s="62" t="str">
        <f t="shared" si="152"/>
        <v>Friday</v>
      </c>
      <c r="AI684" s="62" t="str">
        <f t="shared" si="145"/>
        <v/>
      </c>
      <c r="AJ684" s="62" t="str">
        <f>VLOOKUP(AC684,'Currency Sheet'!A:C,3,)</f>
        <v>DOLLAR</v>
      </c>
      <c r="AK684" s="62" t="str">
        <f>VLOOKUP(X684,'Customer List'!B:D,3,)</f>
        <v>Local</v>
      </c>
    </row>
    <row r="685" spans="1:37" hidden="1" x14ac:dyDescent="0.25">
      <c r="A685" s="62">
        <f t="shared" si="146"/>
        <v>671</v>
      </c>
      <c r="B685" s="62" t="s">
        <v>824</v>
      </c>
      <c r="C685" s="62" t="s">
        <v>1841</v>
      </c>
      <c r="D685" s="6">
        <v>46122</v>
      </c>
      <c r="E685" s="6">
        <v>46132</v>
      </c>
      <c r="F685" s="63">
        <v>196.7</v>
      </c>
      <c r="G685" s="64">
        <f t="shared" si="147"/>
        <v>17309.599999999999</v>
      </c>
      <c r="H685" s="64">
        <f t="shared" si="148"/>
        <v>17309.599999999999</v>
      </c>
      <c r="I685" s="70">
        <v>336906</v>
      </c>
      <c r="J685" s="62" t="s">
        <v>1751</v>
      </c>
      <c r="K685" s="8" t="s">
        <v>1752</v>
      </c>
      <c r="L685" s="10">
        <v>47380</v>
      </c>
      <c r="M685" s="62">
        <v>1</v>
      </c>
      <c r="N685" s="8">
        <v>1</v>
      </c>
      <c r="O685" s="62">
        <f t="shared" si="149"/>
        <v>0</v>
      </c>
      <c r="P685" s="70">
        <v>144</v>
      </c>
      <c r="Q685" s="71">
        <v>46132</v>
      </c>
      <c r="R685" s="6">
        <v>46133</v>
      </c>
      <c r="S685" s="64">
        <v>30488</v>
      </c>
      <c r="T685" s="22">
        <v>5</v>
      </c>
      <c r="U685" s="64">
        <f t="shared" si="150"/>
        <v>1524.4</v>
      </c>
      <c r="V685" s="22">
        <v>-0.4</v>
      </c>
      <c r="W685" s="22">
        <v>32012</v>
      </c>
      <c r="X685" s="62" t="s">
        <v>154</v>
      </c>
      <c r="Y685" s="62">
        <v>58164555072</v>
      </c>
      <c r="Z685" s="62" t="s">
        <v>1112</v>
      </c>
      <c r="AA685" s="65">
        <v>4</v>
      </c>
      <c r="AB685" s="66"/>
      <c r="AC685" s="1" t="s">
        <v>1842</v>
      </c>
      <c r="AD685" s="62" t="str">
        <f>VLOOKUP(X685,'Customer List'!B:C,2,)</f>
        <v>Telangana</v>
      </c>
      <c r="AE685" s="67"/>
      <c r="AF685" s="6">
        <v>46134</v>
      </c>
      <c r="AG685" s="62">
        <f t="shared" si="151"/>
        <v>1</v>
      </c>
      <c r="AH685" s="62" t="str">
        <f t="shared" si="152"/>
        <v>Tuesday</v>
      </c>
      <c r="AI685" s="62" t="str">
        <f t="shared" si="145"/>
        <v>Wednesday</v>
      </c>
      <c r="AJ685" s="62" t="str">
        <f>VLOOKUP(AC685,'Currency Sheet'!A:C,3,)</f>
        <v>DOLLAR</v>
      </c>
      <c r="AK685" s="62" t="str">
        <f>VLOOKUP(X685,'Customer List'!B:D,3,)</f>
        <v>OutStation</v>
      </c>
    </row>
    <row r="686" spans="1:37" hidden="1" x14ac:dyDescent="0.25">
      <c r="A686" s="62">
        <f t="shared" si="146"/>
        <v>672</v>
      </c>
      <c r="B686" s="62" t="s">
        <v>824</v>
      </c>
      <c r="C686" s="62" t="s">
        <v>1841</v>
      </c>
      <c r="D686" s="6">
        <v>46122</v>
      </c>
      <c r="E686" s="6">
        <v>46132</v>
      </c>
      <c r="F686" s="63">
        <v>123.2</v>
      </c>
      <c r="G686" s="64">
        <f t="shared" si="147"/>
        <v>10841.6</v>
      </c>
      <c r="H686" s="64">
        <f t="shared" si="148"/>
        <v>10841.6</v>
      </c>
      <c r="I686" s="70">
        <v>341407</v>
      </c>
      <c r="J686" s="62" t="s">
        <v>1753</v>
      </c>
      <c r="K686" s="8" t="s">
        <v>1754</v>
      </c>
      <c r="L686" s="10">
        <v>46635</v>
      </c>
      <c r="M686" s="62">
        <v>1</v>
      </c>
      <c r="N686" s="8">
        <v>1</v>
      </c>
      <c r="O686" s="62">
        <f t="shared" si="149"/>
        <v>0</v>
      </c>
      <c r="P686" s="70" t="s">
        <v>1937</v>
      </c>
      <c r="Q686" s="71">
        <v>46132</v>
      </c>
      <c r="R686" s="6">
        <v>46132</v>
      </c>
      <c r="S686" s="64">
        <v>16368</v>
      </c>
      <c r="T686" s="22">
        <v>5</v>
      </c>
      <c r="U686" s="64">
        <f t="shared" si="150"/>
        <v>818.40000000000009</v>
      </c>
      <c r="V686" s="22">
        <v>0</v>
      </c>
      <c r="W686" s="22">
        <v>258561</v>
      </c>
      <c r="X686" s="62" t="s">
        <v>94</v>
      </c>
      <c r="Y686" s="62" t="s">
        <v>1120</v>
      </c>
      <c r="Z686" s="62" t="s">
        <v>1863</v>
      </c>
      <c r="AA686" s="65">
        <v>4</v>
      </c>
      <c r="AB686" s="66"/>
      <c r="AC686" s="1" t="s">
        <v>1842</v>
      </c>
      <c r="AD686" s="62" t="str">
        <f>VLOOKUP(X686,'Customer List'!B:C,2,)</f>
        <v>Delhi</v>
      </c>
      <c r="AE686" s="67"/>
      <c r="AF686" s="6"/>
      <c r="AG686" s="62" t="str">
        <f t="shared" si="151"/>
        <v/>
      </c>
      <c r="AH686" s="62" t="str">
        <f t="shared" si="152"/>
        <v>Monday</v>
      </c>
      <c r="AI686" s="62" t="str">
        <f t="shared" si="145"/>
        <v/>
      </c>
      <c r="AJ686" s="62" t="str">
        <f>VLOOKUP(AC686,'Currency Sheet'!A:C,3,)</f>
        <v>DOLLAR</v>
      </c>
      <c r="AK686" s="62" t="str">
        <f>VLOOKUP(X686,'Customer List'!B:D,3,)</f>
        <v>Local</v>
      </c>
    </row>
    <row r="687" spans="1:37" hidden="1" x14ac:dyDescent="0.25">
      <c r="A687" s="62">
        <f t="shared" si="146"/>
        <v>673</v>
      </c>
      <c r="B687" s="62" t="s">
        <v>824</v>
      </c>
      <c r="C687" s="62" t="s">
        <v>1841</v>
      </c>
      <c r="D687" s="6">
        <v>46122</v>
      </c>
      <c r="E687" s="6">
        <v>46132</v>
      </c>
      <c r="F687" s="63">
        <v>217.7</v>
      </c>
      <c r="G687" s="64">
        <f t="shared" si="147"/>
        <v>19157.599999999999</v>
      </c>
      <c r="H687" s="64">
        <f t="shared" si="148"/>
        <v>19157.599999999999</v>
      </c>
      <c r="I687" s="70">
        <v>342506</v>
      </c>
      <c r="J687" s="62" t="s">
        <v>1755</v>
      </c>
      <c r="K687" s="8" t="s">
        <v>1756</v>
      </c>
      <c r="L687" s="10">
        <v>47566</v>
      </c>
      <c r="M687" s="62">
        <v>1</v>
      </c>
      <c r="N687" s="8">
        <v>1</v>
      </c>
      <c r="O687" s="62">
        <f t="shared" si="149"/>
        <v>0</v>
      </c>
      <c r="P687" s="70">
        <v>137</v>
      </c>
      <c r="Q687" s="71">
        <v>46132</v>
      </c>
      <c r="R687" s="6">
        <v>46132</v>
      </c>
      <c r="S687" s="64">
        <v>30478</v>
      </c>
      <c r="T687" s="22">
        <v>5</v>
      </c>
      <c r="U687" s="64">
        <f t="shared" si="150"/>
        <v>1523.9</v>
      </c>
      <c r="V687" s="22">
        <v>0</v>
      </c>
      <c r="W687" s="22">
        <v>62152</v>
      </c>
      <c r="X687" s="62" t="s">
        <v>20</v>
      </c>
      <c r="Y687" s="62" t="s">
        <v>1105</v>
      </c>
      <c r="Z687" s="62" t="s">
        <v>1105</v>
      </c>
      <c r="AA687" s="65">
        <v>4</v>
      </c>
      <c r="AB687" s="66"/>
      <c r="AC687" s="1" t="s">
        <v>1842</v>
      </c>
      <c r="AD687" s="62" t="str">
        <f>VLOOKUP(X687,'Customer List'!B:C,2,)</f>
        <v>Delhi</v>
      </c>
      <c r="AE687" s="67"/>
      <c r="AF687" s="6"/>
      <c r="AG687" s="62" t="str">
        <f t="shared" si="151"/>
        <v/>
      </c>
      <c r="AH687" s="62" t="str">
        <f t="shared" si="152"/>
        <v>Saturday</v>
      </c>
      <c r="AI687" s="62" t="str">
        <f t="shared" si="145"/>
        <v/>
      </c>
      <c r="AJ687" s="62" t="str">
        <f>VLOOKUP(AC687,'Currency Sheet'!A:C,3,)</f>
        <v>DOLLAR</v>
      </c>
      <c r="AK687" s="62" t="str">
        <f>VLOOKUP(X687,'Customer List'!B:D,3,)</f>
        <v>Local</v>
      </c>
    </row>
    <row r="688" spans="1:37" hidden="1" x14ac:dyDescent="0.25">
      <c r="A688" s="62">
        <f t="shared" si="146"/>
        <v>674</v>
      </c>
      <c r="B688" s="62" t="s">
        <v>824</v>
      </c>
      <c r="C688" s="62" t="s">
        <v>1841</v>
      </c>
      <c r="D688" s="6">
        <v>46122</v>
      </c>
      <c r="E688" s="6">
        <v>46132</v>
      </c>
      <c r="F688" s="63">
        <v>210.7</v>
      </c>
      <c r="G688" s="64">
        <f t="shared" si="147"/>
        <v>18541.599999999999</v>
      </c>
      <c r="H688" s="64">
        <f t="shared" si="148"/>
        <v>18541.599999999999</v>
      </c>
      <c r="I688" s="70">
        <v>342904</v>
      </c>
      <c r="J688" s="62" t="s">
        <v>1757</v>
      </c>
      <c r="K688" s="8" t="s">
        <v>1758</v>
      </c>
      <c r="L688" s="10">
        <v>46538</v>
      </c>
      <c r="M688" s="62">
        <v>1</v>
      </c>
      <c r="N688" s="8">
        <v>1</v>
      </c>
      <c r="O688" s="62">
        <f t="shared" si="149"/>
        <v>0</v>
      </c>
      <c r="P688" s="70">
        <v>159</v>
      </c>
      <c r="Q688" s="71">
        <v>46133</v>
      </c>
      <c r="R688" s="6">
        <v>46133</v>
      </c>
      <c r="S688" s="64">
        <v>34991.25</v>
      </c>
      <c r="T688" s="22">
        <v>5</v>
      </c>
      <c r="U688" s="64">
        <f t="shared" si="150"/>
        <v>1749.5625</v>
      </c>
      <c r="V688" s="22">
        <v>0</v>
      </c>
      <c r="W688" s="22">
        <v>324993</v>
      </c>
      <c r="X688" s="62" t="s">
        <v>94</v>
      </c>
      <c r="Y688" s="62" t="s">
        <v>1120</v>
      </c>
      <c r="Z688" s="62" t="s">
        <v>1863</v>
      </c>
      <c r="AA688" s="65">
        <v>4</v>
      </c>
      <c r="AB688" s="66"/>
      <c r="AC688" s="1" t="s">
        <v>1842</v>
      </c>
      <c r="AD688" s="62" t="str">
        <f>VLOOKUP(X688,'Customer List'!B:C,2,)</f>
        <v>Delhi</v>
      </c>
      <c r="AE688" s="67"/>
      <c r="AF688" s="6"/>
      <c r="AG688" s="62" t="str">
        <f t="shared" si="151"/>
        <v/>
      </c>
      <c r="AH688" s="62" t="str">
        <f t="shared" si="152"/>
        <v>Thursday</v>
      </c>
      <c r="AI688" s="62" t="str">
        <f t="shared" si="145"/>
        <v/>
      </c>
      <c r="AJ688" s="62" t="str">
        <f>VLOOKUP(AC688,'Currency Sheet'!A:C,3,)</f>
        <v>DOLLAR</v>
      </c>
      <c r="AK688" s="62" t="str">
        <f>VLOOKUP(X688,'Customer List'!B:D,3,)</f>
        <v>Local</v>
      </c>
    </row>
    <row r="689" spans="1:37" hidden="1" x14ac:dyDescent="0.25">
      <c r="A689" s="62">
        <f t="shared" si="146"/>
        <v>675</v>
      </c>
      <c r="B689" s="62" t="s">
        <v>824</v>
      </c>
      <c r="C689" s="62" t="s">
        <v>1841</v>
      </c>
      <c r="D689" s="6">
        <v>46122</v>
      </c>
      <c r="E689" s="6">
        <v>46132</v>
      </c>
      <c r="F689" s="63">
        <v>297</v>
      </c>
      <c r="G689" s="64">
        <f t="shared" si="147"/>
        <v>26136</v>
      </c>
      <c r="H689" s="64">
        <f t="shared" si="148"/>
        <v>26136</v>
      </c>
      <c r="I689" s="70">
        <v>344642</v>
      </c>
      <c r="J689" s="62" t="s">
        <v>1698</v>
      </c>
      <c r="K689" s="8" t="s">
        <v>1759</v>
      </c>
      <c r="L689" s="10">
        <v>46977</v>
      </c>
      <c r="M689" s="62">
        <v>1</v>
      </c>
      <c r="N689" s="8">
        <v>1</v>
      </c>
      <c r="O689" s="62">
        <f t="shared" si="149"/>
        <v>0</v>
      </c>
      <c r="P689" s="70">
        <v>200</v>
      </c>
      <c r="Q689" s="71">
        <v>46139</v>
      </c>
      <c r="R689" s="6">
        <v>46139</v>
      </c>
      <c r="S689" s="64">
        <v>33858</v>
      </c>
      <c r="T689" s="22">
        <v>5</v>
      </c>
      <c r="U689" s="64">
        <f t="shared" si="150"/>
        <v>1692.9</v>
      </c>
      <c r="V689" s="22"/>
      <c r="W689" s="22"/>
      <c r="X689" s="62" t="s">
        <v>793</v>
      </c>
      <c r="Y689" s="62" t="s">
        <v>1120</v>
      </c>
      <c r="Z689" s="62" t="s">
        <v>1863</v>
      </c>
      <c r="AA689" s="65">
        <v>4</v>
      </c>
      <c r="AB689" s="66"/>
      <c r="AC689" s="1" t="s">
        <v>1842</v>
      </c>
      <c r="AD689" s="62" t="str">
        <f>VLOOKUP(X689,'Customer List'!B:C,2,)</f>
        <v>Delhi</v>
      </c>
      <c r="AE689" s="67"/>
      <c r="AF689" s="6"/>
      <c r="AG689" s="62" t="str">
        <f t="shared" si="151"/>
        <v/>
      </c>
      <c r="AH689" s="62" t="str">
        <f t="shared" si="152"/>
        <v>Friday</v>
      </c>
      <c r="AI689" s="62" t="str">
        <f t="shared" si="145"/>
        <v/>
      </c>
      <c r="AJ689" s="62" t="str">
        <f>VLOOKUP(AC689,'Currency Sheet'!A:C,3,)</f>
        <v>DOLLAR</v>
      </c>
      <c r="AK689" s="62" t="str">
        <f>VLOOKUP(X689,'Customer List'!B:D,3,)</f>
        <v>Local</v>
      </c>
    </row>
    <row r="690" spans="1:37" hidden="1" x14ac:dyDescent="0.25">
      <c r="A690" s="62">
        <f t="shared" si="146"/>
        <v>676</v>
      </c>
      <c r="B690" s="62" t="s">
        <v>824</v>
      </c>
      <c r="C690" s="62" t="s">
        <v>1841</v>
      </c>
      <c r="D690" s="6">
        <v>46122</v>
      </c>
      <c r="E690" s="6">
        <v>46132</v>
      </c>
      <c r="F690" s="63">
        <v>297</v>
      </c>
      <c r="G690" s="64">
        <f t="shared" si="147"/>
        <v>26136</v>
      </c>
      <c r="H690" s="64">
        <f t="shared" si="148"/>
        <v>26136</v>
      </c>
      <c r="I690" s="70">
        <v>344642</v>
      </c>
      <c r="J690" s="62" t="s">
        <v>1698</v>
      </c>
      <c r="K690" s="8" t="s">
        <v>1759</v>
      </c>
      <c r="L690" s="10">
        <v>46977</v>
      </c>
      <c r="M690" s="62">
        <v>1</v>
      </c>
      <c r="N690" s="8">
        <v>1</v>
      </c>
      <c r="O690" s="62">
        <f t="shared" si="149"/>
        <v>0</v>
      </c>
      <c r="P690" s="70">
        <v>252</v>
      </c>
      <c r="Q690" s="71">
        <v>46142</v>
      </c>
      <c r="R690" s="6">
        <v>46142</v>
      </c>
      <c r="S690" s="64">
        <v>44550</v>
      </c>
      <c r="T690" s="22">
        <v>5</v>
      </c>
      <c r="U690" s="64">
        <f t="shared" si="150"/>
        <v>2227.5</v>
      </c>
      <c r="V690" s="22">
        <v>0</v>
      </c>
      <c r="W690" s="22">
        <v>219476</v>
      </c>
      <c r="X690" s="62" t="s">
        <v>793</v>
      </c>
      <c r="Y690" s="62" t="s">
        <v>1120</v>
      </c>
      <c r="Z690" s="62" t="s">
        <v>1863</v>
      </c>
      <c r="AA690" s="65">
        <v>4</v>
      </c>
      <c r="AB690" s="66"/>
      <c r="AC690" s="1" t="s">
        <v>1842</v>
      </c>
      <c r="AD690" s="62" t="str">
        <f>VLOOKUP(X690,'Customer List'!B:C,2,)</f>
        <v>Delhi</v>
      </c>
      <c r="AE690" s="67"/>
      <c r="AF690" s="6"/>
      <c r="AG690" s="62" t="str">
        <f t="shared" si="151"/>
        <v/>
      </c>
      <c r="AH690" s="62" t="str">
        <f t="shared" si="152"/>
        <v>Monday</v>
      </c>
      <c r="AI690" s="62" t="str">
        <f t="shared" si="145"/>
        <v/>
      </c>
      <c r="AJ690" s="62" t="str">
        <f>VLOOKUP(AC690,'Currency Sheet'!A:C,3,)</f>
        <v>DOLLAR</v>
      </c>
      <c r="AK690" s="62" t="str">
        <f>VLOOKUP(X690,'Customer List'!B:D,3,)</f>
        <v>Local</v>
      </c>
    </row>
    <row r="691" spans="1:37" hidden="1" x14ac:dyDescent="0.25">
      <c r="A691" s="62">
        <f t="shared" si="146"/>
        <v>677</v>
      </c>
      <c r="B691" s="62" t="s">
        <v>824</v>
      </c>
      <c r="C691" s="62" t="s">
        <v>1841</v>
      </c>
      <c r="D691" s="6">
        <v>46122</v>
      </c>
      <c r="E691" s="6">
        <v>46132</v>
      </c>
      <c r="F691" s="63">
        <v>169.4</v>
      </c>
      <c r="G691" s="64">
        <f t="shared" si="147"/>
        <v>14907.2</v>
      </c>
      <c r="H691" s="64">
        <f t="shared" si="148"/>
        <v>29814.400000000001</v>
      </c>
      <c r="I691" s="70">
        <v>344704</v>
      </c>
      <c r="J691" s="62" t="s">
        <v>1760</v>
      </c>
      <c r="K691" s="8" t="s">
        <v>1761</v>
      </c>
      <c r="L691" s="10">
        <v>48165</v>
      </c>
      <c r="M691" s="62">
        <v>2</v>
      </c>
      <c r="N691" s="8">
        <v>2</v>
      </c>
      <c r="O691" s="62">
        <f t="shared" si="149"/>
        <v>0</v>
      </c>
      <c r="P691" s="70" t="s">
        <v>1937</v>
      </c>
      <c r="Q691" s="71">
        <v>46132</v>
      </c>
      <c r="R691" s="6">
        <v>46132</v>
      </c>
      <c r="S691" s="64">
        <v>45012</v>
      </c>
      <c r="T691" s="22">
        <v>5</v>
      </c>
      <c r="U691" s="64">
        <f t="shared" si="150"/>
        <v>2250.6</v>
      </c>
      <c r="V691" s="22">
        <v>0</v>
      </c>
      <c r="W691" s="22">
        <v>258561</v>
      </c>
      <c r="X691" s="62" t="s">
        <v>94</v>
      </c>
      <c r="Y691" s="62" t="s">
        <v>1120</v>
      </c>
      <c r="Z691" s="62" t="s">
        <v>1863</v>
      </c>
      <c r="AA691" s="65">
        <v>4</v>
      </c>
      <c r="AB691" s="66"/>
      <c r="AC691" s="1" t="s">
        <v>1842</v>
      </c>
      <c r="AD691" s="62" t="str">
        <f>VLOOKUP(X691,'Customer List'!B:C,2,)</f>
        <v>Delhi</v>
      </c>
      <c r="AE691" s="67"/>
      <c r="AF691" s="6"/>
      <c r="AG691" s="62" t="str">
        <f t="shared" si="151"/>
        <v/>
      </c>
      <c r="AH691" s="62" t="str">
        <f t="shared" si="152"/>
        <v>Monday</v>
      </c>
      <c r="AI691" s="62" t="str">
        <f t="shared" si="145"/>
        <v/>
      </c>
      <c r="AJ691" s="62" t="str">
        <f>VLOOKUP(AC691,'Currency Sheet'!A:C,3,)</f>
        <v>DOLLAR</v>
      </c>
      <c r="AK691" s="62" t="str">
        <f>VLOOKUP(X691,'Customer List'!B:D,3,)</f>
        <v>Local</v>
      </c>
    </row>
    <row r="692" spans="1:37" hidden="1" x14ac:dyDescent="0.25">
      <c r="A692" s="62">
        <f t="shared" si="146"/>
        <v>678</v>
      </c>
      <c r="B692" s="62" t="s">
        <v>824</v>
      </c>
      <c r="C692" s="62" t="s">
        <v>1841</v>
      </c>
      <c r="D692" s="6">
        <v>46122</v>
      </c>
      <c r="E692" s="6">
        <v>46132</v>
      </c>
      <c r="F692" s="63">
        <v>193.2</v>
      </c>
      <c r="G692" s="64">
        <f t="shared" si="147"/>
        <v>17001.599999999999</v>
      </c>
      <c r="H692" s="64">
        <f t="shared" si="148"/>
        <v>17001.599999999999</v>
      </c>
      <c r="I692" s="70">
        <v>344866</v>
      </c>
      <c r="J692" s="62" t="s">
        <v>1724</v>
      </c>
      <c r="K692" s="8" t="s">
        <v>1762</v>
      </c>
      <c r="L692" s="10">
        <v>46811</v>
      </c>
      <c r="M692" s="62">
        <v>1</v>
      </c>
      <c r="N692" s="8">
        <v>1</v>
      </c>
      <c r="O692" s="62">
        <f t="shared" si="149"/>
        <v>0</v>
      </c>
      <c r="P692" s="70" t="s">
        <v>1876</v>
      </c>
      <c r="Q692" s="71">
        <v>46133</v>
      </c>
      <c r="R692" s="6">
        <v>46133</v>
      </c>
      <c r="S692" s="64">
        <v>0</v>
      </c>
      <c r="T692" s="22">
        <v>5</v>
      </c>
      <c r="U692" s="64">
        <f t="shared" si="150"/>
        <v>0</v>
      </c>
      <c r="V692" s="22">
        <v>0</v>
      </c>
      <c r="W692" s="22">
        <v>0</v>
      </c>
      <c r="X692" s="62" t="s">
        <v>94</v>
      </c>
      <c r="Y692" s="62" t="s">
        <v>1120</v>
      </c>
      <c r="Z692" s="62" t="s">
        <v>1863</v>
      </c>
      <c r="AA692" s="65">
        <v>4</v>
      </c>
      <c r="AB692" s="66" t="s">
        <v>1877</v>
      </c>
      <c r="AC692" s="1" t="s">
        <v>1842</v>
      </c>
      <c r="AD692" s="62" t="str">
        <f>VLOOKUP(X692,'Customer List'!B:C,2,)</f>
        <v>Delhi</v>
      </c>
      <c r="AE692" s="67"/>
      <c r="AF692" s="6"/>
      <c r="AG692" s="62" t="str">
        <f t="shared" si="151"/>
        <v/>
      </c>
      <c r="AH692" s="62" t="str">
        <f t="shared" si="152"/>
        <v>Saturday</v>
      </c>
      <c r="AI692" s="62" t="str">
        <f t="shared" si="145"/>
        <v/>
      </c>
      <c r="AJ692" s="62" t="str">
        <f>VLOOKUP(AC692,'Currency Sheet'!A:C,3,)</f>
        <v>DOLLAR</v>
      </c>
      <c r="AK692" s="62" t="str">
        <f>VLOOKUP(X692,'Customer List'!B:D,3,)</f>
        <v>Local</v>
      </c>
    </row>
    <row r="693" spans="1:37" hidden="1" x14ac:dyDescent="0.25">
      <c r="A693" s="62">
        <f t="shared" si="146"/>
        <v>679</v>
      </c>
      <c r="B693" s="62" t="s">
        <v>824</v>
      </c>
      <c r="C693" s="62" t="s">
        <v>1841</v>
      </c>
      <c r="D693" s="6">
        <v>46122</v>
      </c>
      <c r="E693" s="6">
        <v>46132</v>
      </c>
      <c r="F693" s="63">
        <v>86.8</v>
      </c>
      <c r="G693" s="64">
        <f t="shared" si="147"/>
        <v>7638.4</v>
      </c>
      <c r="H693" s="64">
        <f t="shared" si="148"/>
        <v>7638.4</v>
      </c>
      <c r="I693" s="70">
        <v>351703</v>
      </c>
      <c r="J693" s="62" t="s">
        <v>1763</v>
      </c>
      <c r="K693" s="8" t="s">
        <v>1764</v>
      </c>
      <c r="L693" s="10">
        <v>48026</v>
      </c>
      <c r="M693" s="62">
        <v>1</v>
      </c>
      <c r="N693" s="8">
        <v>1</v>
      </c>
      <c r="O693" s="62">
        <f t="shared" si="149"/>
        <v>0</v>
      </c>
      <c r="P693" s="70" t="s">
        <v>1876</v>
      </c>
      <c r="Q693" s="71">
        <v>46133</v>
      </c>
      <c r="R693" s="6">
        <v>46133</v>
      </c>
      <c r="S693" s="64">
        <v>0</v>
      </c>
      <c r="T693" s="22">
        <v>5</v>
      </c>
      <c r="U693" s="64">
        <f t="shared" si="150"/>
        <v>0</v>
      </c>
      <c r="V693" s="22">
        <v>0</v>
      </c>
      <c r="W693" s="22">
        <v>0</v>
      </c>
      <c r="X693" s="62" t="s">
        <v>94</v>
      </c>
      <c r="Y693" s="62" t="s">
        <v>1120</v>
      </c>
      <c r="Z693" s="62" t="s">
        <v>1863</v>
      </c>
      <c r="AA693" s="65">
        <v>4</v>
      </c>
      <c r="AB693" s="66" t="s">
        <v>1877</v>
      </c>
      <c r="AC693" s="1" t="s">
        <v>1842</v>
      </c>
      <c r="AD693" s="62" t="str">
        <f>VLOOKUP(X693,'Customer List'!B:C,2,)</f>
        <v>Delhi</v>
      </c>
      <c r="AE693" s="67"/>
      <c r="AF693" s="6"/>
      <c r="AG693" s="62" t="str">
        <f t="shared" si="151"/>
        <v/>
      </c>
      <c r="AH693" s="62" t="str">
        <f t="shared" si="152"/>
        <v>Saturday</v>
      </c>
      <c r="AI693" s="62" t="str">
        <f t="shared" si="145"/>
        <v/>
      </c>
      <c r="AJ693" s="62" t="str">
        <f>VLOOKUP(AC693,'Currency Sheet'!A:C,3,)</f>
        <v>DOLLAR</v>
      </c>
      <c r="AK693" s="62" t="str">
        <f>VLOOKUP(X693,'Customer List'!B:D,3,)</f>
        <v>Local</v>
      </c>
    </row>
    <row r="694" spans="1:37" hidden="1" x14ac:dyDescent="0.25">
      <c r="A694" s="62">
        <f t="shared" si="146"/>
        <v>680</v>
      </c>
      <c r="B694" s="62" t="s">
        <v>824</v>
      </c>
      <c r="C694" s="62" t="s">
        <v>1841</v>
      </c>
      <c r="D694" s="6">
        <v>46122</v>
      </c>
      <c r="E694" s="6">
        <v>46132</v>
      </c>
      <c r="F694" s="63">
        <v>82.6</v>
      </c>
      <c r="G694" s="64">
        <f t="shared" si="147"/>
        <v>7268.7999999999993</v>
      </c>
      <c r="H694" s="64">
        <f t="shared" si="148"/>
        <v>14537.599999999999</v>
      </c>
      <c r="I694" s="70">
        <v>357406</v>
      </c>
      <c r="J694" s="62" t="s">
        <v>1698</v>
      </c>
      <c r="K694" s="8" t="s">
        <v>1765</v>
      </c>
      <c r="L694" s="10">
        <v>46760</v>
      </c>
      <c r="M694" s="62">
        <v>2</v>
      </c>
      <c r="N694" s="8">
        <v>2</v>
      </c>
      <c r="O694" s="62">
        <f t="shared" si="149"/>
        <v>0</v>
      </c>
      <c r="P694" s="70" t="s">
        <v>1937</v>
      </c>
      <c r="Q694" s="71">
        <v>46132</v>
      </c>
      <c r="R694" s="6">
        <v>46132</v>
      </c>
      <c r="S694" s="64">
        <v>21948</v>
      </c>
      <c r="T694" s="22">
        <v>5</v>
      </c>
      <c r="U694" s="64">
        <f t="shared" si="150"/>
        <v>1097.4000000000001</v>
      </c>
      <c r="V694" s="22">
        <v>0</v>
      </c>
      <c r="W694" s="22">
        <v>258561</v>
      </c>
      <c r="X694" s="62" t="s">
        <v>94</v>
      </c>
      <c r="Y694" s="62" t="s">
        <v>1120</v>
      </c>
      <c r="Z694" s="62" t="s">
        <v>1863</v>
      </c>
      <c r="AA694" s="65">
        <v>4</v>
      </c>
      <c r="AB694" s="66"/>
      <c r="AC694" s="1" t="s">
        <v>1842</v>
      </c>
      <c r="AD694" s="62" t="str">
        <f>VLOOKUP(X694,'Customer List'!B:C,2,)</f>
        <v>Delhi</v>
      </c>
      <c r="AE694" s="67"/>
      <c r="AF694" s="6"/>
      <c r="AG694" s="62" t="str">
        <f t="shared" si="151"/>
        <v/>
      </c>
      <c r="AH694" s="62" t="str">
        <f t="shared" si="152"/>
        <v>Tuesday</v>
      </c>
      <c r="AI694" s="62" t="str">
        <f t="shared" si="145"/>
        <v/>
      </c>
      <c r="AJ694" s="62" t="str">
        <f>VLOOKUP(AC694,'Currency Sheet'!A:C,3,)</f>
        <v>DOLLAR</v>
      </c>
      <c r="AK694" s="62" t="str">
        <f>VLOOKUP(X694,'Customer List'!B:D,3,)</f>
        <v>Local</v>
      </c>
    </row>
    <row r="695" spans="1:37" hidden="1" x14ac:dyDescent="0.25">
      <c r="A695" s="62">
        <f t="shared" si="146"/>
        <v>681</v>
      </c>
      <c r="B695" s="62" t="s">
        <v>824</v>
      </c>
      <c r="C695" s="62" t="s">
        <v>1841</v>
      </c>
      <c r="D695" s="6">
        <v>46122</v>
      </c>
      <c r="E695" s="6">
        <v>46132</v>
      </c>
      <c r="F695" s="63">
        <v>304.5</v>
      </c>
      <c r="G695" s="64">
        <f t="shared" si="147"/>
        <v>26796</v>
      </c>
      <c r="H695" s="64">
        <f t="shared" si="148"/>
        <v>26796</v>
      </c>
      <c r="I695" s="70">
        <v>363028</v>
      </c>
      <c r="J695" s="62" t="s">
        <v>1706</v>
      </c>
      <c r="K695" s="8" t="s">
        <v>1766</v>
      </c>
      <c r="L695" s="10">
        <v>47015</v>
      </c>
      <c r="M695" s="62">
        <v>1</v>
      </c>
      <c r="N695" s="8">
        <v>1</v>
      </c>
      <c r="O695" s="62">
        <f t="shared" si="149"/>
        <v>0</v>
      </c>
      <c r="P695" s="70" t="s">
        <v>1937</v>
      </c>
      <c r="Q695" s="71">
        <v>46132</v>
      </c>
      <c r="R695" s="6">
        <v>46132</v>
      </c>
      <c r="S695" s="64">
        <v>44051</v>
      </c>
      <c r="T695" s="22">
        <v>5</v>
      </c>
      <c r="U695" s="64">
        <f t="shared" si="150"/>
        <v>2202.5500000000002</v>
      </c>
      <c r="V695" s="22">
        <v>0</v>
      </c>
      <c r="W695" s="22">
        <v>258561</v>
      </c>
      <c r="X695" s="62" t="s">
        <v>94</v>
      </c>
      <c r="Y695" s="62" t="s">
        <v>1120</v>
      </c>
      <c r="Z695" s="62" t="s">
        <v>1863</v>
      </c>
      <c r="AA695" s="65">
        <v>4</v>
      </c>
      <c r="AB695" s="66"/>
      <c r="AC695" s="1" t="s">
        <v>1842</v>
      </c>
      <c r="AD695" s="62" t="str">
        <f>VLOOKUP(X695,'Customer List'!B:C,2,)</f>
        <v>Delhi</v>
      </c>
      <c r="AE695" s="67"/>
      <c r="AF695" s="6"/>
      <c r="AG695" s="62" t="str">
        <f t="shared" si="151"/>
        <v/>
      </c>
      <c r="AH695" s="62" t="str">
        <f t="shared" si="152"/>
        <v>Saturday</v>
      </c>
      <c r="AI695" s="62" t="str">
        <f t="shared" si="145"/>
        <v/>
      </c>
      <c r="AJ695" s="62" t="str">
        <f>VLOOKUP(AC695,'Currency Sheet'!A:C,3,)</f>
        <v>DOLLAR</v>
      </c>
      <c r="AK695" s="62" t="str">
        <f>VLOOKUP(X695,'Customer List'!B:D,3,)</f>
        <v>Local</v>
      </c>
    </row>
    <row r="696" spans="1:37" hidden="1" x14ac:dyDescent="0.25">
      <c r="A696" s="62">
        <f t="shared" si="146"/>
        <v>682</v>
      </c>
      <c r="B696" s="62" t="s">
        <v>824</v>
      </c>
      <c r="C696" s="62" t="s">
        <v>1841</v>
      </c>
      <c r="D696" s="6">
        <v>46122</v>
      </c>
      <c r="E696" s="6">
        <v>46132</v>
      </c>
      <c r="F696" s="63">
        <v>259</v>
      </c>
      <c r="G696" s="64">
        <f t="shared" si="147"/>
        <v>22792</v>
      </c>
      <c r="H696" s="64">
        <f t="shared" si="148"/>
        <v>45584</v>
      </c>
      <c r="I696" s="70">
        <v>363210</v>
      </c>
      <c r="J696" s="62" t="s">
        <v>1767</v>
      </c>
      <c r="K696" s="8" t="s">
        <v>1768</v>
      </c>
      <c r="L696" s="10">
        <v>47533</v>
      </c>
      <c r="M696" s="62">
        <v>2</v>
      </c>
      <c r="N696" s="8">
        <v>2</v>
      </c>
      <c r="O696" s="62">
        <f t="shared" si="149"/>
        <v>0</v>
      </c>
      <c r="P696" s="70">
        <v>197</v>
      </c>
      <c r="Q696" s="71">
        <v>46139</v>
      </c>
      <c r="R696" s="6">
        <v>46139</v>
      </c>
      <c r="S696" s="64">
        <v>68376</v>
      </c>
      <c r="T696" s="22">
        <v>5</v>
      </c>
      <c r="U696" s="64">
        <f t="shared" si="150"/>
        <v>3418.8</v>
      </c>
      <c r="V696" s="22">
        <v>0.2</v>
      </c>
      <c r="W696" s="22">
        <v>71795</v>
      </c>
      <c r="X696" s="62" t="s">
        <v>793</v>
      </c>
      <c r="Y696" s="62" t="s">
        <v>1120</v>
      </c>
      <c r="Z696" s="62" t="s">
        <v>1863</v>
      </c>
      <c r="AA696" s="65">
        <v>4</v>
      </c>
      <c r="AB696" s="66"/>
      <c r="AC696" s="1" t="s">
        <v>1842</v>
      </c>
      <c r="AD696" s="62" t="str">
        <f>VLOOKUP(X696,'Customer List'!B:C,2,)</f>
        <v>Delhi</v>
      </c>
      <c r="AE696" s="67"/>
      <c r="AF696" s="6"/>
      <c r="AG696" s="62" t="str">
        <f t="shared" si="151"/>
        <v/>
      </c>
      <c r="AH696" s="62" t="str">
        <f t="shared" si="152"/>
        <v>Saturday</v>
      </c>
      <c r="AI696" s="62" t="str">
        <f t="shared" si="145"/>
        <v/>
      </c>
      <c r="AJ696" s="62" t="str">
        <f>VLOOKUP(AC696,'Currency Sheet'!A:C,3,)</f>
        <v>DOLLAR</v>
      </c>
      <c r="AK696" s="62" t="str">
        <f>VLOOKUP(X696,'Customer List'!B:D,3,)</f>
        <v>Local</v>
      </c>
    </row>
    <row r="697" spans="1:37" hidden="1" x14ac:dyDescent="0.25">
      <c r="A697" s="62">
        <f t="shared" si="146"/>
        <v>683</v>
      </c>
      <c r="B697" s="62" t="s">
        <v>824</v>
      </c>
      <c r="C697" s="62" t="s">
        <v>1841</v>
      </c>
      <c r="D697" s="6">
        <v>46122</v>
      </c>
      <c r="E697" s="6">
        <v>46132</v>
      </c>
      <c r="F697" s="63">
        <v>305.25</v>
      </c>
      <c r="G697" s="64">
        <f t="shared" si="147"/>
        <v>26862</v>
      </c>
      <c r="H697" s="64">
        <f t="shared" si="148"/>
        <v>26862</v>
      </c>
      <c r="I697" s="70">
        <v>368526</v>
      </c>
      <c r="J697" s="62" t="s">
        <v>1710</v>
      </c>
      <c r="K697" s="8" t="s">
        <v>1769</v>
      </c>
      <c r="L697" s="10">
        <v>46760</v>
      </c>
      <c r="M697" s="62">
        <v>1</v>
      </c>
      <c r="N697" s="8">
        <v>1</v>
      </c>
      <c r="O697" s="62">
        <f t="shared" si="149"/>
        <v>0</v>
      </c>
      <c r="P697" s="70">
        <v>145</v>
      </c>
      <c r="Q697" s="71">
        <v>46132</v>
      </c>
      <c r="R697" s="6">
        <v>46133</v>
      </c>
      <c r="S697" s="64">
        <v>37581</v>
      </c>
      <c r="T697" s="22">
        <v>5</v>
      </c>
      <c r="U697" s="64">
        <f t="shared" si="150"/>
        <v>1879.0500000000002</v>
      </c>
      <c r="V697" s="22">
        <v>-0.4</v>
      </c>
      <c r="W697" s="22">
        <v>62105</v>
      </c>
      <c r="X697" s="62" t="s">
        <v>37</v>
      </c>
      <c r="Y697" s="62">
        <v>58164554630</v>
      </c>
      <c r="Z697" s="62" t="s">
        <v>1112</v>
      </c>
      <c r="AA697" s="65">
        <v>4</v>
      </c>
      <c r="AB697" s="66"/>
      <c r="AC697" s="1" t="s">
        <v>1842</v>
      </c>
      <c r="AD697" s="62" t="str">
        <f>VLOOKUP(X697,'Customer List'!B:C,2,)</f>
        <v>Hyderabad</v>
      </c>
      <c r="AE697" s="67"/>
      <c r="AF697" s="6">
        <v>46134</v>
      </c>
      <c r="AG697" s="62">
        <f t="shared" si="151"/>
        <v>1</v>
      </c>
      <c r="AH697" s="62" t="str">
        <f t="shared" si="152"/>
        <v>Thursday</v>
      </c>
      <c r="AI697" s="62" t="str">
        <f t="shared" si="145"/>
        <v>Wednesday</v>
      </c>
      <c r="AJ697" s="62" t="str">
        <f>VLOOKUP(AC697,'Currency Sheet'!A:C,3,)</f>
        <v>DOLLAR</v>
      </c>
      <c r="AK697" s="62" t="str">
        <f>VLOOKUP(X697,'Customer List'!B:D,3,)</f>
        <v>OutStation</v>
      </c>
    </row>
    <row r="698" spans="1:37" hidden="1" x14ac:dyDescent="0.25">
      <c r="A698" s="62">
        <f t="shared" si="146"/>
        <v>684</v>
      </c>
      <c r="B698" s="62" t="s">
        <v>824</v>
      </c>
      <c r="C698" s="62" t="s">
        <v>1841</v>
      </c>
      <c r="D698" s="6">
        <v>46122</v>
      </c>
      <c r="E698" s="6">
        <v>46132</v>
      </c>
      <c r="F698" s="63">
        <v>234.5</v>
      </c>
      <c r="G698" s="64">
        <f t="shared" si="147"/>
        <v>20636</v>
      </c>
      <c r="H698" s="64">
        <f t="shared" si="148"/>
        <v>20636</v>
      </c>
      <c r="I698" s="70">
        <v>371904</v>
      </c>
      <c r="J698" s="62" t="s">
        <v>1770</v>
      </c>
      <c r="K698" s="8" t="s">
        <v>1771</v>
      </c>
      <c r="L698" s="10">
        <v>46741</v>
      </c>
      <c r="M698" s="62">
        <v>1</v>
      </c>
      <c r="N698" s="8">
        <v>1</v>
      </c>
      <c r="O698" s="62">
        <f t="shared" si="149"/>
        <v>0</v>
      </c>
      <c r="P698" s="70">
        <v>159</v>
      </c>
      <c r="Q698" s="71">
        <v>46133</v>
      </c>
      <c r="R698" s="6">
        <v>46133</v>
      </c>
      <c r="S698" s="64">
        <v>38943.75</v>
      </c>
      <c r="T698" s="22">
        <v>5</v>
      </c>
      <c r="U698" s="64">
        <f t="shared" si="150"/>
        <v>1947.1875</v>
      </c>
      <c r="V698" s="22">
        <v>0</v>
      </c>
      <c r="W698" s="22">
        <v>324993</v>
      </c>
      <c r="X698" s="62" t="s">
        <v>94</v>
      </c>
      <c r="Y698" s="62" t="s">
        <v>1120</v>
      </c>
      <c r="Z698" s="62" t="s">
        <v>1863</v>
      </c>
      <c r="AA698" s="65">
        <v>4</v>
      </c>
      <c r="AB698" s="66"/>
      <c r="AC698" s="1" t="s">
        <v>1842</v>
      </c>
      <c r="AD698" s="62" t="str">
        <f>VLOOKUP(X698,'Customer List'!B:C,2,)</f>
        <v>Delhi</v>
      </c>
      <c r="AE698" s="67"/>
      <c r="AF698" s="6"/>
      <c r="AG698" s="62" t="str">
        <f t="shared" si="151"/>
        <v/>
      </c>
      <c r="AH698" s="62" t="str">
        <f t="shared" si="152"/>
        <v>Monday</v>
      </c>
      <c r="AI698" s="62" t="str">
        <f t="shared" si="145"/>
        <v/>
      </c>
      <c r="AJ698" s="62" t="str">
        <f>VLOOKUP(AC698,'Currency Sheet'!A:C,3,)</f>
        <v>DOLLAR</v>
      </c>
      <c r="AK698" s="62" t="str">
        <f>VLOOKUP(X698,'Customer List'!B:D,3,)</f>
        <v>Local</v>
      </c>
    </row>
    <row r="699" spans="1:37" hidden="1" x14ac:dyDescent="0.25">
      <c r="A699" s="62">
        <f t="shared" si="146"/>
        <v>685</v>
      </c>
      <c r="B699" s="62" t="s">
        <v>824</v>
      </c>
      <c r="C699" s="62" t="s">
        <v>1841</v>
      </c>
      <c r="D699" s="6">
        <v>46122</v>
      </c>
      <c r="E699" s="6">
        <v>46132</v>
      </c>
      <c r="F699" s="63">
        <v>236.25</v>
      </c>
      <c r="G699" s="64">
        <f t="shared" si="147"/>
        <v>20790</v>
      </c>
      <c r="H699" s="64">
        <f t="shared" si="148"/>
        <v>20790</v>
      </c>
      <c r="I699" s="70">
        <v>376212</v>
      </c>
      <c r="J699" s="62" t="s">
        <v>1772</v>
      </c>
      <c r="K699" s="8" t="s">
        <v>1773</v>
      </c>
      <c r="L699" s="10">
        <v>46323</v>
      </c>
      <c r="M699" s="62">
        <v>1</v>
      </c>
      <c r="N699" s="8">
        <v>1</v>
      </c>
      <c r="O699" s="62">
        <f t="shared" si="149"/>
        <v>0</v>
      </c>
      <c r="P699" s="70">
        <v>200</v>
      </c>
      <c r="Q699" s="71">
        <v>46139</v>
      </c>
      <c r="R699" s="6">
        <v>46139</v>
      </c>
      <c r="S699" s="64">
        <v>26932.5</v>
      </c>
      <c r="T699" s="22">
        <v>5</v>
      </c>
      <c r="U699" s="64">
        <f t="shared" si="150"/>
        <v>1346.625</v>
      </c>
      <c r="V699" s="22"/>
      <c r="W699" s="22"/>
      <c r="X699" s="62" t="s">
        <v>793</v>
      </c>
      <c r="Y699" s="62" t="s">
        <v>1120</v>
      </c>
      <c r="Z699" s="62" t="s">
        <v>1863</v>
      </c>
      <c r="AA699" s="65">
        <v>4</v>
      </c>
      <c r="AB699" s="66"/>
      <c r="AC699" s="1" t="s">
        <v>1842</v>
      </c>
      <c r="AD699" s="62" t="str">
        <f>VLOOKUP(X699,'Customer List'!B:C,2,)</f>
        <v>Delhi</v>
      </c>
      <c r="AE699" s="67"/>
      <c r="AF699" s="6"/>
      <c r="AG699" s="62" t="str">
        <f t="shared" si="151"/>
        <v/>
      </c>
      <c r="AH699" s="62" t="str">
        <f t="shared" si="152"/>
        <v>Tuesday</v>
      </c>
      <c r="AI699" s="62" t="str">
        <f t="shared" si="145"/>
        <v/>
      </c>
      <c r="AJ699" s="62" t="str">
        <f>VLOOKUP(AC699,'Currency Sheet'!A:C,3,)</f>
        <v>DOLLAR</v>
      </c>
      <c r="AK699" s="62" t="str">
        <f>VLOOKUP(X699,'Customer List'!B:D,3,)</f>
        <v>Local</v>
      </c>
    </row>
    <row r="700" spans="1:37" hidden="1" x14ac:dyDescent="0.25">
      <c r="A700" s="62">
        <f t="shared" si="146"/>
        <v>686</v>
      </c>
      <c r="B700" s="62" t="s">
        <v>824</v>
      </c>
      <c r="C700" s="62" t="s">
        <v>1841</v>
      </c>
      <c r="D700" s="6">
        <v>46122</v>
      </c>
      <c r="E700" s="6">
        <v>46132</v>
      </c>
      <c r="F700" s="63">
        <v>300</v>
      </c>
      <c r="G700" s="64">
        <f t="shared" si="147"/>
        <v>26400</v>
      </c>
      <c r="H700" s="64">
        <f t="shared" si="148"/>
        <v>105600</v>
      </c>
      <c r="I700" s="70">
        <v>385812</v>
      </c>
      <c r="J700" s="62" t="s">
        <v>1774</v>
      </c>
      <c r="K700" s="8" t="s">
        <v>1775</v>
      </c>
      <c r="L700" s="10">
        <v>46993</v>
      </c>
      <c r="M700" s="62">
        <v>4</v>
      </c>
      <c r="N700" s="8">
        <v>4</v>
      </c>
      <c r="O700" s="62">
        <f t="shared" si="149"/>
        <v>0</v>
      </c>
      <c r="P700" s="70" t="s">
        <v>1938</v>
      </c>
      <c r="Q700" s="71">
        <v>46132</v>
      </c>
      <c r="R700" s="6">
        <v>46132</v>
      </c>
      <c r="S700" s="64">
        <v>173600</v>
      </c>
      <c r="T700" s="22">
        <v>5</v>
      </c>
      <c r="U700" s="64">
        <f t="shared" si="150"/>
        <v>8680</v>
      </c>
      <c r="V700" s="22">
        <v>0</v>
      </c>
      <c r="W700" s="22">
        <v>757373</v>
      </c>
      <c r="X700" s="62" t="s">
        <v>94</v>
      </c>
      <c r="Y700" s="62" t="s">
        <v>1120</v>
      </c>
      <c r="Z700" s="62" t="s">
        <v>1863</v>
      </c>
      <c r="AA700" s="65">
        <v>4</v>
      </c>
      <c r="AB700" s="66"/>
      <c r="AC700" s="1" t="s">
        <v>1842</v>
      </c>
      <c r="AD700" s="62" t="str">
        <f>VLOOKUP(X700,'Customer List'!B:C,2,)</f>
        <v>Delhi</v>
      </c>
      <c r="AE700" s="67"/>
      <c r="AF700" s="6"/>
      <c r="AG700" s="62" t="str">
        <f t="shared" si="151"/>
        <v/>
      </c>
      <c r="AH700" s="62" t="str">
        <f t="shared" si="152"/>
        <v>Saturday</v>
      </c>
      <c r="AI700" s="62" t="str">
        <f t="shared" si="145"/>
        <v/>
      </c>
      <c r="AJ700" s="62" t="str">
        <f>VLOOKUP(AC700,'Currency Sheet'!A:C,3,)</f>
        <v>DOLLAR</v>
      </c>
      <c r="AK700" s="62" t="str">
        <f>VLOOKUP(X700,'Customer List'!B:D,3,)</f>
        <v>Local</v>
      </c>
    </row>
    <row r="701" spans="1:37" hidden="1" x14ac:dyDescent="0.25">
      <c r="A701" s="62">
        <f t="shared" si="146"/>
        <v>687</v>
      </c>
      <c r="B701" s="62" t="s">
        <v>824</v>
      </c>
      <c r="C701" s="62" t="s">
        <v>1841</v>
      </c>
      <c r="D701" s="6">
        <v>46122</v>
      </c>
      <c r="E701" s="6">
        <v>46132</v>
      </c>
      <c r="F701" s="63">
        <v>313.5</v>
      </c>
      <c r="G701" s="64">
        <f t="shared" si="147"/>
        <v>27588</v>
      </c>
      <c r="H701" s="64">
        <f t="shared" si="148"/>
        <v>27588</v>
      </c>
      <c r="I701" s="70">
        <v>392106</v>
      </c>
      <c r="J701" s="62" t="s">
        <v>1776</v>
      </c>
      <c r="K701" s="8" t="s">
        <v>1777</v>
      </c>
      <c r="L701" s="10">
        <v>46745</v>
      </c>
      <c r="M701" s="62">
        <v>1</v>
      </c>
      <c r="N701" s="8">
        <v>1</v>
      </c>
      <c r="O701" s="62">
        <f t="shared" si="149"/>
        <v>0</v>
      </c>
      <c r="P701" s="70">
        <v>156</v>
      </c>
      <c r="Q701" s="71">
        <v>46132</v>
      </c>
      <c r="R701" s="6">
        <v>46133</v>
      </c>
      <c r="S701" s="64">
        <v>48592.5</v>
      </c>
      <c r="T701" s="22">
        <v>5</v>
      </c>
      <c r="U701" s="64">
        <f t="shared" si="150"/>
        <v>2429.625</v>
      </c>
      <c r="V701" s="22">
        <v>0.43</v>
      </c>
      <c r="W701" s="22">
        <v>98371</v>
      </c>
      <c r="X701" s="62" t="s">
        <v>1838</v>
      </c>
      <c r="Y701" s="62">
        <v>58164556144</v>
      </c>
      <c r="Z701" s="62" t="s">
        <v>1112</v>
      </c>
      <c r="AA701" s="65">
        <v>4</v>
      </c>
      <c r="AB701" s="66"/>
      <c r="AC701" s="1" t="s">
        <v>1842</v>
      </c>
      <c r="AD701" s="62" t="str">
        <f>VLOOKUP(X701,'Customer List'!B:C,2,)</f>
        <v>Banglore</v>
      </c>
      <c r="AE701" s="67"/>
      <c r="AF701" s="6">
        <v>46134</v>
      </c>
      <c r="AG701" s="62">
        <f t="shared" si="151"/>
        <v>1</v>
      </c>
      <c r="AH701" s="62" t="str">
        <f t="shared" si="152"/>
        <v>Thursday</v>
      </c>
      <c r="AI701" s="62" t="str">
        <f t="shared" ref="AI701:AI764" si="153">IF(AF701="", "", TEXT(AF701, "dddd"))</f>
        <v>Wednesday</v>
      </c>
      <c r="AJ701" s="62" t="str">
        <f>VLOOKUP(AC701,'Currency Sheet'!A:C,3,)</f>
        <v>DOLLAR</v>
      </c>
      <c r="AK701" s="62" t="str">
        <f>VLOOKUP(X701,'Customer List'!B:D,3,)</f>
        <v>OutStation</v>
      </c>
    </row>
    <row r="702" spans="1:37" hidden="1" x14ac:dyDescent="0.25">
      <c r="A702" s="62">
        <f t="shared" si="146"/>
        <v>688</v>
      </c>
      <c r="B702" s="62" t="s">
        <v>824</v>
      </c>
      <c r="C702" s="62" t="s">
        <v>1841</v>
      </c>
      <c r="D702" s="6">
        <v>46122</v>
      </c>
      <c r="E702" s="6">
        <v>46132</v>
      </c>
      <c r="F702" s="63">
        <v>23.1</v>
      </c>
      <c r="G702" s="64">
        <f t="shared" si="147"/>
        <v>2032.8000000000002</v>
      </c>
      <c r="H702" s="64">
        <f t="shared" si="148"/>
        <v>2032.8000000000002</v>
      </c>
      <c r="I702" s="70">
        <v>400119</v>
      </c>
      <c r="J702" s="62" t="s">
        <v>1778</v>
      </c>
      <c r="K702" s="8" t="s">
        <v>1779</v>
      </c>
      <c r="L702" s="10">
        <v>46684</v>
      </c>
      <c r="M702" s="62">
        <v>1</v>
      </c>
      <c r="N702" s="8">
        <v>1</v>
      </c>
      <c r="O702" s="62">
        <f t="shared" si="149"/>
        <v>0</v>
      </c>
      <c r="P702" s="70">
        <v>158</v>
      </c>
      <c r="Q702" s="71">
        <v>46132</v>
      </c>
      <c r="R702" s="6">
        <v>46133</v>
      </c>
      <c r="S702" s="64">
        <v>3465</v>
      </c>
      <c r="T702" s="22">
        <v>5</v>
      </c>
      <c r="U702" s="64">
        <f t="shared" si="150"/>
        <v>173.25</v>
      </c>
      <c r="V702" s="22">
        <v>-0.25</v>
      </c>
      <c r="W702" s="22">
        <v>3638</v>
      </c>
      <c r="X702" s="62" t="s">
        <v>902</v>
      </c>
      <c r="Y702" s="62">
        <v>58164560355</v>
      </c>
      <c r="Z702" s="62" t="s">
        <v>1112</v>
      </c>
      <c r="AA702" s="65">
        <v>4</v>
      </c>
      <c r="AB702" s="66"/>
      <c r="AC702" s="1" t="s">
        <v>1842</v>
      </c>
      <c r="AD702" s="62" t="str">
        <f>VLOOKUP(X702,'Customer List'!B:C,2,)</f>
        <v>Hyderabad</v>
      </c>
      <c r="AE702" s="67"/>
      <c r="AF702" s="6">
        <v>46134</v>
      </c>
      <c r="AG702" s="62">
        <f t="shared" si="151"/>
        <v>1</v>
      </c>
      <c r="AH702" s="62" t="str">
        <f t="shared" si="152"/>
        <v>Saturday</v>
      </c>
      <c r="AI702" s="62" t="str">
        <f t="shared" si="153"/>
        <v>Wednesday</v>
      </c>
      <c r="AJ702" s="62" t="str">
        <f>VLOOKUP(AC702,'Currency Sheet'!A:C,3,)</f>
        <v>DOLLAR</v>
      </c>
      <c r="AK702" s="62" t="str">
        <f>VLOOKUP(X702,'Customer List'!B:D,3,)</f>
        <v>OutStation</v>
      </c>
    </row>
    <row r="703" spans="1:37" hidden="1" x14ac:dyDescent="0.25">
      <c r="A703" s="62">
        <f t="shared" si="146"/>
        <v>689</v>
      </c>
      <c r="B703" s="62" t="s">
        <v>824</v>
      </c>
      <c r="C703" s="62" t="s">
        <v>1841</v>
      </c>
      <c r="D703" s="6">
        <v>46122</v>
      </c>
      <c r="E703" s="6">
        <v>46132</v>
      </c>
      <c r="F703" s="63">
        <v>32.9</v>
      </c>
      <c r="G703" s="64">
        <f t="shared" si="147"/>
        <v>2895.2</v>
      </c>
      <c r="H703" s="64">
        <f t="shared" si="148"/>
        <v>2895.2</v>
      </c>
      <c r="I703" s="70">
        <v>400137</v>
      </c>
      <c r="J703" s="62" t="s">
        <v>1780</v>
      </c>
      <c r="K703" s="8" t="s">
        <v>1781</v>
      </c>
      <c r="L703" s="10">
        <v>46975</v>
      </c>
      <c r="M703" s="62">
        <v>1</v>
      </c>
      <c r="N703" s="8">
        <v>1</v>
      </c>
      <c r="O703" s="62">
        <f t="shared" si="149"/>
        <v>0</v>
      </c>
      <c r="P703" s="70">
        <v>146</v>
      </c>
      <c r="Q703" s="71">
        <v>46132</v>
      </c>
      <c r="R703" s="6">
        <v>46133</v>
      </c>
      <c r="S703" s="64">
        <v>5099.5</v>
      </c>
      <c r="T703" s="22">
        <v>5</v>
      </c>
      <c r="U703" s="64">
        <f t="shared" si="150"/>
        <v>254.97500000000002</v>
      </c>
      <c r="V703" s="22">
        <v>0</v>
      </c>
      <c r="W703" s="22">
        <v>53089</v>
      </c>
      <c r="X703" s="62" t="s">
        <v>1836</v>
      </c>
      <c r="Y703" s="62">
        <v>58164556354</v>
      </c>
      <c r="Z703" s="62" t="s">
        <v>1112</v>
      </c>
      <c r="AA703" s="65">
        <v>4</v>
      </c>
      <c r="AB703" s="66"/>
      <c r="AC703" s="1" t="s">
        <v>1842</v>
      </c>
      <c r="AD703" s="62" t="str">
        <f>VLOOKUP(X703,'Customer List'!B:C,2,)</f>
        <v>Chennai</v>
      </c>
      <c r="AE703" s="67"/>
      <c r="AF703" s="6">
        <v>46134</v>
      </c>
      <c r="AG703" s="62">
        <f t="shared" si="151"/>
        <v>1</v>
      </c>
      <c r="AH703" s="62" t="str">
        <f t="shared" si="152"/>
        <v>Tuesday</v>
      </c>
      <c r="AI703" s="62" t="str">
        <f t="shared" si="153"/>
        <v>Wednesday</v>
      </c>
      <c r="AJ703" s="62" t="str">
        <f>VLOOKUP(AC703,'Currency Sheet'!A:C,3,)</f>
        <v>DOLLAR</v>
      </c>
      <c r="AK703" s="62" t="str">
        <f>VLOOKUP(X703,'Customer List'!B:D,3,)</f>
        <v>OutStation</v>
      </c>
    </row>
    <row r="704" spans="1:37" hidden="1" x14ac:dyDescent="0.25">
      <c r="A704" s="62">
        <f t="shared" si="146"/>
        <v>690</v>
      </c>
      <c r="B704" s="62" t="s">
        <v>824</v>
      </c>
      <c r="C704" s="62" t="s">
        <v>1841</v>
      </c>
      <c r="D704" s="6">
        <v>46122</v>
      </c>
      <c r="E704" s="6">
        <v>46132</v>
      </c>
      <c r="F704" s="63">
        <v>74.900000000000006</v>
      </c>
      <c r="G704" s="64">
        <f t="shared" si="147"/>
        <v>6591.2000000000007</v>
      </c>
      <c r="H704" s="64">
        <f t="shared" si="148"/>
        <v>6591.2000000000007</v>
      </c>
      <c r="I704" s="70">
        <v>400141</v>
      </c>
      <c r="J704" s="62" t="s">
        <v>1780</v>
      </c>
      <c r="K704" s="8" t="s">
        <v>1782</v>
      </c>
      <c r="L704" s="10">
        <v>47262</v>
      </c>
      <c r="M704" s="62">
        <v>1</v>
      </c>
      <c r="N704" s="8">
        <v>1</v>
      </c>
      <c r="O704" s="62">
        <f t="shared" si="149"/>
        <v>0</v>
      </c>
      <c r="P704" s="70">
        <v>146</v>
      </c>
      <c r="Q704" s="71">
        <v>46132</v>
      </c>
      <c r="R704" s="6">
        <v>46133</v>
      </c>
      <c r="S704" s="64">
        <v>11609.5</v>
      </c>
      <c r="T704" s="22">
        <v>5</v>
      </c>
      <c r="U704" s="64">
        <f t="shared" si="150"/>
        <v>580.47500000000002</v>
      </c>
      <c r="V704" s="22">
        <v>0</v>
      </c>
      <c r="W704" s="22">
        <v>53089</v>
      </c>
      <c r="X704" s="62" t="s">
        <v>1836</v>
      </c>
      <c r="Y704" s="62">
        <v>58164556354</v>
      </c>
      <c r="Z704" s="62" t="s">
        <v>1112</v>
      </c>
      <c r="AA704" s="65">
        <v>4</v>
      </c>
      <c r="AB704" s="66"/>
      <c r="AC704" s="1" t="s">
        <v>1842</v>
      </c>
      <c r="AD704" s="62" t="str">
        <f>VLOOKUP(X704,'Customer List'!B:C,2,)</f>
        <v>Chennai</v>
      </c>
      <c r="AE704" s="67"/>
      <c r="AF704" s="6">
        <v>46134</v>
      </c>
      <c r="AG704" s="62">
        <f t="shared" si="151"/>
        <v>1</v>
      </c>
      <c r="AH704" s="62" t="str">
        <f t="shared" si="152"/>
        <v>Tuesday</v>
      </c>
      <c r="AI704" s="62" t="str">
        <f t="shared" si="153"/>
        <v>Wednesday</v>
      </c>
      <c r="AJ704" s="62" t="str">
        <f>VLOOKUP(AC704,'Currency Sheet'!A:C,3,)</f>
        <v>DOLLAR</v>
      </c>
      <c r="AK704" s="62" t="str">
        <f>VLOOKUP(X704,'Customer List'!B:D,3,)</f>
        <v>OutStation</v>
      </c>
    </row>
    <row r="705" spans="1:37" hidden="1" x14ac:dyDescent="0.25">
      <c r="A705" s="62">
        <f t="shared" si="146"/>
        <v>691</v>
      </c>
      <c r="B705" s="62" t="s">
        <v>824</v>
      </c>
      <c r="C705" s="62" t="s">
        <v>1841</v>
      </c>
      <c r="D705" s="6">
        <v>46122</v>
      </c>
      <c r="E705" s="6">
        <v>46132</v>
      </c>
      <c r="F705" s="63">
        <v>79.8</v>
      </c>
      <c r="G705" s="64">
        <f t="shared" si="147"/>
        <v>7022.4</v>
      </c>
      <c r="H705" s="64">
        <f t="shared" si="148"/>
        <v>7022.4</v>
      </c>
      <c r="I705" s="70">
        <v>400155</v>
      </c>
      <c r="J705" s="62" t="s">
        <v>1783</v>
      </c>
      <c r="K705" s="8" t="s">
        <v>1784</v>
      </c>
      <c r="L705" s="10">
        <v>47728</v>
      </c>
      <c r="M705" s="62">
        <v>1</v>
      </c>
      <c r="N705" s="8">
        <v>1</v>
      </c>
      <c r="O705" s="62">
        <f t="shared" si="149"/>
        <v>0</v>
      </c>
      <c r="P705" s="70">
        <v>146</v>
      </c>
      <c r="Q705" s="71">
        <v>46132</v>
      </c>
      <c r="R705" s="6">
        <v>46133</v>
      </c>
      <c r="S705" s="64">
        <v>12369</v>
      </c>
      <c r="T705" s="22">
        <v>5</v>
      </c>
      <c r="U705" s="64">
        <f t="shared" si="150"/>
        <v>618.45000000000005</v>
      </c>
      <c r="V705" s="22">
        <v>0</v>
      </c>
      <c r="W705" s="22">
        <v>53089</v>
      </c>
      <c r="X705" s="62" t="s">
        <v>1836</v>
      </c>
      <c r="Y705" s="62">
        <v>58164556354</v>
      </c>
      <c r="Z705" s="62" t="s">
        <v>1112</v>
      </c>
      <c r="AA705" s="65">
        <v>4</v>
      </c>
      <c r="AB705" s="66"/>
      <c r="AC705" s="1" t="s">
        <v>1842</v>
      </c>
      <c r="AD705" s="62" t="str">
        <f>VLOOKUP(X705,'Customer List'!B:C,2,)</f>
        <v>Chennai</v>
      </c>
      <c r="AE705" s="67"/>
      <c r="AF705" s="6">
        <v>46134</v>
      </c>
      <c r="AG705" s="62">
        <f t="shared" si="151"/>
        <v>1</v>
      </c>
      <c r="AH705" s="62" t="str">
        <f t="shared" si="152"/>
        <v>Saturday</v>
      </c>
      <c r="AI705" s="62" t="str">
        <f t="shared" si="153"/>
        <v>Wednesday</v>
      </c>
      <c r="AJ705" s="62" t="str">
        <f>VLOOKUP(AC705,'Currency Sheet'!A:C,3,)</f>
        <v>DOLLAR</v>
      </c>
      <c r="AK705" s="62" t="str">
        <f>VLOOKUP(X705,'Customer List'!B:D,3,)</f>
        <v>OutStation</v>
      </c>
    </row>
    <row r="706" spans="1:37" hidden="1" x14ac:dyDescent="0.25">
      <c r="A706" s="62">
        <f t="shared" ref="A706:A732" si="154">A705+1</f>
        <v>692</v>
      </c>
      <c r="B706" s="62" t="s">
        <v>824</v>
      </c>
      <c r="C706" s="62" t="s">
        <v>1841</v>
      </c>
      <c r="D706" s="6">
        <v>46122</v>
      </c>
      <c r="E706" s="6">
        <v>46132</v>
      </c>
      <c r="F706" s="63">
        <v>288.75</v>
      </c>
      <c r="G706" s="64">
        <f t="shared" si="147"/>
        <v>25410</v>
      </c>
      <c r="H706" s="64">
        <f t="shared" si="148"/>
        <v>25410</v>
      </c>
      <c r="I706" s="70">
        <v>400172</v>
      </c>
      <c r="J706" s="62" t="s">
        <v>1785</v>
      </c>
      <c r="K706" s="8" t="s">
        <v>1786</v>
      </c>
      <c r="L706" s="10">
        <v>46832</v>
      </c>
      <c r="M706" s="62">
        <v>1</v>
      </c>
      <c r="N706" s="8">
        <v>1</v>
      </c>
      <c r="O706" s="62">
        <f t="shared" si="149"/>
        <v>0</v>
      </c>
      <c r="P706" s="70">
        <v>152</v>
      </c>
      <c r="Q706" s="71">
        <v>46132</v>
      </c>
      <c r="R706" s="6">
        <v>46133</v>
      </c>
      <c r="S706" s="64">
        <v>41772.5</v>
      </c>
      <c r="T706" s="22">
        <v>5</v>
      </c>
      <c r="U706" s="64">
        <f t="shared" si="150"/>
        <v>2088.625</v>
      </c>
      <c r="V706" s="22">
        <v>0</v>
      </c>
      <c r="W706" s="22">
        <v>113355</v>
      </c>
      <c r="X706" s="62" t="s">
        <v>1100</v>
      </c>
      <c r="Y706" s="62">
        <v>58164556240</v>
      </c>
      <c r="Z706" s="62" t="s">
        <v>1112</v>
      </c>
      <c r="AA706" s="65">
        <v>4</v>
      </c>
      <c r="AB706" s="66"/>
      <c r="AC706" s="1" t="s">
        <v>1842</v>
      </c>
      <c r="AD706" s="62" t="str">
        <f>VLOOKUP(X706,'Customer List'!B:C,2,)</f>
        <v>Banglore</v>
      </c>
      <c r="AE706" s="67"/>
      <c r="AF706" s="6">
        <v>46134</v>
      </c>
      <c r="AG706" s="62">
        <f t="shared" si="151"/>
        <v>1</v>
      </c>
      <c r="AH706" s="62" t="str">
        <f t="shared" si="152"/>
        <v>Tuesday</v>
      </c>
      <c r="AI706" s="62" t="str">
        <f t="shared" si="153"/>
        <v>Wednesday</v>
      </c>
      <c r="AJ706" s="62" t="str">
        <f>VLOOKUP(AC706,'Currency Sheet'!A:C,3,)</f>
        <v>DOLLAR</v>
      </c>
      <c r="AK706" s="62" t="str">
        <f>VLOOKUP(X706,'Customer List'!B:D,3,)</f>
        <v>OutStation</v>
      </c>
    </row>
    <row r="707" spans="1:37" hidden="1" x14ac:dyDescent="0.25">
      <c r="A707" s="62">
        <f t="shared" si="154"/>
        <v>693</v>
      </c>
      <c r="B707" s="62" t="s">
        <v>824</v>
      </c>
      <c r="C707" s="62" t="s">
        <v>1841</v>
      </c>
      <c r="D707" s="6">
        <v>46122</v>
      </c>
      <c r="E707" s="6">
        <v>46132</v>
      </c>
      <c r="F707" s="63">
        <v>77</v>
      </c>
      <c r="G707" s="64">
        <f t="shared" si="147"/>
        <v>6776</v>
      </c>
      <c r="H707" s="64">
        <f t="shared" si="148"/>
        <v>6776</v>
      </c>
      <c r="I707" s="70">
        <v>400314</v>
      </c>
      <c r="J707" s="62" t="s">
        <v>1787</v>
      </c>
      <c r="K707" s="8" t="s">
        <v>1788</v>
      </c>
      <c r="L707" s="10">
        <v>47741</v>
      </c>
      <c r="M707" s="62">
        <v>1</v>
      </c>
      <c r="N707" s="8">
        <v>1</v>
      </c>
      <c r="O707" s="62">
        <f t="shared" si="149"/>
        <v>0</v>
      </c>
      <c r="P707" s="70">
        <v>152</v>
      </c>
      <c r="Q707" s="71">
        <v>46132</v>
      </c>
      <c r="R707" s="6">
        <v>46133</v>
      </c>
      <c r="S707" s="64">
        <v>11935</v>
      </c>
      <c r="T707" s="22">
        <v>5</v>
      </c>
      <c r="U707" s="64">
        <f t="shared" si="150"/>
        <v>596.75</v>
      </c>
      <c r="V707" s="22">
        <v>0</v>
      </c>
      <c r="W707" s="22">
        <v>113355</v>
      </c>
      <c r="X707" s="62" t="s">
        <v>1100</v>
      </c>
      <c r="Y707" s="62">
        <v>58164556240</v>
      </c>
      <c r="Z707" s="62" t="s">
        <v>1112</v>
      </c>
      <c r="AA707" s="65">
        <v>4</v>
      </c>
      <c r="AB707" s="66"/>
      <c r="AC707" s="1" t="s">
        <v>1842</v>
      </c>
      <c r="AD707" s="62" t="str">
        <f>VLOOKUP(X707,'Customer List'!B:C,2,)</f>
        <v>Banglore</v>
      </c>
      <c r="AE707" s="67"/>
      <c r="AF707" s="6">
        <v>46134</v>
      </c>
      <c r="AG707" s="62">
        <f t="shared" si="151"/>
        <v>1</v>
      </c>
      <c r="AH707" s="62" t="str">
        <f t="shared" si="152"/>
        <v>Saturday</v>
      </c>
      <c r="AI707" s="62" t="str">
        <f t="shared" si="153"/>
        <v>Wednesday</v>
      </c>
      <c r="AJ707" s="62" t="str">
        <f>VLOOKUP(AC707,'Currency Sheet'!A:C,3,)</f>
        <v>DOLLAR</v>
      </c>
      <c r="AK707" s="62" t="str">
        <f>VLOOKUP(X707,'Customer List'!B:D,3,)</f>
        <v>OutStation</v>
      </c>
    </row>
    <row r="708" spans="1:37" hidden="1" x14ac:dyDescent="0.25">
      <c r="A708" s="62">
        <f t="shared" si="154"/>
        <v>694</v>
      </c>
      <c r="B708" s="62" t="s">
        <v>824</v>
      </c>
      <c r="C708" s="62" t="s">
        <v>1841</v>
      </c>
      <c r="D708" s="6">
        <v>46122</v>
      </c>
      <c r="E708" s="6">
        <v>46132</v>
      </c>
      <c r="F708" s="63">
        <v>33.6</v>
      </c>
      <c r="G708" s="64">
        <f t="shared" si="147"/>
        <v>2956.8</v>
      </c>
      <c r="H708" s="64">
        <f t="shared" si="148"/>
        <v>2956.8</v>
      </c>
      <c r="I708" s="70">
        <v>400611</v>
      </c>
      <c r="J708" s="62" t="s">
        <v>1789</v>
      </c>
      <c r="K708" s="8" t="s">
        <v>1273</v>
      </c>
      <c r="L708" s="10">
        <v>46841</v>
      </c>
      <c r="M708" s="62">
        <v>1</v>
      </c>
      <c r="N708" s="8">
        <v>1</v>
      </c>
      <c r="O708" s="62">
        <f t="shared" si="149"/>
        <v>0</v>
      </c>
      <c r="P708" s="70">
        <v>142</v>
      </c>
      <c r="Q708" s="71">
        <v>46132</v>
      </c>
      <c r="R708" s="6">
        <v>46133</v>
      </c>
      <c r="S708" s="64">
        <v>5208</v>
      </c>
      <c r="T708" s="22">
        <v>5</v>
      </c>
      <c r="U708" s="64">
        <f t="shared" si="150"/>
        <v>260.40000000000003</v>
      </c>
      <c r="V708" s="22">
        <v>0</v>
      </c>
      <c r="W708" s="22">
        <v>28937</v>
      </c>
      <c r="X708" s="62" t="s">
        <v>1835</v>
      </c>
      <c r="Y708" s="62">
        <v>58164554044</v>
      </c>
      <c r="Z708" s="62" t="s">
        <v>1112</v>
      </c>
      <c r="AA708" s="65">
        <v>4</v>
      </c>
      <c r="AB708" s="66"/>
      <c r="AC708" s="1" t="s">
        <v>1842</v>
      </c>
      <c r="AD708" s="62" t="str">
        <f>VLOOKUP(X708,'Customer List'!B:C,2,)</f>
        <v>Lucknow</v>
      </c>
      <c r="AE708" s="67"/>
      <c r="AF708" s="6">
        <v>46135</v>
      </c>
      <c r="AG708" s="62">
        <f t="shared" si="151"/>
        <v>2</v>
      </c>
      <c r="AH708" s="62" t="str">
        <f t="shared" si="152"/>
        <v>Saturday</v>
      </c>
      <c r="AI708" s="62" t="str">
        <f t="shared" si="153"/>
        <v>Thursday</v>
      </c>
      <c r="AJ708" s="62" t="str">
        <f>VLOOKUP(AC708,'Currency Sheet'!A:C,3,)</f>
        <v>DOLLAR</v>
      </c>
      <c r="AK708" s="62" t="str">
        <f>VLOOKUP(X708,'Customer List'!B:D,3,)</f>
        <v>OutStation</v>
      </c>
    </row>
    <row r="709" spans="1:37" hidden="1" x14ac:dyDescent="0.25">
      <c r="A709" s="62">
        <f t="shared" si="154"/>
        <v>695</v>
      </c>
      <c r="B709" s="62" t="s">
        <v>824</v>
      </c>
      <c r="C709" s="62" t="s">
        <v>1841</v>
      </c>
      <c r="D709" s="6">
        <v>46122</v>
      </c>
      <c r="E709" s="6">
        <v>46132</v>
      </c>
      <c r="F709" s="63">
        <v>34.299999999999997</v>
      </c>
      <c r="G709" s="64">
        <f t="shared" si="147"/>
        <v>3018.3999999999996</v>
      </c>
      <c r="H709" s="64">
        <f t="shared" si="148"/>
        <v>3018.3999999999996</v>
      </c>
      <c r="I709" s="70">
        <v>401207</v>
      </c>
      <c r="J709" s="62" t="s">
        <v>1790</v>
      </c>
      <c r="K709" s="8" t="s">
        <v>1791</v>
      </c>
      <c r="L709" s="10">
        <v>46740</v>
      </c>
      <c r="M709" s="62">
        <v>1</v>
      </c>
      <c r="N709" s="8">
        <v>1</v>
      </c>
      <c r="O709" s="62">
        <f t="shared" si="149"/>
        <v>0</v>
      </c>
      <c r="P709" s="70">
        <v>146</v>
      </c>
      <c r="Q709" s="71">
        <v>46132</v>
      </c>
      <c r="R709" s="6">
        <v>46133</v>
      </c>
      <c r="S709" s="64">
        <v>5316.5</v>
      </c>
      <c r="T709" s="22">
        <v>5</v>
      </c>
      <c r="U709" s="64">
        <f t="shared" si="150"/>
        <v>265.82499999999999</v>
      </c>
      <c r="V709" s="22">
        <v>0</v>
      </c>
      <c r="W709" s="22">
        <v>53089</v>
      </c>
      <c r="X709" s="62" t="s">
        <v>1836</v>
      </c>
      <c r="Y709" s="62">
        <v>58164556354</v>
      </c>
      <c r="Z709" s="62" t="s">
        <v>1112</v>
      </c>
      <c r="AA709" s="65">
        <v>4</v>
      </c>
      <c r="AB709" s="66"/>
      <c r="AC709" s="1" t="s">
        <v>1842</v>
      </c>
      <c r="AD709" s="62" t="str">
        <f>VLOOKUP(X709,'Customer List'!B:C,2,)</f>
        <v>Chennai</v>
      </c>
      <c r="AE709" s="67"/>
      <c r="AF709" s="6">
        <v>46134</v>
      </c>
      <c r="AG709" s="62">
        <f t="shared" si="151"/>
        <v>1</v>
      </c>
      <c r="AH709" s="62" t="str">
        <f t="shared" si="152"/>
        <v>Tuesday</v>
      </c>
      <c r="AI709" s="62" t="str">
        <f t="shared" si="153"/>
        <v>Wednesday</v>
      </c>
      <c r="AJ709" s="62" t="str">
        <f>VLOOKUP(AC709,'Currency Sheet'!A:C,3,)</f>
        <v>DOLLAR</v>
      </c>
      <c r="AK709" s="62" t="str">
        <f>VLOOKUP(X709,'Customer List'!B:D,3,)</f>
        <v>OutStation</v>
      </c>
    </row>
    <row r="710" spans="1:37" hidden="1" x14ac:dyDescent="0.25">
      <c r="A710" s="62">
        <f t="shared" si="154"/>
        <v>696</v>
      </c>
      <c r="B710" s="62" t="s">
        <v>824</v>
      </c>
      <c r="C710" s="62" t="s">
        <v>1841</v>
      </c>
      <c r="D710" s="6">
        <v>46122</v>
      </c>
      <c r="E710" s="6">
        <v>46132</v>
      </c>
      <c r="F710" s="63">
        <v>311.5</v>
      </c>
      <c r="G710" s="64">
        <f t="shared" si="147"/>
        <v>27412</v>
      </c>
      <c r="H710" s="64">
        <f t="shared" si="148"/>
        <v>27412</v>
      </c>
      <c r="I710" s="70">
        <v>403504</v>
      </c>
      <c r="J710" s="62" t="s">
        <v>1792</v>
      </c>
      <c r="K710" s="8" t="s">
        <v>1793</v>
      </c>
      <c r="L710" s="10">
        <v>47471</v>
      </c>
      <c r="M710" s="62">
        <v>1</v>
      </c>
      <c r="N710" s="8">
        <v>1</v>
      </c>
      <c r="O710" s="62">
        <f t="shared" si="149"/>
        <v>0</v>
      </c>
      <c r="P710" s="70">
        <v>154</v>
      </c>
      <c r="Q710" s="71">
        <v>46132</v>
      </c>
      <c r="R710" s="6">
        <v>46133</v>
      </c>
      <c r="S710" s="64">
        <v>48282.5</v>
      </c>
      <c r="T710" s="22">
        <v>5</v>
      </c>
      <c r="U710" s="64">
        <f t="shared" si="150"/>
        <v>2414.125</v>
      </c>
      <c r="V710" s="22">
        <v>0</v>
      </c>
      <c r="W710" s="22">
        <v>60836</v>
      </c>
      <c r="X710" s="62" t="s">
        <v>22</v>
      </c>
      <c r="Y710" s="62">
        <v>58164559434</v>
      </c>
      <c r="Z710" s="62" t="s">
        <v>1112</v>
      </c>
      <c r="AA710" s="65">
        <v>4</v>
      </c>
      <c r="AB710" s="66"/>
      <c r="AC710" s="1" t="s">
        <v>1842</v>
      </c>
      <c r="AD710" s="62" t="str">
        <f>VLOOKUP(X710,'Customer List'!B:C,2,)</f>
        <v>Gujrat</v>
      </c>
      <c r="AE710" s="67"/>
      <c r="AF710" s="6">
        <v>46135</v>
      </c>
      <c r="AG710" s="62">
        <f t="shared" si="151"/>
        <v>2</v>
      </c>
      <c r="AH710" s="62" t="str">
        <f t="shared" si="152"/>
        <v>Tuesday</v>
      </c>
      <c r="AI710" s="62" t="str">
        <f t="shared" si="153"/>
        <v>Thursday</v>
      </c>
      <c r="AJ710" s="62" t="str">
        <f>VLOOKUP(AC710,'Currency Sheet'!A:C,3,)</f>
        <v>DOLLAR</v>
      </c>
      <c r="AK710" s="62" t="str">
        <f>VLOOKUP(X710,'Customer List'!B:D,3,)</f>
        <v>OutStation</v>
      </c>
    </row>
    <row r="711" spans="1:37" hidden="1" x14ac:dyDescent="0.25">
      <c r="A711" s="62">
        <f t="shared" si="154"/>
        <v>697</v>
      </c>
      <c r="B711" s="62" t="s">
        <v>824</v>
      </c>
      <c r="C711" s="62" t="s">
        <v>1841</v>
      </c>
      <c r="D711" s="6">
        <v>46122</v>
      </c>
      <c r="E711" s="6">
        <v>46132</v>
      </c>
      <c r="F711" s="63">
        <v>173.6</v>
      </c>
      <c r="G711" s="64">
        <f t="shared" si="147"/>
        <v>15276.8</v>
      </c>
      <c r="H711" s="64">
        <f t="shared" si="148"/>
        <v>15276.8</v>
      </c>
      <c r="I711" s="70">
        <v>403701</v>
      </c>
      <c r="J711" s="62" t="s">
        <v>1794</v>
      </c>
      <c r="K711" s="8" t="s">
        <v>1795</v>
      </c>
      <c r="L711" s="10">
        <v>46498</v>
      </c>
      <c r="M711" s="62">
        <v>1</v>
      </c>
      <c r="N711" s="8">
        <v>1</v>
      </c>
      <c r="O711" s="62">
        <f t="shared" si="149"/>
        <v>0</v>
      </c>
      <c r="P711" s="70">
        <v>313</v>
      </c>
      <c r="Q711" s="71">
        <v>46157</v>
      </c>
      <c r="R711" s="6">
        <v>46158</v>
      </c>
      <c r="S711" s="64">
        <v>29760</v>
      </c>
      <c r="T711" s="22">
        <v>5</v>
      </c>
      <c r="U711" s="64">
        <f t="shared" si="150"/>
        <v>1488</v>
      </c>
      <c r="V711" s="22">
        <v>0</v>
      </c>
      <c r="W711" s="22">
        <v>31248</v>
      </c>
      <c r="X711" s="62" t="s">
        <v>1101</v>
      </c>
      <c r="Y711" s="62">
        <v>58165586776</v>
      </c>
      <c r="Z711" s="62" t="s">
        <v>1112</v>
      </c>
      <c r="AA711" s="65">
        <v>4</v>
      </c>
      <c r="AB711" s="66"/>
      <c r="AC711" s="1" t="s">
        <v>1842</v>
      </c>
      <c r="AD711" s="62" t="str">
        <f>VLOOKUP(X711,'Customer List'!B:C,2,)</f>
        <v>Hyderabad</v>
      </c>
      <c r="AE711" s="67" t="s">
        <v>2007</v>
      </c>
      <c r="AF711" s="6">
        <v>46160</v>
      </c>
      <c r="AG711" s="62">
        <f t="shared" si="151"/>
        <v>2</v>
      </c>
      <c r="AH711" s="62" t="str">
        <f t="shared" si="152"/>
        <v>Tuesday</v>
      </c>
      <c r="AI711" s="62" t="str">
        <f t="shared" si="153"/>
        <v>Monday</v>
      </c>
      <c r="AJ711" s="62" t="str">
        <f>VLOOKUP(AC711,'Currency Sheet'!A:C,3,)</f>
        <v>DOLLAR</v>
      </c>
      <c r="AK711" s="62" t="str">
        <f>VLOOKUP(X711,'Customer List'!B:D,3,)</f>
        <v>OutStation</v>
      </c>
    </row>
    <row r="712" spans="1:37" hidden="1" x14ac:dyDescent="0.25">
      <c r="A712" s="62">
        <f t="shared" si="154"/>
        <v>698</v>
      </c>
      <c r="B712" s="62" t="s">
        <v>824</v>
      </c>
      <c r="C712" s="62" t="s">
        <v>1841</v>
      </c>
      <c r="D712" s="6">
        <v>46122</v>
      </c>
      <c r="E712" s="6">
        <v>46132</v>
      </c>
      <c r="F712" s="63">
        <v>58.1</v>
      </c>
      <c r="G712" s="64">
        <f t="shared" si="147"/>
        <v>5112.8</v>
      </c>
      <c r="H712" s="64">
        <f t="shared" si="148"/>
        <v>5112.8</v>
      </c>
      <c r="I712" s="70">
        <v>407109</v>
      </c>
      <c r="J712" s="62" t="s">
        <v>1796</v>
      </c>
      <c r="K712" s="8" t="s">
        <v>1797</v>
      </c>
      <c r="L712" s="10">
        <v>47144</v>
      </c>
      <c r="M712" s="62">
        <v>1</v>
      </c>
      <c r="N712" s="8">
        <v>1</v>
      </c>
      <c r="O712" s="62">
        <f t="shared" si="149"/>
        <v>0</v>
      </c>
      <c r="P712" s="70">
        <v>141</v>
      </c>
      <c r="Q712" s="71">
        <v>46132</v>
      </c>
      <c r="R712" s="6">
        <v>46133</v>
      </c>
      <c r="S712" s="64">
        <v>8748.2000000000007</v>
      </c>
      <c r="T712" s="22">
        <v>5</v>
      </c>
      <c r="U712" s="64">
        <f t="shared" si="150"/>
        <v>437.41000000000008</v>
      </c>
      <c r="V712" s="22">
        <v>0</v>
      </c>
      <c r="W712" s="22">
        <v>147191</v>
      </c>
      <c r="X712" s="62" t="s">
        <v>1834</v>
      </c>
      <c r="Y712" s="62">
        <v>58164559084</v>
      </c>
      <c r="Z712" s="62" t="s">
        <v>1112</v>
      </c>
      <c r="AA712" s="65">
        <v>4</v>
      </c>
      <c r="AB712" s="66"/>
      <c r="AC712" s="1" t="s">
        <v>1842</v>
      </c>
      <c r="AD712" s="62" t="str">
        <f>VLOOKUP(X712,'Customer List'!B:C,2,)</f>
        <v>Kolkata</v>
      </c>
      <c r="AE712" s="67"/>
      <c r="AF712" s="6">
        <v>46134</v>
      </c>
      <c r="AG712" s="62">
        <f t="shared" si="151"/>
        <v>1</v>
      </c>
      <c r="AH712" s="62" t="str">
        <f t="shared" si="152"/>
        <v>Thursday</v>
      </c>
      <c r="AI712" s="62" t="str">
        <f t="shared" si="153"/>
        <v>Wednesday</v>
      </c>
      <c r="AJ712" s="62" t="str">
        <f>VLOOKUP(AC712,'Currency Sheet'!A:C,3,)</f>
        <v>DOLLAR</v>
      </c>
      <c r="AK712" s="62" t="str">
        <f>VLOOKUP(X712,'Customer List'!B:D,3,)</f>
        <v>OutStation</v>
      </c>
    </row>
    <row r="713" spans="1:37" hidden="1" x14ac:dyDescent="0.25">
      <c r="A713" s="62">
        <f t="shared" si="154"/>
        <v>699</v>
      </c>
      <c r="B713" s="62" t="s">
        <v>824</v>
      </c>
      <c r="C713" s="62" t="s">
        <v>1841</v>
      </c>
      <c r="D713" s="6">
        <v>46122</v>
      </c>
      <c r="E713" s="6">
        <v>46132</v>
      </c>
      <c r="F713" s="63">
        <v>144.19999999999999</v>
      </c>
      <c r="G713" s="64">
        <f t="shared" si="147"/>
        <v>12689.599999999999</v>
      </c>
      <c r="H713" s="64">
        <f t="shared" si="148"/>
        <v>12689.599999999999</v>
      </c>
      <c r="I713" s="70">
        <v>420302</v>
      </c>
      <c r="J713" s="62" t="s">
        <v>1798</v>
      </c>
      <c r="K713" s="8" t="s">
        <v>1799</v>
      </c>
      <c r="L713" s="10">
        <v>46781</v>
      </c>
      <c r="M713" s="62">
        <v>1</v>
      </c>
      <c r="N713" s="8">
        <v>1</v>
      </c>
      <c r="O713" s="62">
        <f t="shared" si="149"/>
        <v>0</v>
      </c>
      <c r="P713" s="70">
        <v>151</v>
      </c>
      <c r="Q713" s="71">
        <v>46132</v>
      </c>
      <c r="R713" s="6">
        <v>46133</v>
      </c>
      <c r="S713" s="64">
        <v>22989.599999999999</v>
      </c>
      <c r="T713" s="22">
        <v>5</v>
      </c>
      <c r="U713" s="64">
        <f t="shared" si="150"/>
        <v>1149.48</v>
      </c>
      <c r="V713" s="22">
        <v>0</v>
      </c>
      <c r="W713" s="22">
        <v>101610</v>
      </c>
      <c r="X713" s="62" t="s">
        <v>1098</v>
      </c>
      <c r="Y713" s="62">
        <v>58164559703</v>
      </c>
      <c r="Z713" s="62" t="s">
        <v>1112</v>
      </c>
      <c r="AA713" s="65">
        <v>4</v>
      </c>
      <c r="AB713" s="66"/>
      <c r="AC713" s="1" t="s">
        <v>1842</v>
      </c>
      <c r="AD713" s="62" t="str">
        <f>VLOOKUP(X713,'Customer List'!B:C,2,)</f>
        <v>Banglore</v>
      </c>
      <c r="AE713" s="67"/>
      <c r="AF713" s="6">
        <v>46134</v>
      </c>
      <c r="AG713" s="62">
        <f t="shared" si="151"/>
        <v>1</v>
      </c>
      <c r="AH713" s="62" t="str">
        <f t="shared" si="152"/>
        <v>Sunday</v>
      </c>
      <c r="AI713" s="62" t="str">
        <f t="shared" si="153"/>
        <v>Wednesday</v>
      </c>
      <c r="AJ713" s="62" t="str">
        <f>VLOOKUP(AC713,'Currency Sheet'!A:C,3,)</f>
        <v>DOLLAR</v>
      </c>
      <c r="AK713" s="62" t="str">
        <f>VLOOKUP(X713,'Customer List'!B:D,3,)</f>
        <v>OutStation</v>
      </c>
    </row>
    <row r="714" spans="1:37" hidden="1" x14ac:dyDescent="0.25">
      <c r="A714" s="62">
        <f t="shared" si="154"/>
        <v>700</v>
      </c>
      <c r="B714" s="62" t="s">
        <v>824</v>
      </c>
      <c r="C714" s="62" t="s">
        <v>1841</v>
      </c>
      <c r="D714" s="6">
        <v>46122</v>
      </c>
      <c r="E714" s="6">
        <v>46132</v>
      </c>
      <c r="F714" s="63">
        <v>160.30000000000001</v>
      </c>
      <c r="G714" s="64">
        <f t="shared" ref="G714:G777" si="155">IF(AJ714="DOLLAR",F714*88,F714)</f>
        <v>14106.400000000001</v>
      </c>
      <c r="H714" s="64">
        <f t="shared" ref="H714:H777" si="156">G714*M714</f>
        <v>14106.400000000001</v>
      </c>
      <c r="I714" s="70">
        <v>422302</v>
      </c>
      <c r="J714" s="62" t="s">
        <v>1800</v>
      </c>
      <c r="K714" s="8" t="s">
        <v>1054</v>
      </c>
      <c r="L714" s="10">
        <v>47870</v>
      </c>
      <c r="M714" s="62">
        <v>1</v>
      </c>
      <c r="N714" s="8">
        <v>1</v>
      </c>
      <c r="O714" s="62">
        <f t="shared" ref="O714:O777" si="157">M714-N714</f>
        <v>0</v>
      </c>
      <c r="P714" s="70">
        <v>151</v>
      </c>
      <c r="Q714" s="71">
        <v>46132</v>
      </c>
      <c r="R714" s="6">
        <v>46133</v>
      </c>
      <c r="S714" s="64">
        <v>25556.400000000001</v>
      </c>
      <c r="T714" s="22">
        <v>5</v>
      </c>
      <c r="U714" s="64">
        <f t="shared" ref="U714:U777" si="158">S714*T714%</f>
        <v>1277.8200000000002</v>
      </c>
      <c r="V714" s="22">
        <v>0</v>
      </c>
      <c r="W714" s="22">
        <v>101610</v>
      </c>
      <c r="X714" s="62" t="s">
        <v>1098</v>
      </c>
      <c r="Y714" s="62">
        <v>58164559703</v>
      </c>
      <c r="Z714" s="62" t="s">
        <v>1112</v>
      </c>
      <c r="AA714" s="65">
        <v>4</v>
      </c>
      <c r="AB714" s="66"/>
      <c r="AC714" s="1" t="s">
        <v>1842</v>
      </c>
      <c r="AD714" s="62" t="str">
        <f>VLOOKUP(X714,'Customer List'!B:C,2,)</f>
        <v>Banglore</v>
      </c>
      <c r="AE714" s="67"/>
      <c r="AF714" s="6">
        <v>46134</v>
      </c>
      <c r="AG714" s="62">
        <f t="shared" ref="AG714:AG777" si="159">IF(AF714="", "", AF714-R714)</f>
        <v>1</v>
      </c>
      <c r="AH714" s="62" t="str">
        <f t="shared" ref="AH714:AH777" si="160">IF(S714="", "", TEXT(S714, "dddd"))</f>
        <v>Friday</v>
      </c>
      <c r="AI714" s="62" t="str">
        <f t="shared" si="153"/>
        <v>Wednesday</v>
      </c>
      <c r="AJ714" s="62" t="str">
        <f>VLOOKUP(AC714,'Currency Sheet'!A:C,3,)</f>
        <v>DOLLAR</v>
      </c>
      <c r="AK714" s="62" t="str">
        <f>VLOOKUP(X714,'Customer List'!B:D,3,)</f>
        <v>OutStation</v>
      </c>
    </row>
    <row r="715" spans="1:37" hidden="1" x14ac:dyDescent="0.25">
      <c r="A715" s="62">
        <f t="shared" si="154"/>
        <v>701</v>
      </c>
      <c r="B715" s="62" t="s">
        <v>824</v>
      </c>
      <c r="C715" s="62" t="s">
        <v>1841</v>
      </c>
      <c r="D715" s="6">
        <v>46122</v>
      </c>
      <c r="E715" s="6">
        <v>46132</v>
      </c>
      <c r="F715" s="63">
        <v>160.30000000000001</v>
      </c>
      <c r="G715" s="64">
        <f t="shared" si="155"/>
        <v>14106.400000000001</v>
      </c>
      <c r="H715" s="64">
        <f t="shared" si="156"/>
        <v>14106.400000000001</v>
      </c>
      <c r="I715" s="70">
        <v>422302</v>
      </c>
      <c r="J715" s="62" t="s">
        <v>1800</v>
      </c>
      <c r="K715" s="8" t="s">
        <v>1054</v>
      </c>
      <c r="L715" s="10">
        <v>47870</v>
      </c>
      <c r="M715" s="62">
        <v>1</v>
      </c>
      <c r="N715" s="8">
        <v>1</v>
      </c>
      <c r="O715" s="62">
        <f t="shared" si="157"/>
        <v>0</v>
      </c>
      <c r="P715" s="70">
        <v>145</v>
      </c>
      <c r="Q715" s="71">
        <v>46132</v>
      </c>
      <c r="R715" s="6">
        <v>46133</v>
      </c>
      <c r="S715" s="64">
        <v>21297</v>
      </c>
      <c r="T715" s="22">
        <v>5</v>
      </c>
      <c r="U715" s="64">
        <f t="shared" si="158"/>
        <v>1064.8500000000001</v>
      </c>
      <c r="V715" s="22">
        <v>0</v>
      </c>
      <c r="W715" s="22">
        <v>62105</v>
      </c>
      <c r="X715" s="62" t="s">
        <v>37</v>
      </c>
      <c r="Y715" s="62">
        <v>58164554630</v>
      </c>
      <c r="Z715" s="62" t="s">
        <v>1112</v>
      </c>
      <c r="AA715" s="65">
        <v>4</v>
      </c>
      <c r="AB715" s="66"/>
      <c r="AC715" s="1" t="s">
        <v>1842</v>
      </c>
      <c r="AD715" s="62" t="str">
        <f>VLOOKUP(X715,'Customer List'!B:C,2,)</f>
        <v>Hyderabad</v>
      </c>
      <c r="AE715" s="67"/>
      <c r="AF715" s="6">
        <v>46134</v>
      </c>
      <c r="AG715" s="62">
        <f t="shared" si="159"/>
        <v>1</v>
      </c>
      <c r="AH715" s="62" t="str">
        <f t="shared" si="160"/>
        <v>Tuesday</v>
      </c>
      <c r="AI715" s="62" t="str">
        <f t="shared" si="153"/>
        <v>Wednesday</v>
      </c>
      <c r="AJ715" s="62" t="str">
        <f>VLOOKUP(AC715,'Currency Sheet'!A:C,3,)</f>
        <v>DOLLAR</v>
      </c>
      <c r="AK715" s="62" t="str">
        <f>VLOOKUP(X715,'Customer List'!B:D,3,)</f>
        <v>OutStation</v>
      </c>
    </row>
    <row r="716" spans="1:37" hidden="1" x14ac:dyDescent="0.25">
      <c r="A716" s="62">
        <f t="shared" si="154"/>
        <v>702</v>
      </c>
      <c r="B716" s="62" t="s">
        <v>824</v>
      </c>
      <c r="C716" s="62" t="s">
        <v>1841</v>
      </c>
      <c r="D716" s="6">
        <v>46122</v>
      </c>
      <c r="E716" s="6">
        <v>46132</v>
      </c>
      <c r="F716" s="63">
        <v>62.3</v>
      </c>
      <c r="G716" s="64">
        <f t="shared" si="155"/>
        <v>5482.4</v>
      </c>
      <c r="H716" s="64">
        <f t="shared" si="156"/>
        <v>10964.8</v>
      </c>
      <c r="I716" s="70">
        <v>423105</v>
      </c>
      <c r="J716" s="62" t="s">
        <v>1801</v>
      </c>
      <c r="K716" s="8" t="s">
        <v>1802</v>
      </c>
      <c r="L716" s="10">
        <v>46811</v>
      </c>
      <c r="M716" s="62">
        <v>2</v>
      </c>
      <c r="N716" s="8">
        <v>2</v>
      </c>
      <c r="O716" s="62">
        <f t="shared" si="157"/>
        <v>0</v>
      </c>
      <c r="P716" s="70">
        <v>155</v>
      </c>
      <c r="Q716" s="71">
        <v>46132</v>
      </c>
      <c r="R716" s="6">
        <v>46133</v>
      </c>
      <c r="S716" s="64">
        <v>19313</v>
      </c>
      <c r="T716" s="22">
        <v>5</v>
      </c>
      <c r="U716" s="64">
        <f t="shared" si="158"/>
        <v>965.65000000000009</v>
      </c>
      <c r="V716" s="22">
        <v>0.35</v>
      </c>
      <c r="W716" s="22">
        <v>20279</v>
      </c>
      <c r="X716" s="62" t="s">
        <v>22</v>
      </c>
      <c r="Y716" s="62">
        <v>58164559434</v>
      </c>
      <c r="Z716" s="62" t="s">
        <v>1112</v>
      </c>
      <c r="AA716" s="65">
        <v>-20</v>
      </c>
      <c r="AB716" s="66"/>
      <c r="AC716" s="1" t="s">
        <v>1842</v>
      </c>
      <c r="AD716" s="62" t="str">
        <f>VLOOKUP(X716,'Customer List'!B:C,2,)</f>
        <v>Gujrat</v>
      </c>
      <c r="AE716" s="67"/>
      <c r="AF716" s="6">
        <v>46135</v>
      </c>
      <c r="AG716" s="62">
        <f t="shared" si="159"/>
        <v>2</v>
      </c>
      <c r="AH716" s="62" t="str">
        <f t="shared" si="160"/>
        <v>Saturday</v>
      </c>
      <c r="AI716" s="62" t="str">
        <f t="shared" si="153"/>
        <v>Thursday</v>
      </c>
      <c r="AJ716" s="62" t="str">
        <f>VLOOKUP(AC716,'Currency Sheet'!A:C,3,)</f>
        <v>DOLLAR</v>
      </c>
      <c r="AK716" s="62" t="str">
        <f>VLOOKUP(X716,'Customer List'!B:D,3,)</f>
        <v>OutStation</v>
      </c>
    </row>
    <row r="717" spans="1:37" hidden="1" x14ac:dyDescent="0.25">
      <c r="A717" s="62">
        <f t="shared" si="154"/>
        <v>703</v>
      </c>
      <c r="B717" s="62" t="s">
        <v>824</v>
      </c>
      <c r="C717" s="62" t="s">
        <v>1841</v>
      </c>
      <c r="D717" s="6">
        <v>46122</v>
      </c>
      <c r="E717" s="6">
        <v>46132</v>
      </c>
      <c r="F717" s="63">
        <v>53.9</v>
      </c>
      <c r="G717" s="64">
        <f t="shared" si="155"/>
        <v>4743.2</v>
      </c>
      <c r="H717" s="64">
        <f t="shared" si="156"/>
        <v>4743.2</v>
      </c>
      <c r="I717" s="70">
        <v>423601</v>
      </c>
      <c r="J717" s="62" t="s">
        <v>1803</v>
      </c>
      <c r="K717" s="8" t="s">
        <v>1804</v>
      </c>
      <c r="L717" s="10">
        <v>47083</v>
      </c>
      <c r="M717" s="62">
        <v>1</v>
      </c>
      <c r="N717" s="8">
        <v>1</v>
      </c>
      <c r="O717" s="62">
        <f t="shared" si="157"/>
        <v>0</v>
      </c>
      <c r="P717" s="70">
        <v>147</v>
      </c>
      <c r="Q717" s="71">
        <v>46132</v>
      </c>
      <c r="R717" s="6">
        <v>46133</v>
      </c>
      <c r="S717" s="64">
        <v>8354.5</v>
      </c>
      <c r="T717" s="22">
        <v>5</v>
      </c>
      <c r="U717" s="64">
        <f t="shared" si="158"/>
        <v>417.72500000000002</v>
      </c>
      <c r="V717" s="22">
        <v>-0.31</v>
      </c>
      <c r="W717" s="22">
        <v>9858</v>
      </c>
      <c r="X717" s="62" t="s">
        <v>131</v>
      </c>
      <c r="Y717" s="62">
        <v>58164560580</v>
      </c>
      <c r="Z717" s="62" t="s">
        <v>1112</v>
      </c>
      <c r="AA717" s="65" t="s">
        <v>808</v>
      </c>
      <c r="AB717" s="66"/>
      <c r="AC717" s="1" t="s">
        <v>1842</v>
      </c>
      <c r="AD717" s="62" t="str">
        <f>VLOOKUP(X717,'Customer List'!B:C,2,)</f>
        <v>Banglore</v>
      </c>
      <c r="AE717" s="67"/>
      <c r="AF717" s="6">
        <v>46134</v>
      </c>
      <c r="AG717" s="62">
        <f t="shared" si="159"/>
        <v>1</v>
      </c>
      <c r="AH717" s="62" t="str">
        <f t="shared" si="160"/>
        <v>Tuesday</v>
      </c>
      <c r="AI717" s="62" t="str">
        <f t="shared" si="153"/>
        <v>Wednesday</v>
      </c>
      <c r="AJ717" s="62" t="str">
        <f>VLOOKUP(AC717,'Currency Sheet'!A:C,3,)</f>
        <v>DOLLAR</v>
      </c>
      <c r="AK717" s="62" t="str">
        <f>VLOOKUP(X717,'Customer List'!B:D,3,)</f>
        <v>OutStation</v>
      </c>
    </row>
    <row r="718" spans="1:37" hidden="1" x14ac:dyDescent="0.25">
      <c r="A718" s="62">
        <f t="shared" si="154"/>
        <v>704</v>
      </c>
      <c r="B718" s="62" t="s">
        <v>824</v>
      </c>
      <c r="C718" s="62" t="s">
        <v>1841</v>
      </c>
      <c r="D718" s="6">
        <v>46122</v>
      </c>
      <c r="E718" s="6">
        <v>46132</v>
      </c>
      <c r="F718" s="63">
        <v>75.75</v>
      </c>
      <c r="G718" s="64">
        <f t="shared" si="155"/>
        <v>6666</v>
      </c>
      <c r="H718" s="64">
        <f t="shared" si="156"/>
        <v>6666</v>
      </c>
      <c r="I718" s="70">
        <v>423801</v>
      </c>
      <c r="J718" s="62" t="s">
        <v>1805</v>
      </c>
      <c r="K718" s="8" t="s">
        <v>1806</v>
      </c>
      <c r="L718" s="10">
        <v>46766</v>
      </c>
      <c r="M718" s="62">
        <v>1</v>
      </c>
      <c r="N718" s="8">
        <v>1</v>
      </c>
      <c r="O718" s="62">
        <f t="shared" si="157"/>
        <v>0</v>
      </c>
      <c r="P718" s="70">
        <v>148</v>
      </c>
      <c r="Q718" s="71">
        <v>46132</v>
      </c>
      <c r="R718" s="6">
        <v>46133</v>
      </c>
      <c r="S718" s="64">
        <v>11741.25</v>
      </c>
      <c r="T718" s="22">
        <v>5</v>
      </c>
      <c r="U718" s="64">
        <f t="shared" si="158"/>
        <v>587.0625</v>
      </c>
      <c r="V718" s="22">
        <v>-0.31</v>
      </c>
      <c r="W718" s="22">
        <v>12328</v>
      </c>
      <c r="X718" s="62" t="s">
        <v>1839</v>
      </c>
      <c r="Y718" s="62">
        <v>58164558583</v>
      </c>
      <c r="Z718" s="62" t="s">
        <v>1112</v>
      </c>
      <c r="AA718" s="65">
        <v>-20</v>
      </c>
      <c r="AB718" s="66"/>
      <c r="AC718" s="1" t="s">
        <v>1842</v>
      </c>
      <c r="AD718" s="62" t="str">
        <f>VLOOKUP(X718,'Customer List'!B:C,2,)</f>
        <v>BANGALORE</v>
      </c>
      <c r="AE718" s="67"/>
      <c r="AF718" s="6">
        <v>46134</v>
      </c>
      <c r="AG718" s="62">
        <f t="shared" si="159"/>
        <v>1</v>
      </c>
      <c r="AH718" s="62" t="str">
        <f t="shared" si="160"/>
        <v>Monday</v>
      </c>
      <c r="AI718" s="62" t="str">
        <f t="shared" si="153"/>
        <v>Wednesday</v>
      </c>
      <c r="AJ718" s="62" t="str">
        <f>VLOOKUP(AC718,'Currency Sheet'!A:C,3,)</f>
        <v>DOLLAR</v>
      </c>
      <c r="AK718" s="62" t="str">
        <f>VLOOKUP(X718,'Customer List'!B:D,3,)</f>
        <v>OutStation</v>
      </c>
    </row>
    <row r="719" spans="1:37" hidden="1" x14ac:dyDescent="0.25">
      <c r="A719" s="62">
        <f t="shared" si="154"/>
        <v>705</v>
      </c>
      <c r="B719" s="62" t="s">
        <v>824</v>
      </c>
      <c r="C719" s="62" t="s">
        <v>1841</v>
      </c>
      <c r="D719" s="6">
        <v>46122</v>
      </c>
      <c r="E719" s="6">
        <v>46132</v>
      </c>
      <c r="F719" s="63">
        <v>286.3</v>
      </c>
      <c r="G719" s="64">
        <f t="shared" si="155"/>
        <v>25194.400000000001</v>
      </c>
      <c r="H719" s="64">
        <f t="shared" si="156"/>
        <v>25194.400000000001</v>
      </c>
      <c r="I719" s="70">
        <v>430207</v>
      </c>
      <c r="J719" s="62" t="s">
        <v>1807</v>
      </c>
      <c r="K719" s="8" t="s">
        <v>1808</v>
      </c>
      <c r="L719" s="10">
        <v>46390</v>
      </c>
      <c r="M719" s="62">
        <v>1</v>
      </c>
      <c r="N719" s="8">
        <v>1</v>
      </c>
      <c r="O719" s="62">
        <f t="shared" si="157"/>
        <v>0</v>
      </c>
      <c r="P719" s="70">
        <v>159</v>
      </c>
      <c r="Q719" s="71">
        <v>46133</v>
      </c>
      <c r="R719" s="6">
        <v>46133</v>
      </c>
      <c r="S719" s="64">
        <v>47546.25</v>
      </c>
      <c r="T719" s="22">
        <v>5</v>
      </c>
      <c r="U719" s="64">
        <f t="shared" si="158"/>
        <v>2377.3125</v>
      </c>
      <c r="V719" s="22">
        <v>0</v>
      </c>
      <c r="W719" s="22">
        <v>324993</v>
      </c>
      <c r="X719" s="62" t="s">
        <v>94</v>
      </c>
      <c r="Y719" s="62" t="s">
        <v>1120</v>
      </c>
      <c r="Z719" s="62" t="s">
        <v>1863</v>
      </c>
      <c r="AA719" s="65">
        <v>4</v>
      </c>
      <c r="AB719" s="66"/>
      <c r="AC719" s="1" t="s">
        <v>1842</v>
      </c>
      <c r="AD719" s="62" t="str">
        <f>VLOOKUP(X719,'Customer List'!B:C,2,)</f>
        <v>Delhi</v>
      </c>
      <c r="AE719" s="67"/>
      <c r="AF719" s="6"/>
      <c r="AG719" s="62" t="str">
        <f t="shared" si="159"/>
        <v/>
      </c>
      <c r="AH719" s="62" t="str">
        <f t="shared" si="160"/>
        <v>Monday</v>
      </c>
      <c r="AI719" s="62" t="str">
        <f t="shared" si="153"/>
        <v/>
      </c>
      <c r="AJ719" s="62" t="str">
        <f>VLOOKUP(AC719,'Currency Sheet'!A:C,3,)</f>
        <v>DOLLAR</v>
      </c>
      <c r="AK719" s="62" t="str">
        <f>VLOOKUP(X719,'Customer List'!B:D,3,)</f>
        <v>Local</v>
      </c>
    </row>
    <row r="720" spans="1:37" hidden="1" x14ac:dyDescent="0.25">
      <c r="A720" s="62">
        <f t="shared" si="154"/>
        <v>706</v>
      </c>
      <c r="B720" s="62" t="s">
        <v>824</v>
      </c>
      <c r="C720" s="62" t="s">
        <v>1841</v>
      </c>
      <c r="D720" s="6">
        <v>46122</v>
      </c>
      <c r="E720" s="6">
        <v>46132</v>
      </c>
      <c r="F720" s="63">
        <v>362.25</v>
      </c>
      <c r="G720" s="64">
        <f t="shared" si="155"/>
        <v>31878</v>
      </c>
      <c r="H720" s="64">
        <f t="shared" si="156"/>
        <v>31878</v>
      </c>
      <c r="I720" s="70">
        <v>480006</v>
      </c>
      <c r="J720" s="62" t="s">
        <v>1809</v>
      </c>
      <c r="K720" s="8" t="s">
        <v>1810</v>
      </c>
      <c r="L720" s="10">
        <v>46561</v>
      </c>
      <c r="M720" s="62">
        <v>1</v>
      </c>
      <c r="N720" s="8">
        <v>1</v>
      </c>
      <c r="O720" s="62">
        <f t="shared" si="157"/>
        <v>0</v>
      </c>
      <c r="P720" s="70" t="s">
        <v>1860</v>
      </c>
      <c r="Q720" s="71">
        <v>46133</v>
      </c>
      <c r="R720" s="6">
        <v>46133</v>
      </c>
      <c r="S720" s="64">
        <v>0</v>
      </c>
      <c r="T720" s="22">
        <v>5</v>
      </c>
      <c r="U720" s="64">
        <f t="shared" si="158"/>
        <v>0</v>
      </c>
      <c r="V720" s="22">
        <v>0</v>
      </c>
      <c r="W720" s="22">
        <v>0</v>
      </c>
      <c r="X720" s="62" t="s">
        <v>317</v>
      </c>
      <c r="Y720" s="62">
        <v>58164560156</v>
      </c>
      <c r="Z720" s="62" t="s">
        <v>1112</v>
      </c>
      <c r="AA720" s="65">
        <v>4</v>
      </c>
      <c r="AB720" s="66" t="s">
        <v>1861</v>
      </c>
      <c r="AC720" s="1" t="s">
        <v>1842</v>
      </c>
      <c r="AD720" s="62" t="str">
        <f>VLOOKUP(X720,'Customer List'!B:C,2,)</f>
        <v>MOHALI (PUNJAB)</v>
      </c>
      <c r="AE720" s="67"/>
      <c r="AF720" s="6">
        <v>46134</v>
      </c>
      <c r="AG720" s="62">
        <f t="shared" si="159"/>
        <v>1</v>
      </c>
      <c r="AH720" s="62" t="str">
        <f t="shared" si="160"/>
        <v>Saturday</v>
      </c>
      <c r="AI720" s="62" t="str">
        <f t="shared" si="153"/>
        <v>Wednesday</v>
      </c>
      <c r="AJ720" s="62" t="str">
        <f>VLOOKUP(AC720,'Currency Sheet'!A:C,3,)</f>
        <v>DOLLAR</v>
      </c>
      <c r="AK720" s="62" t="str">
        <f>VLOOKUP(X720,'Customer List'!B:D,3,)</f>
        <v>OutStation</v>
      </c>
    </row>
    <row r="721" spans="1:37" hidden="1" x14ac:dyDescent="0.25">
      <c r="A721" s="62">
        <f t="shared" si="154"/>
        <v>707</v>
      </c>
      <c r="B721" s="62" t="s">
        <v>824</v>
      </c>
      <c r="C721" s="62" t="s">
        <v>1841</v>
      </c>
      <c r="D721" s="6">
        <v>46122</v>
      </c>
      <c r="E721" s="6">
        <v>46132</v>
      </c>
      <c r="F721" s="63">
        <v>375</v>
      </c>
      <c r="G721" s="64">
        <f t="shared" si="155"/>
        <v>33000</v>
      </c>
      <c r="H721" s="64">
        <f t="shared" si="156"/>
        <v>33000</v>
      </c>
      <c r="I721" s="70">
        <v>480188</v>
      </c>
      <c r="J721" s="62" t="s">
        <v>1811</v>
      </c>
      <c r="K721" s="8" t="s">
        <v>1812</v>
      </c>
      <c r="L721" s="10">
        <v>46352</v>
      </c>
      <c r="M721" s="62">
        <v>1</v>
      </c>
      <c r="N721" s="8">
        <v>1</v>
      </c>
      <c r="O721" s="62">
        <f t="shared" si="157"/>
        <v>0</v>
      </c>
      <c r="P721" s="70">
        <v>200</v>
      </c>
      <c r="Q721" s="71">
        <v>46139</v>
      </c>
      <c r="R721" s="6">
        <v>46139</v>
      </c>
      <c r="S721" s="64">
        <v>42750</v>
      </c>
      <c r="T721" s="22">
        <v>5</v>
      </c>
      <c r="U721" s="64">
        <f t="shared" si="158"/>
        <v>2137.5</v>
      </c>
      <c r="V721" s="22"/>
      <c r="W721" s="22"/>
      <c r="X721" s="62" t="s">
        <v>793</v>
      </c>
      <c r="Y721" s="62" t="s">
        <v>1120</v>
      </c>
      <c r="Z721" s="62" t="s">
        <v>1863</v>
      </c>
      <c r="AA721" s="65">
        <v>4</v>
      </c>
      <c r="AB721" s="66"/>
      <c r="AC721" s="1" t="s">
        <v>1842</v>
      </c>
      <c r="AD721" s="62" t="str">
        <f>VLOOKUP(X721,'Customer List'!B:C,2,)</f>
        <v>Delhi</v>
      </c>
      <c r="AE721" s="67"/>
      <c r="AF721" s="6"/>
      <c r="AG721" s="62" t="str">
        <f t="shared" si="159"/>
        <v/>
      </c>
      <c r="AH721" s="62" t="str">
        <f t="shared" si="160"/>
        <v>Sunday</v>
      </c>
      <c r="AI721" s="62" t="str">
        <f t="shared" si="153"/>
        <v/>
      </c>
      <c r="AJ721" s="62" t="str">
        <f>VLOOKUP(AC721,'Currency Sheet'!A:C,3,)</f>
        <v>DOLLAR</v>
      </c>
      <c r="AK721" s="62" t="str">
        <f>VLOOKUP(X721,'Customer List'!B:D,3,)</f>
        <v>Local</v>
      </c>
    </row>
    <row r="722" spans="1:37" hidden="1" x14ac:dyDescent="0.25">
      <c r="A722" s="62">
        <f t="shared" si="154"/>
        <v>708</v>
      </c>
      <c r="B722" s="62" t="s">
        <v>824</v>
      </c>
      <c r="C722" s="62" t="s">
        <v>1841</v>
      </c>
      <c r="D722" s="6">
        <v>46122</v>
      </c>
      <c r="E722" s="6">
        <v>46132</v>
      </c>
      <c r="F722" s="63">
        <v>378.75</v>
      </c>
      <c r="G722" s="64">
        <f t="shared" si="155"/>
        <v>33330</v>
      </c>
      <c r="H722" s="64">
        <f t="shared" si="156"/>
        <v>33330</v>
      </c>
      <c r="I722" s="70">
        <v>480194</v>
      </c>
      <c r="J722" s="62" t="s">
        <v>1813</v>
      </c>
      <c r="K722" s="8" t="s">
        <v>1814</v>
      </c>
      <c r="L722" s="10">
        <v>46378</v>
      </c>
      <c r="M722" s="62">
        <v>1</v>
      </c>
      <c r="N722" s="8">
        <v>1</v>
      </c>
      <c r="O722" s="62">
        <f t="shared" si="157"/>
        <v>0</v>
      </c>
      <c r="P722" s="70">
        <v>200</v>
      </c>
      <c r="Q722" s="71">
        <v>46139</v>
      </c>
      <c r="R722" s="6">
        <v>46139</v>
      </c>
      <c r="S722" s="64">
        <v>43177.5</v>
      </c>
      <c r="T722" s="22">
        <v>5</v>
      </c>
      <c r="U722" s="64">
        <f t="shared" si="158"/>
        <v>2158.875</v>
      </c>
      <c r="V722" s="22"/>
      <c r="W722" s="22"/>
      <c r="X722" s="62" t="s">
        <v>793</v>
      </c>
      <c r="Y722" s="62" t="s">
        <v>1120</v>
      </c>
      <c r="Z722" s="62" t="s">
        <v>1863</v>
      </c>
      <c r="AA722" s="65">
        <v>4</v>
      </c>
      <c r="AB722" s="66"/>
      <c r="AC722" s="1" t="s">
        <v>1842</v>
      </c>
      <c r="AD722" s="62" t="str">
        <f>VLOOKUP(X722,'Customer List'!B:C,2,)</f>
        <v>Delhi</v>
      </c>
      <c r="AE722" s="67"/>
      <c r="AF722" s="6"/>
      <c r="AG722" s="62" t="str">
        <f t="shared" si="159"/>
        <v/>
      </c>
      <c r="AH722" s="62" t="str">
        <f t="shared" si="160"/>
        <v>Sunday</v>
      </c>
      <c r="AI722" s="62" t="str">
        <f t="shared" si="153"/>
        <v/>
      </c>
      <c r="AJ722" s="62" t="str">
        <f>VLOOKUP(AC722,'Currency Sheet'!A:C,3,)</f>
        <v>DOLLAR</v>
      </c>
      <c r="AK722" s="62" t="str">
        <f>VLOOKUP(X722,'Customer List'!B:D,3,)</f>
        <v>Local</v>
      </c>
    </row>
    <row r="723" spans="1:37" hidden="1" x14ac:dyDescent="0.25">
      <c r="A723" s="62">
        <f t="shared" si="154"/>
        <v>709</v>
      </c>
      <c r="B723" s="62" t="s">
        <v>824</v>
      </c>
      <c r="C723" s="62" t="s">
        <v>1841</v>
      </c>
      <c r="D723" s="6">
        <v>46122</v>
      </c>
      <c r="E723" s="6">
        <v>46132</v>
      </c>
      <c r="F723" s="63">
        <v>301.5</v>
      </c>
      <c r="G723" s="64">
        <f t="shared" si="155"/>
        <v>26532</v>
      </c>
      <c r="H723" s="64">
        <f t="shared" si="156"/>
        <v>26532</v>
      </c>
      <c r="I723" s="70">
        <v>502532</v>
      </c>
      <c r="J723" s="62" t="s">
        <v>1815</v>
      </c>
      <c r="K723" s="8" t="s">
        <v>1816</v>
      </c>
      <c r="L723" s="10">
        <v>46717</v>
      </c>
      <c r="M723" s="62">
        <v>1</v>
      </c>
      <c r="N723" s="8">
        <v>1</v>
      </c>
      <c r="O723" s="62">
        <f t="shared" si="157"/>
        <v>0</v>
      </c>
      <c r="P723" s="70">
        <v>159</v>
      </c>
      <c r="Q723" s="71">
        <v>46133</v>
      </c>
      <c r="R723" s="6">
        <v>46133</v>
      </c>
      <c r="S723" s="64">
        <v>46732.5</v>
      </c>
      <c r="T723" s="22">
        <v>5</v>
      </c>
      <c r="U723" s="64">
        <f t="shared" si="158"/>
        <v>2336.625</v>
      </c>
      <c r="V723" s="22">
        <v>0</v>
      </c>
      <c r="W723" s="22">
        <v>324993</v>
      </c>
      <c r="X723" s="62" t="s">
        <v>94</v>
      </c>
      <c r="Y723" s="62" t="s">
        <v>1120</v>
      </c>
      <c r="Z723" s="62" t="s">
        <v>1863</v>
      </c>
      <c r="AA723" s="65">
        <v>4</v>
      </c>
      <c r="AB723" s="66"/>
      <c r="AC723" s="1" t="s">
        <v>1842</v>
      </c>
      <c r="AD723" s="62" t="str">
        <f>VLOOKUP(X723,'Customer List'!B:C,2,)</f>
        <v>Delhi</v>
      </c>
      <c r="AE723" s="67"/>
      <c r="AF723" s="6"/>
      <c r="AG723" s="62" t="str">
        <f t="shared" si="159"/>
        <v/>
      </c>
      <c r="AH723" s="62" t="str">
        <f t="shared" si="160"/>
        <v>Saturday</v>
      </c>
      <c r="AI723" s="62" t="str">
        <f t="shared" si="153"/>
        <v/>
      </c>
      <c r="AJ723" s="62" t="str">
        <f>VLOOKUP(AC723,'Currency Sheet'!A:C,3,)</f>
        <v>DOLLAR</v>
      </c>
      <c r="AK723" s="62" t="str">
        <f>VLOOKUP(X723,'Customer List'!B:D,3,)</f>
        <v>Local</v>
      </c>
    </row>
    <row r="724" spans="1:37" hidden="1" x14ac:dyDescent="0.25">
      <c r="A724" s="62">
        <f t="shared" si="154"/>
        <v>710</v>
      </c>
      <c r="B724" s="62" t="s">
        <v>824</v>
      </c>
      <c r="C724" s="62" t="s">
        <v>1841</v>
      </c>
      <c r="D724" s="6">
        <v>46122</v>
      </c>
      <c r="E724" s="6">
        <v>46132</v>
      </c>
      <c r="F724" s="63">
        <v>242.9</v>
      </c>
      <c r="G724" s="64">
        <f t="shared" si="155"/>
        <v>21375.200000000001</v>
      </c>
      <c r="H724" s="64">
        <f t="shared" si="156"/>
        <v>21375.200000000001</v>
      </c>
      <c r="I724" s="70">
        <v>502546</v>
      </c>
      <c r="J724" s="62" t="s">
        <v>1815</v>
      </c>
      <c r="K724" s="8" t="s">
        <v>1817</v>
      </c>
      <c r="L724" s="10">
        <v>47454</v>
      </c>
      <c r="M724" s="62">
        <v>1</v>
      </c>
      <c r="N724" s="8">
        <v>1</v>
      </c>
      <c r="O724" s="62">
        <f t="shared" si="157"/>
        <v>0</v>
      </c>
      <c r="P724" s="70">
        <v>252</v>
      </c>
      <c r="Q724" s="71">
        <v>46142</v>
      </c>
      <c r="R724" s="6">
        <v>46142</v>
      </c>
      <c r="S724" s="64">
        <v>39037.5</v>
      </c>
      <c r="T724" s="22">
        <v>5</v>
      </c>
      <c r="U724" s="64">
        <f t="shared" si="158"/>
        <v>1951.875</v>
      </c>
      <c r="V724" s="22">
        <v>0</v>
      </c>
      <c r="W724" s="22">
        <v>219476</v>
      </c>
      <c r="X724" s="62" t="s">
        <v>793</v>
      </c>
      <c r="Y724" s="62" t="s">
        <v>1120</v>
      </c>
      <c r="Z724" s="62" t="s">
        <v>1863</v>
      </c>
      <c r="AA724" s="65">
        <v>4</v>
      </c>
      <c r="AB724" s="66"/>
      <c r="AC724" s="1" t="s">
        <v>1842</v>
      </c>
      <c r="AD724" s="62" t="str">
        <f>VLOOKUP(X724,'Customer List'!B:C,2,)</f>
        <v>Delhi</v>
      </c>
      <c r="AE724" s="67"/>
      <c r="AF724" s="6"/>
      <c r="AG724" s="62" t="str">
        <f t="shared" si="159"/>
        <v/>
      </c>
      <c r="AH724" s="62" t="str">
        <f t="shared" si="160"/>
        <v>Thursday</v>
      </c>
      <c r="AI724" s="62" t="str">
        <f t="shared" si="153"/>
        <v/>
      </c>
      <c r="AJ724" s="62" t="str">
        <f>VLOOKUP(AC724,'Currency Sheet'!A:C,3,)</f>
        <v>DOLLAR</v>
      </c>
      <c r="AK724" s="62" t="str">
        <f>VLOOKUP(X724,'Customer List'!B:D,3,)</f>
        <v>Local</v>
      </c>
    </row>
    <row r="725" spans="1:37" hidden="1" x14ac:dyDescent="0.25">
      <c r="A725" s="62">
        <f t="shared" si="154"/>
        <v>711</v>
      </c>
      <c r="B725" s="62" t="s">
        <v>824</v>
      </c>
      <c r="C725" s="62" t="s">
        <v>1841</v>
      </c>
      <c r="D725" s="6">
        <v>46122</v>
      </c>
      <c r="E725" s="6">
        <v>46132</v>
      </c>
      <c r="F725" s="63">
        <v>164.5</v>
      </c>
      <c r="G725" s="64">
        <f t="shared" si="155"/>
        <v>14476</v>
      </c>
      <c r="H725" s="64">
        <f t="shared" si="156"/>
        <v>14476</v>
      </c>
      <c r="I725" s="70">
        <v>502906</v>
      </c>
      <c r="J725" s="62" t="s">
        <v>1772</v>
      </c>
      <c r="K725" s="8" t="s">
        <v>1818</v>
      </c>
      <c r="L725" s="10">
        <v>48350</v>
      </c>
      <c r="M725" s="62">
        <v>1</v>
      </c>
      <c r="N725" s="8">
        <v>1</v>
      </c>
      <c r="O725" s="62">
        <f t="shared" si="157"/>
        <v>0</v>
      </c>
      <c r="P725" s="70">
        <v>159</v>
      </c>
      <c r="Q725" s="71">
        <v>46133</v>
      </c>
      <c r="R725" s="6">
        <v>46133</v>
      </c>
      <c r="S725" s="64">
        <v>27318.75</v>
      </c>
      <c r="T725" s="22">
        <v>5</v>
      </c>
      <c r="U725" s="64">
        <f t="shared" si="158"/>
        <v>1365.9375</v>
      </c>
      <c r="V725" s="22">
        <v>0</v>
      </c>
      <c r="W725" s="22">
        <v>324993</v>
      </c>
      <c r="X725" s="62" t="s">
        <v>94</v>
      </c>
      <c r="Y725" s="62" t="s">
        <v>1120</v>
      </c>
      <c r="Z725" s="62" t="s">
        <v>1863</v>
      </c>
      <c r="AA725" s="65">
        <v>4</v>
      </c>
      <c r="AB725" s="66"/>
      <c r="AC725" s="1" t="s">
        <v>1842</v>
      </c>
      <c r="AD725" s="62" t="str">
        <f>VLOOKUP(X725,'Customer List'!B:C,2,)</f>
        <v>Delhi</v>
      </c>
      <c r="AE725" s="67"/>
      <c r="AF725" s="6"/>
      <c r="AG725" s="62" t="str">
        <f t="shared" si="159"/>
        <v/>
      </c>
      <c r="AH725" s="62" t="str">
        <f t="shared" si="160"/>
        <v>Wednesday</v>
      </c>
      <c r="AI725" s="62" t="str">
        <f t="shared" si="153"/>
        <v/>
      </c>
      <c r="AJ725" s="62" t="str">
        <f>VLOOKUP(AC725,'Currency Sheet'!A:C,3,)</f>
        <v>DOLLAR</v>
      </c>
      <c r="AK725" s="62" t="str">
        <f>VLOOKUP(X725,'Customer List'!B:D,3,)</f>
        <v>Local</v>
      </c>
    </row>
    <row r="726" spans="1:37" hidden="1" x14ac:dyDescent="0.25">
      <c r="A726" s="62">
        <f t="shared" si="154"/>
        <v>712</v>
      </c>
      <c r="B726" s="62" t="s">
        <v>824</v>
      </c>
      <c r="C726" s="62" t="s">
        <v>1841</v>
      </c>
      <c r="D726" s="6">
        <v>46122</v>
      </c>
      <c r="E726" s="6">
        <v>46132</v>
      </c>
      <c r="F726" s="63">
        <v>61.6</v>
      </c>
      <c r="G726" s="64">
        <f t="shared" si="155"/>
        <v>5420.8</v>
      </c>
      <c r="H726" s="64">
        <f t="shared" si="156"/>
        <v>5420.8</v>
      </c>
      <c r="I726" s="70">
        <v>504105</v>
      </c>
      <c r="J726" s="62" t="s">
        <v>1819</v>
      </c>
      <c r="K726" s="8" t="s">
        <v>1820</v>
      </c>
      <c r="L726" s="10">
        <v>46718</v>
      </c>
      <c r="M726" s="62">
        <v>1</v>
      </c>
      <c r="N726" s="8">
        <v>1</v>
      </c>
      <c r="O726" s="62">
        <f t="shared" si="157"/>
        <v>0</v>
      </c>
      <c r="P726" s="70">
        <v>263</v>
      </c>
      <c r="Q726" s="71">
        <v>46148</v>
      </c>
      <c r="R726" s="6">
        <v>46148</v>
      </c>
      <c r="S726" s="64">
        <v>10230</v>
      </c>
      <c r="T726" s="22">
        <v>5</v>
      </c>
      <c r="U726" s="64">
        <f t="shared" si="158"/>
        <v>511.5</v>
      </c>
      <c r="V726" s="22">
        <v>0</v>
      </c>
      <c r="W726" s="22">
        <v>18187</v>
      </c>
      <c r="X726" s="62" t="s">
        <v>1833</v>
      </c>
      <c r="Y726" s="62" t="s">
        <v>1120</v>
      </c>
      <c r="Z726" s="62" t="s">
        <v>1863</v>
      </c>
      <c r="AA726" s="65">
        <v>4</v>
      </c>
      <c r="AB726" s="66"/>
      <c r="AC726" s="1" t="s">
        <v>1842</v>
      </c>
      <c r="AD726" s="62" t="str">
        <f>VLOOKUP(X726,'Customer List'!B:C,2,)</f>
        <v>DELHI</v>
      </c>
      <c r="AE726" s="67"/>
      <c r="AF726" s="6"/>
      <c r="AG726" s="62" t="str">
        <f t="shared" si="159"/>
        <v/>
      </c>
      <c r="AH726" s="62" t="str">
        <f t="shared" si="160"/>
        <v>Tuesday</v>
      </c>
      <c r="AI726" s="62" t="str">
        <f t="shared" si="153"/>
        <v/>
      </c>
      <c r="AJ726" s="62" t="str">
        <f>VLOOKUP(AC726,'Currency Sheet'!A:C,3,)</f>
        <v>DOLLAR</v>
      </c>
      <c r="AK726" s="62" t="str">
        <f>VLOOKUP(X726,'Customer List'!B:D,3,)</f>
        <v>Local</v>
      </c>
    </row>
    <row r="727" spans="1:37" hidden="1" x14ac:dyDescent="0.25">
      <c r="A727" s="62">
        <f t="shared" si="154"/>
        <v>713</v>
      </c>
      <c r="B727" s="62" t="s">
        <v>824</v>
      </c>
      <c r="C727" s="62" t="s">
        <v>1841</v>
      </c>
      <c r="D727" s="6">
        <v>46122</v>
      </c>
      <c r="E727" s="6">
        <v>46132</v>
      </c>
      <c r="F727" s="63">
        <v>180.6</v>
      </c>
      <c r="G727" s="64">
        <f t="shared" si="155"/>
        <v>15892.8</v>
      </c>
      <c r="H727" s="64">
        <f t="shared" si="156"/>
        <v>15892.8</v>
      </c>
      <c r="I727" s="70">
        <v>512304</v>
      </c>
      <c r="J727" s="62" t="s">
        <v>1821</v>
      </c>
      <c r="K727" s="8" t="s">
        <v>1822</v>
      </c>
      <c r="L727" s="10">
        <v>46963</v>
      </c>
      <c r="M727" s="62">
        <v>1</v>
      </c>
      <c r="N727" s="8">
        <v>1</v>
      </c>
      <c r="O727" s="62">
        <f t="shared" si="157"/>
        <v>0</v>
      </c>
      <c r="P727" s="70">
        <v>139</v>
      </c>
      <c r="Q727" s="71">
        <v>46132</v>
      </c>
      <c r="R727" s="6">
        <v>46132</v>
      </c>
      <c r="S727" s="64">
        <v>27993</v>
      </c>
      <c r="T727" s="22">
        <v>5</v>
      </c>
      <c r="U727" s="64">
        <f t="shared" si="158"/>
        <v>1399.65</v>
      </c>
      <c r="V727" s="22">
        <v>0.35</v>
      </c>
      <c r="W727" s="22">
        <v>29393</v>
      </c>
      <c r="X727" s="62" t="s">
        <v>15</v>
      </c>
      <c r="Y727" s="62" t="s">
        <v>1859</v>
      </c>
      <c r="Z727" s="62" t="s">
        <v>1112</v>
      </c>
      <c r="AA727" s="65">
        <v>4</v>
      </c>
      <c r="AB727" s="66"/>
      <c r="AC727" s="1" t="s">
        <v>1842</v>
      </c>
      <c r="AD727" s="62" t="str">
        <f>VLOOKUP(X727,'Customer List'!B:C,2,)</f>
        <v>Chandigarh</v>
      </c>
      <c r="AE727" s="67"/>
      <c r="AF727" s="6">
        <v>46133</v>
      </c>
      <c r="AG727" s="62">
        <f t="shared" si="159"/>
        <v>1</v>
      </c>
      <c r="AH727" s="62" t="str">
        <f t="shared" si="160"/>
        <v>Saturday</v>
      </c>
      <c r="AI727" s="62" t="str">
        <f t="shared" si="153"/>
        <v>Tuesday</v>
      </c>
      <c r="AJ727" s="62" t="str">
        <f>VLOOKUP(AC727,'Currency Sheet'!A:C,3,)</f>
        <v>DOLLAR</v>
      </c>
      <c r="AK727" s="62" t="str">
        <f>VLOOKUP(X727,'Customer List'!B:D,3,)</f>
        <v>OutStation</v>
      </c>
    </row>
    <row r="728" spans="1:37" hidden="1" x14ac:dyDescent="0.25">
      <c r="A728" s="62">
        <f t="shared" si="154"/>
        <v>714</v>
      </c>
      <c r="B728" s="62" t="s">
        <v>824</v>
      </c>
      <c r="C728" s="62" t="s">
        <v>1841</v>
      </c>
      <c r="D728" s="6">
        <v>46122</v>
      </c>
      <c r="E728" s="6">
        <v>46132</v>
      </c>
      <c r="F728" s="63">
        <v>334.5</v>
      </c>
      <c r="G728" s="64">
        <f t="shared" si="155"/>
        <v>29436</v>
      </c>
      <c r="H728" s="64">
        <f t="shared" si="156"/>
        <v>29436</v>
      </c>
      <c r="I728" s="70">
        <v>512328</v>
      </c>
      <c r="J728" s="62" t="s">
        <v>1821</v>
      </c>
      <c r="K728" s="8" t="s">
        <v>1823</v>
      </c>
      <c r="L728" s="10">
        <v>46661</v>
      </c>
      <c r="M728" s="62">
        <v>1</v>
      </c>
      <c r="N728" s="8">
        <v>1</v>
      </c>
      <c r="O728" s="62">
        <f t="shared" si="157"/>
        <v>0</v>
      </c>
      <c r="P728" s="70">
        <v>159</v>
      </c>
      <c r="Q728" s="71">
        <v>46133</v>
      </c>
      <c r="R728" s="6">
        <v>46133</v>
      </c>
      <c r="S728" s="64">
        <v>51847.5</v>
      </c>
      <c r="T728" s="22">
        <v>5</v>
      </c>
      <c r="U728" s="64">
        <f t="shared" si="158"/>
        <v>2592.375</v>
      </c>
      <c r="V728" s="22">
        <v>0</v>
      </c>
      <c r="W728" s="22">
        <v>324993</v>
      </c>
      <c r="X728" s="62" t="s">
        <v>94</v>
      </c>
      <c r="Y728" s="62" t="s">
        <v>1120</v>
      </c>
      <c r="Z728" s="62" t="s">
        <v>1863</v>
      </c>
      <c r="AA728" s="65">
        <v>4</v>
      </c>
      <c r="AB728" s="66"/>
      <c r="AC728" s="1" t="s">
        <v>1842</v>
      </c>
      <c r="AD728" s="62" t="str">
        <f>VLOOKUP(X728,'Customer List'!B:C,2,)</f>
        <v>Delhi</v>
      </c>
      <c r="AE728" s="67"/>
      <c r="AF728" s="6"/>
      <c r="AG728" s="62" t="str">
        <f t="shared" si="159"/>
        <v/>
      </c>
      <c r="AH728" s="62" t="str">
        <f t="shared" si="160"/>
        <v>Thursday</v>
      </c>
      <c r="AI728" s="62" t="str">
        <f t="shared" si="153"/>
        <v/>
      </c>
      <c r="AJ728" s="62" t="str">
        <f>VLOOKUP(AC728,'Currency Sheet'!A:C,3,)</f>
        <v>DOLLAR</v>
      </c>
      <c r="AK728" s="62" t="str">
        <f>VLOOKUP(X728,'Customer List'!B:D,3,)</f>
        <v>Local</v>
      </c>
    </row>
    <row r="729" spans="1:37" hidden="1" x14ac:dyDescent="0.25">
      <c r="A729" s="62">
        <f t="shared" si="154"/>
        <v>715</v>
      </c>
      <c r="B729" s="62" t="s">
        <v>824</v>
      </c>
      <c r="C729" s="62" t="s">
        <v>1841</v>
      </c>
      <c r="D729" s="6">
        <v>46122</v>
      </c>
      <c r="E729" s="6">
        <v>46132</v>
      </c>
      <c r="F729" s="63">
        <v>102.9</v>
      </c>
      <c r="G729" s="64">
        <f t="shared" si="155"/>
        <v>9055.2000000000007</v>
      </c>
      <c r="H729" s="64">
        <f t="shared" si="156"/>
        <v>9055.2000000000007</v>
      </c>
      <c r="I729" s="70">
        <v>530101</v>
      </c>
      <c r="J729" s="62" t="s">
        <v>1824</v>
      </c>
      <c r="K729" s="8" t="s">
        <v>1825</v>
      </c>
      <c r="L729" s="10">
        <v>49401</v>
      </c>
      <c r="M729" s="62">
        <v>1</v>
      </c>
      <c r="N729" s="8">
        <v>1</v>
      </c>
      <c r="O729" s="62">
        <f t="shared" si="157"/>
        <v>0</v>
      </c>
      <c r="P729" s="70">
        <v>141</v>
      </c>
      <c r="Q729" s="71">
        <v>46132</v>
      </c>
      <c r="R729" s="6">
        <v>46133</v>
      </c>
      <c r="S729" s="64">
        <v>15493.8</v>
      </c>
      <c r="T729" s="22">
        <v>5</v>
      </c>
      <c r="U729" s="64">
        <f t="shared" si="158"/>
        <v>774.69</v>
      </c>
      <c r="V729" s="22">
        <v>0</v>
      </c>
      <c r="W729" s="22">
        <v>147191</v>
      </c>
      <c r="X729" s="62" t="s">
        <v>1834</v>
      </c>
      <c r="Y729" s="62">
        <v>58164559084</v>
      </c>
      <c r="Z729" s="62" t="s">
        <v>1112</v>
      </c>
      <c r="AA729" s="65">
        <v>4</v>
      </c>
      <c r="AB729" s="66"/>
      <c r="AC729" s="1" t="s">
        <v>1842</v>
      </c>
      <c r="AD729" s="62" t="str">
        <f>VLOOKUP(X729,'Customer List'!B:C,2,)</f>
        <v>Kolkata</v>
      </c>
      <c r="AE729" s="67"/>
      <c r="AF729" s="6">
        <v>46134</v>
      </c>
      <c r="AG729" s="62">
        <f t="shared" si="159"/>
        <v>1</v>
      </c>
      <c r="AH729" s="62" t="str">
        <f t="shared" si="160"/>
        <v>Monday</v>
      </c>
      <c r="AI729" s="62" t="str">
        <f t="shared" si="153"/>
        <v>Wednesday</v>
      </c>
      <c r="AJ729" s="62" t="str">
        <f>VLOOKUP(AC729,'Currency Sheet'!A:C,3,)</f>
        <v>DOLLAR</v>
      </c>
      <c r="AK729" s="62" t="str">
        <f>VLOOKUP(X729,'Customer List'!B:D,3,)</f>
        <v>OutStation</v>
      </c>
    </row>
    <row r="730" spans="1:37" hidden="1" x14ac:dyDescent="0.25">
      <c r="A730" s="62">
        <f t="shared" si="154"/>
        <v>716</v>
      </c>
      <c r="B730" s="62" t="s">
        <v>824</v>
      </c>
      <c r="C730" s="62" t="s">
        <v>1841</v>
      </c>
      <c r="D730" s="6">
        <v>46122</v>
      </c>
      <c r="E730" s="6">
        <v>46132</v>
      </c>
      <c r="F730" s="63">
        <v>123.2</v>
      </c>
      <c r="G730" s="64">
        <f t="shared" si="155"/>
        <v>10841.6</v>
      </c>
      <c r="H730" s="64">
        <f t="shared" si="156"/>
        <v>10841.6</v>
      </c>
      <c r="I730" s="70">
        <v>621613</v>
      </c>
      <c r="J730" s="62" t="s">
        <v>1826</v>
      </c>
      <c r="K730" s="8" t="s">
        <v>1827</v>
      </c>
      <c r="L730" s="10">
        <v>46682</v>
      </c>
      <c r="M730" s="62">
        <v>1</v>
      </c>
      <c r="N730" s="8">
        <v>1</v>
      </c>
      <c r="O730" s="62">
        <f t="shared" si="157"/>
        <v>0</v>
      </c>
      <c r="P730" s="70">
        <v>136</v>
      </c>
      <c r="Q730" s="71">
        <v>46132</v>
      </c>
      <c r="R730" s="6">
        <v>46132</v>
      </c>
      <c r="S730" s="64">
        <v>19096</v>
      </c>
      <c r="T730" s="22">
        <v>5</v>
      </c>
      <c r="U730" s="64">
        <f t="shared" si="158"/>
        <v>954.80000000000007</v>
      </c>
      <c r="V730" s="22">
        <v>0</v>
      </c>
      <c r="W730" s="22">
        <v>133154</v>
      </c>
      <c r="X730" s="62" t="s">
        <v>1837</v>
      </c>
      <c r="Y730" s="62" t="s">
        <v>1120</v>
      </c>
      <c r="Z730" s="62" t="s">
        <v>1843</v>
      </c>
      <c r="AA730" s="65">
        <v>4</v>
      </c>
      <c r="AB730" s="66"/>
      <c r="AC730" s="1" t="s">
        <v>1842</v>
      </c>
      <c r="AD730" s="62" t="str">
        <f>VLOOKUP(X730,'Customer List'!B:C,2,)</f>
        <v>DELHI</v>
      </c>
      <c r="AE730" s="67"/>
      <c r="AF730" s="6"/>
      <c r="AG730" s="62" t="str">
        <f t="shared" si="159"/>
        <v/>
      </c>
      <c r="AH730" s="62" t="str">
        <f t="shared" si="160"/>
        <v>Saturday</v>
      </c>
      <c r="AI730" s="62" t="str">
        <f t="shared" si="153"/>
        <v/>
      </c>
      <c r="AJ730" s="62" t="str">
        <f>VLOOKUP(AC730,'Currency Sheet'!A:C,3,)</f>
        <v>DOLLAR</v>
      </c>
      <c r="AK730" s="62" t="str">
        <f>VLOOKUP(X730,'Customer List'!B:D,3,)</f>
        <v>Local</v>
      </c>
    </row>
    <row r="731" spans="1:37" hidden="1" x14ac:dyDescent="0.25">
      <c r="A731" s="62">
        <f t="shared" si="154"/>
        <v>717</v>
      </c>
      <c r="B731" s="62" t="s">
        <v>824</v>
      </c>
      <c r="C731" s="62" t="s">
        <v>1841</v>
      </c>
      <c r="D731" s="6">
        <v>46122</v>
      </c>
      <c r="E731" s="6">
        <v>46132</v>
      </c>
      <c r="F731" s="63">
        <v>259</v>
      </c>
      <c r="G731" s="64">
        <f t="shared" si="155"/>
        <v>22792</v>
      </c>
      <c r="H731" s="64">
        <f t="shared" si="156"/>
        <v>45584</v>
      </c>
      <c r="I731" s="70">
        <v>626812</v>
      </c>
      <c r="J731" s="62" t="s">
        <v>1828</v>
      </c>
      <c r="K731" s="8" t="s">
        <v>880</v>
      </c>
      <c r="L731" s="10">
        <v>47528</v>
      </c>
      <c r="M731" s="62">
        <v>2</v>
      </c>
      <c r="N731" s="8">
        <v>2</v>
      </c>
      <c r="O731" s="62">
        <f t="shared" si="157"/>
        <v>0</v>
      </c>
      <c r="P731" s="70">
        <v>356</v>
      </c>
      <c r="Q731" s="2">
        <v>46164</v>
      </c>
      <c r="R731" s="2">
        <v>46165</v>
      </c>
      <c r="S731" s="64">
        <v>77996</v>
      </c>
      <c r="T731" s="22">
        <v>5</v>
      </c>
      <c r="U731" s="64">
        <f t="shared" si="158"/>
        <v>3899.8</v>
      </c>
      <c r="V731" s="22">
        <v>0.2</v>
      </c>
      <c r="W731" s="22">
        <v>81896</v>
      </c>
      <c r="X731" s="62" t="s">
        <v>1100</v>
      </c>
      <c r="Y731" s="62">
        <v>58165906842</v>
      </c>
      <c r="Z731" s="62" t="s">
        <v>2894</v>
      </c>
      <c r="AA731" s="65">
        <v>4</v>
      </c>
      <c r="AB731" s="66"/>
      <c r="AC731" s="1" t="s">
        <v>1842</v>
      </c>
      <c r="AD731" s="62" t="str">
        <f>VLOOKUP(X731,'Customer List'!B:C,2,)</f>
        <v>Banglore</v>
      </c>
      <c r="AE731" s="67"/>
      <c r="AF731" s="6">
        <v>46167</v>
      </c>
      <c r="AG731" s="62">
        <f t="shared" si="159"/>
        <v>2</v>
      </c>
      <c r="AH731" s="62" t="str">
        <f t="shared" si="160"/>
        <v>Monday</v>
      </c>
      <c r="AI731" s="62" t="str">
        <f t="shared" si="153"/>
        <v>Monday</v>
      </c>
      <c r="AJ731" s="62" t="str">
        <f>VLOOKUP(AC731,'Currency Sheet'!A:C,3,)</f>
        <v>DOLLAR</v>
      </c>
      <c r="AK731" s="62" t="str">
        <f>VLOOKUP(X731,'Customer List'!B:D,3,)</f>
        <v>OutStation</v>
      </c>
    </row>
    <row r="732" spans="1:37" hidden="1" x14ac:dyDescent="0.25">
      <c r="A732" s="62">
        <f t="shared" si="154"/>
        <v>718</v>
      </c>
      <c r="B732" s="62" t="s">
        <v>824</v>
      </c>
      <c r="C732" s="62" t="s">
        <v>1841</v>
      </c>
      <c r="D732" s="6">
        <v>46122</v>
      </c>
      <c r="E732" s="6">
        <v>46132</v>
      </c>
      <c r="F732" s="63">
        <v>259</v>
      </c>
      <c r="G732" s="64">
        <f t="shared" si="155"/>
        <v>22792</v>
      </c>
      <c r="H732" s="64">
        <f t="shared" si="156"/>
        <v>68376</v>
      </c>
      <c r="I732" s="70">
        <v>626812</v>
      </c>
      <c r="J732" s="62" t="s">
        <v>1828</v>
      </c>
      <c r="K732" s="8" t="s">
        <v>880</v>
      </c>
      <c r="L732" s="10">
        <v>47528</v>
      </c>
      <c r="M732" s="62">
        <v>3</v>
      </c>
      <c r="N732" s="8">
        <v>3</v>
      </c>
      <c r="O732" s="62">
        <f t="shared" si="157"/>
        <v>0</v>
      </c>
      <c r="P732" s="70">
        <v>306</v>
      </c>
      <c r="Q732" s="71">
        <v>46155</v>
      </c>
      <c r="R732" s="6">
        <v>46155</v>
      </c>
      <c r="S732" s="64">
        <v>116994</v>
      </c>
      <c r="T732" s="22">
        <v>5</v>
      </c>
      <c r="U732" s="64">
        <f t="shared" si="158"/>
        <v>5849.7000000000007</v>
      </c>
      <c r="V732" s="22">
        <v>0.3</v>
      </c>
      <c r="W732" s="22">
        <v>122844</v>
      </c>
      <c r="X732" s="62" t="s">
        <v>1100</v>
      </c>
      <c r="Y732" s="62">
        <v>58165453500</v>
      </c>
      <c r="Z732" s="62" t="s">
        <v>1112</v>
      </c>
      <c r="AA732" s="65">
        <v>4</v>
      </c>
      <c r="AB732" s="66"/>
      <c r="AC732" s="1" t="s">
        <v>1842</v>
      </c>
      <c r="AD732" s="62" t="str">
        <f>VLOOKUP(X732,'Customer List'!B:C,2,)</f>
        <v>Banglore</v>
      </c>
      <c r="AE732" s="67"/>
      <c r="AF732" s="6">
        <v>46156</v>
      </c>
      <c r="AG732" s="62">
        <f t="shared" si="159"/>
        <v>1</v>
      </c>
      <c r="AH732" s="62" t="str">
        <f t="shared" si="160"/>
        <v>Tuesday</v>
      </c>
      <c r="AI732" s="62" t="str">
        <f t="shared" si="153"/>
        <v>Thursday</v>
      </c>
      <c r="AJ732" s="62" t="str">
        <f>VLOOKUP(AC732,'Currency Sheet'!A:C,3,)</f>
        <v>DOLLAR</v>
      </c>
      <c r="AK732" s="62" t="str">
        <f>VLOOKUP(X732,'Customer List'!B:D,3,)</f>
        <v>OutStation</v>
      </c>
    </row>
    <row r="733" spans="1:37" hidden="1" x14ac:dyDescent="0.25">
      <c r="A733" s="62">
        <f>A731+1</f>
        <v>718</v>
      </c>
      <c r="B733" s="62" t="s">
        <v>824</v>
      </c>
      <c r="C733" s="62" t="s">
        <v>1841</v>
      </c>
      <c r="D733" s="6">
        <v>46122</v>
      </c>
      <c r="E733" s="6">
        <v>46132</v>
      </c>
      <c r="F733" s="63">
        <v>74.2</v>
      </c>
      <c r="G733" s="64">
        <f t="shared" si="155"/>
        <v>6529.6</v>
      </c>
      <c r="H733" s="64">
        <f t="shared" si="156"/>
        <v>6529.6</v>
      </c>
      <c r="I733" s="70">
        <v>765202</v>
      </c>
      <c r="J733" s="62" t="s">
        <v>1829</v>
      </c>
      <c r="K733" s="8" t="s">
        <v>1830</v>
      </c>
      <c r="L733" s="10">
        <v>46413</v>
      </c>
      <c r="M733" s="62">
        <v>1</v>
      </c>
      <c r="N733" s="8">
        <v>1</v>
      </c>
      <c r="O733" s="62">
        <f t="shared" si="157"/>
        <v>0</v>
      </c>
      <c r="P733" s="70">
        <v>150</v>
      </c>
      <c r="Q733" s="71">
        <v>46132</v>
      </c>
      <c r="R733" s="6">
        <v>46133</v>
      </c>
      <c r="S733" s="64">
        <v>11501</v>
      </c>
      <c r="T733" s="22">
        <v>5</v>
      </c>
      <c r="U733" s="64">
        <f t="shared" si="158"/>
        <v>575.05000000000007</v>
      </c>
      <c r="V733" s="22">
        <v>-0.05</v>
      </c>
      <c r="W733" s="22">
        <v>12076</v>
      </c>
      <c r="X733" s="62" t="s">
        <v>1840</v>
      </c>
      <c r="Y733" s="62">
        <v>58164555385</v>
      </c>
      <c r="Z733" s="62" t="s">
        <v>1112</v>
      </c>
      <c r="AA733" s="65">
        <v>-20</v>
      </c>
      <c r="AB733" s="66"/>
      <c r="AC733" s="1" t="s">
        <v>1842</v>
      </c>
      <c r="AD733" s="62" t="str">
        <f>VLOOKUP(X733,'Customer List'!B:C,2,)</f>
        <v>Gujrat</v>
      </c>
      <c r="AE733" s="67"/>
      <c r="AF733" s="6">
        <v>46134</v>
      </c>
      <c r="AG733" s="62">
        <f t="shared" si="159"/>
        <v>1</v>
      </c>
      <c r="AH733" s="62" t="str">
        <f t="shared" si="160"/>
        <v>Saturday</v>
      </c>
      <c r="AI733" s="62" t="str">
        <f t="shared" si="153"/>
        <v>Wednesday</v>
      </c>
      <c r="AJ733" s="62" t="str">
        <f>VLOOKUP(AC733,'Currency Sheet'!A:C,3,)</f>
        <v>DOLLAR</v>
      </c>
      <c r="AK733" s="62" t="str">
        <f>VLOOKUP(X733,'Customer List'!B:D,3,)</f>
        <v>OutStation</v>
      </c>
    </row>
    <row r="734" spans="1:37" hidden="1" x14ac:dyDescent="0.25">
      <c r="A734" s="62">
        <f t="shared" ref="A734:A797" si="161">A733+1</f>
        <v>719</v>
      </c>
      <c r="B734" s="62" t="s">
        <v>824</v>
      </c>
      <c r="C734" s="62" t="s">
        <v>1841</v>
      </c>
      <c r="D734" s="6">
        <v>46122</v>
      </c>
      <c r="E734" s="6">
        <v>46132</v>
      </c>
      <c r="F734" s="63">
        <v>262.5</v>
      </c>
      <c r="G734" s="64">
        <f t="shared" si="155"/>
        <v>23100</v>
      </c>
      <c r="H734" s="64">
        <f t="shared" si="156"/>
        <v>23100</v>
      </c>
      <c r="I734" s="70">
        <v>853312</v>
      </c>
      <c r="J734" s="62" t="s">
        <v>1831</v>
      </c>
      <c r="K734" s="8" t="s">
        <v>1832</v>
      </c>
      <c r="L734" s="10">
        <v>47699</v>
      </c>
      <c r="M734" s="62">
        <v>1</v>
      </c>
      <c r="N734" s="8">
        <v>1</v>
      </c>
      <c r="O734" s="62">
        <f t="shared" si="157"/>
        <v>0</v>
      </c>
      <c r="P734" s="70">
        <v>156</v>
      </c>
      <c r="Q734" s="71">
        <v>46132</v>
      </c>
      <c r="R734" s="6">
        <v>46133</v>
      </c>
      <c r="S734" s="64">
        <v>43593.75</v>
      </c>
      <c r="T734" s="22">
        <v>5</v>
      </c>
      <c r="U734" s="64">
        <f t="shared" si="158"/>
        <v>2179.6875</v>
      </c>
      <c r="V734" s="22">
        <v>0</v>
      </c>
      <c r="W734" s="22">
        <v>98371</v>
      </c>
      <c r="X734" s="62" t="s">
        <v>1838</v>
      </c>
      <c r="Y734" s="62">
        <v>58164556144</v>
      </c>
      <c r="Z734" s="62" t="s">
        <v>1112</v>
      </c>
      <c r="AA734" s="65">
        <v>4</v>
      </c>
      <c r="AB734" s="66"/>
      <c r="AC734" s="1" t="s">
        <v>1842</v>
      </c>
      <c r="AD734" s="62" t="str">
        <f>VLOOKUP(X734,'Customer List'!B:C,2,)</f>
        <v>Banglore</v>
      </c>
      <c r="AE734" s="67"/>
      <c r="AF734" s="6">
        <v>46134</v>
      </c>
      <c r="AG734" s="62">
        <f t="shared" si="159"/>
        <v>1</v>
      </c>
      <c r="AH734" s="62" t="str">
        <f t="shared" si="160"/>
        <v>Wednesday</v>
      </c>
      <c r="AI734" s="62" t="str">
        <f t="shared" si="153"/>
        <v>Wednesday</v>
      </c>
      <c r="AJ734" s="62" t="str">
        <f>VLOOKUP(AC734,'Currency Sheet'!A:C,3,)</f>
        <v>DOLLAR</v>
      </c>
      <c r="AK734" s="62" t="str">
        <f>VLOOKUP(X734,'Customer List'!B:D,3,)</f>
        <v>OutStation</v>
      </c>
    </row>
    <row r="735" spans="1:37" hidden="1" x14ac:dyDescent="0.25">
      <c r="A735" s="62">
        <f t="shared" si="161"/>
        <v>720</v>
      </c>
      <c r="B735" s="62" t="s">
        <v>1844</v>
      </c>
      <c r="C735" s="62" t="s">
        <v>1845</v>
      </c>
      <c r="D735" s="6">
        <v>46126</v>
      </c>
      <c r="E735" s="6">
        <v>46132</v>
      </c>
      <c r="F735" s="63">
        <v>27.2</v>
      </c>
      <c r="G735" s="64">
        <f t="shared" si="155"/>
        <v>2393.6</v>
      </c>
      <c r="H735" s="64">
        <f t="shared" si="156"/>
        <v>2393.6</v>
      </c>
      <c r="I735" s="70">
        <v>90082</v>
      </c>
      <c r="J735" s="62" t="s">
        <v>1853</v>
      </c>
      <c r="K735" s="8" t="s">
        <v>1846</v>
      </c>
      <c r="L735" s="10" t="s">
        <v>848</v>
      </c>
      <c r="M735" s="62">
        <v>1</v>
      </c>
      <c r="N735" s="8">
        <v>1</v>
      </c>
      <c r="O735" s="62">
        <f t="shared" si="157"/>
        <v>0</v>
      </c>
      <c r="P735" s="70">
        <v>157</v>
      </c>
      <c r="Q735" s="71">
        <v>46132</v>
      </c>
      <c r="R735" s="6">
        <v>46133</v>
      </c>
      <c r="S735" s="64">
        <v>3952.5</v>
      </c>
      <c r="T735" s="22">
        <v>5</v>
      </c>
      <c r="U735" s="64">
        <f t="shared" si="158"/>
        <v>197.625</v>
      </c>
      <c r="V735" s="22">
        <v>0.13</v>
      </c>
      <c r="W735" s="22">
        <v>4150</v>
      </c>
      <c r="X735" s="62" t="s">
        <v>902</v>
      </c>
      <c r="Y735" s="62">
        <v>58164560355</v>
      </c>
      <c r="Z735" s="62" t="s">
        <v>1112</v>
      </c>
      <c r="AA735" s="65" t="s">
        <v>808</v>
      </c>
      <c r="AB735" s="66"/>
      <c r="AC735" s="1" t="s">
        <v>1844</v>
      </c>
      <c r="AD735" s="62" t="str">
        <f>VLOOKUP(X735,'Customer List'!B:C,2,)</f>
        <v>Hyderabad</v>
      </c>
      <c r="AE735" s="67"/>
      <c r="AF735" s="6">
        <v>46134</v>
      </c>
      <c r="AG735" s="62">
        <f t="shared" si="159"/>
        <v>1</v>
      </c>
      <c r="AH735" s="62" t="str">
        <f t="shared" si="160"/>
        <v>Wednesday</v>
      </c>
      <c r="AI735" s="62" t="str">
        <f t="shared" si="153"/>
        <v>Wednesday</v>
      </c>
      <c r="AJ735" s="62" t="str">
        <f>VLOOKUP(AC735,'Currency Sheet'!A:C,3,)</f>
        <v>DOLLAR</v>
      </c>
      <c r="AK735" s="62" t="str">
        <f>VLOOKUP(X735,'Customer List'!B:D,3,)</f>
        <v>OutStation</v>
      </c>
    </row>
    <row r="736" spans="1:37" hidden="1" x14ac:dyDescent="0.25">
      <c r="A736" s="62">
        <f t="shared" si="161"/>
        <v>721</v>
      </c>
      <c r="B736" s="62" t="s">
        <v>1844</v>
      </c>
      <c r="C736" s="62" t="s">
        <v>1845</v>
      </c>
      <c r="D736" s="6">
        <v>46126</v>
      </c>
      <c r="E736" s="6">
        <v>46132</v>
      </c>
      <c r="F736" s="63">
        <v>260</v>
      </c>
      <c r="G736" s="64">
        <f t="shared" si="155"/>
        <v>22880</v>
      </c>
      <c r="H736" s="64">
        <f t="shared" si="156"/>
        <v>45760</v>
      </c>
      <c r="I736" s="70">
        <v>96014</v>
      </c>
      <c r="J736" s="62" t="s">
        <v>1854</v>
      </c>
      <c r="K736" s="8" t="s">
        <v>1847</v>
      </c>
      <c r="L736" s="10" t="s">
        <v>848</v>
      </c>
      <c r="M736" s="62">
        <v>2</v>
      </c>
      <c r="N736" s="8">
        <v>2</v>
      </c>
      <c r="O736" s="62">
        <f t="shared" si="157"/>
        <v>0</v>
      </c>
      <c r="P736" s="70">
        <v>149</v>
      </c>
      <c r="Q736" s="71">
        <v>46132</v>
      </c>
      <c r="R736" s="6">
        <v>46133</v>
      </c>
      <c r="S736" s="64">
        <v>80600</v>
      </c>
      <c r="T736" s="22">
        <v>5</v>
      </c>
      <c r="U736" s="64">
        <f t="shared" si="158"/>
        <v>4030</v>
      </c>
      <c r="V736" s="22">
        <v>0</v>
      </c>
      <c r="W736" s="22">
        <v>266910</v>
      </c>
      <c r="X736" s="62" t="s">
        <v>379</v>
      </c>
      <c r="Y736" s="62">
        <v>58164555783</v>
      </c>
      <c r="Z736" s="62" t="s">
        <v>1112</v>
      </c>
      <c r="AA736" s="65">
        <v>-20</v>
      </c>
      <c r="AB736" s="66"/>
      <c r="AC736" s="1" t="s">
        <v>1844</v>
      </c>
      <c r="AD736" s="62" t="str">
        <f>VLOOKUP(X736,'Customer List'!B:C,2,)</f>
        <v>BANGLORE</v>
      </c>
      <c r="AE736" s="67"/>
      <c r="AF736" s="6">
        <v>46134</v>
      </c>
      <c r="AG736" s="62">
        <f t="shared" si="159"/>
        <v>1</v>
      </c>
      <c r="AH736" s="62" t="str">
        <f t="shared" si="160"/>
        <v>Monday</v>
      </c>
      <c r="AI736" s="62" t="str">
        <f t="shared" si="153"/>
        <v>Wednesday</v>
      </c>
      <c r="AJ736" s="62" t="str">
        <f>VLOOKUP(AC736,'Currency Sheet'!A:C,3,)</f>
        <v>DOLLAR</v>
      </c>
      <c r="AK736" s="62" t="str">
        <f>VLOOKUP(X736,'Customer List'!B:D,3,)</f>
        <v>OutStation</v>
      </c>
    </row>
    <row r="737" spans="1:37" hidden="1" x14ac:dyDescent="0.25">
      <c r="A737" s="62">
        <f t="shared" si="161"/>
        <v>722</v>
      </c>
      <c r="B737" s="62" t="s">
        <v>1844</v>
      </c>
      <c r="C737" s="62" t="s">
        <v>1845</v>
      </c>
      <c r="D737" s="6">
        <v>46126</v>
      </c>
      <c r="E737" s="6">
        <v>46132</v>
      </c>
      <c r="F737" s="63">
        <v>244</v>
      </c>
      <c r="G737" s="64">
        <f t="shared" si="155"/>
        <v>21472</v>
      </c>
      <c r="H737" s="64">
        <f t="shared" si="156"/>
        <v>42944</v>
      </c>
      <c r="I737" s="70">
        <v>92137</v>
      </c>
      <c r="J737" s="62" t="s">
        <v>1855</v>
      </c>
      <c r="K737" s="8" t="s">
        <v>1848</v>
      </c>
      <c r="L737" s="10" t="s">
        <v>848</v>
      </c>
      <c r="M737" s="62">
        <v>2</v>
      </c>
      <c r="N737" s="8">
        <v>2</v>
      </c>
      <c r="O737" s="62">
        <f t="shared" si="157"/>
        <v>0</v>
      </c>
      <c r="P737" s="70">
        <v>149</v>
      </c>
      <c r="Q737" s="71">
        <v>46132</v>
      </c>
      <c r="R737" s="6">
        <v>46133</v>
      </c>
      <c r="S737" s="64">
        <v>75640</v>
      </c>
      <c r="T737" s="22">
        <v>5</v>
      </c>
      <c r="U737" s="64">
        <f t="shared" si="158"/>
        <v>3782</v>
      </c>
      <c r="V737" s="22">
        <v>0</v>
      </c>
      <c r="W737" s="22">
        <v>266910</v>
      </c>
      <c r="X737" s="62" t="s">
        <v>379</v>
      </c>
      <c r="Y737" s="62">
        <v>58164555783</v>
      </c>
      <c r="Z737" s="62" t="s">
        <v>1112</v>
      </c>
      <c r="AA737" s="65">
        <v>-20</v>
      </c>
      <c r="AB737" s="66"/>
      <c r="AC737" s="1" t="s">
        <v>1844</v>
      </c>
      <c r="AD737" s="62" t="str">
        <f>VLOOKUP(X737,'Customer List'!B:C,2,)</f>
        <v>BANGLORE</v>
      </c>
      <c r="AE737" s="67"/>
      <c r="AF737" s="6">
        <v>46134</v>
      </c>
      <c r="AG737" s="62">
        <f t="shared" si="159"/>
        <v>1</v>
      </c>
      <c r="AH737" s="62" t="str">
        <f t="shared" si="160"/>
        <v>Thursday</v>
      </c>
      <c r="AI737" s="62" t="str">
        <f t="shared" si="153"/>
        <v>Wednesday</v>
      </c>
      <c r="AJ737" s="62" t="str">
        <f>VLOOKUP(AC737,'Currency Sheet'!A:C,3,)</f>
        <v>DOLLAR</v>
      </c>
      <c r="AK737" s="62" t="str">
        <f>VLOOKUP(X737,'Customer List'!B:D,3,)</f>
        <v>OutStation</v>
      </c>
    </row>
    <row r="738" spans="1:37" hidden="1" x14ac:dyDescent="0.25">
      <c r="A738" s="62">
        <f t="shared" si="161"/>
        <v>723</v>
      </c>
      <c r="B738" s="62" t="s">
        <v>1844</v>
      </c>
      <c r="C738" s="62" t="s">
        <v>1845</v>
      </c>
      <c r="D738" s="6">
        <v>46126</v>
      </c>
      <c r="E738" s="6">
        <v>46132</v>
      </c>
      <c r="F738" s="63">
        <v>316</v>
      </c>
      <c r="G738" s="64">
        <f t="shared" si="155"/>
        <v>27808</v>
      </c>
      <c r="H738" s="64">
        <f t="shared" si="156"/>
        <v>55616</v>
      </c>
      <c r="I738" s="70">
        <v>96126</v>
      </c>
      <c r="J738" s="62" t="s">
        <v>1856</v>
      </c>
      <c r="K738" s="8" t="s">
        <v>1849</v>
      </c>
      <c r="L738" s="10" t="s">
        <v>848</v>
      </c>
      <c r="M738" s="62">
        <v>2</v>
      </c>
      <c r="N738" s="8">
        <v>2</v>
      </c>
      <c r="O738" s="62">
        <f t="shared" si="157"/>
        <v>0</v>
      </c>
      <c r="P738" s="70">
        <v>149</v>
      </c>
      <c r="Q738" s="71">
        <v>46132</v>
      </c>
      <c r="R738" s="6">
        <v>46133</v>
      </c>
      <c r="S738" s="64">
        <v>97960</v>
      </c>
      <c r="T738" s="22">
        <v>5</v>
      </c>
      <c r="U738" s="64">
        <f t="shared" si="158"/>
        <v>4898</v>
      </c>
      <c r="V738" s="22">
        <v>0</v>
      </c>
      <c r="W738" s="22">
        <v>266910</v>
      </c>
      <c r="X738" s="62" t="s">
        <v>379</v>
      </c>
      <c r="Y738" s="62">
        <v>58164555783</v>
      </c>
      <c r="Z738" s="62" t="s">
        <v>1112</v>
      </c>
      <c r="AA738" s="65">
        <v>-20</v>
      </c>
      <c r="AB738" s="66"/>
      <c r="AC738" s="1" t="s">
        <v>1844</v>
      </c>
      <c r="AD738" s="62" t="str">
        <f>VLOOKUP(X738,'Customer List'!B:C,2,)</f>
        <v>BANGLORE</v>
      </c>
      <c r="AE738" s="67"/>
      <c r="AF738" s="6">
        <v>46134</v>
      </c>
      <c r="AG738" s="62">
        <f t="shared" si="159"/>
        <v>1</v>
      </c>
      <c r="AH738" s="62" t="str">
        <f t="shared" si="160"/>
        <v>Monday</v>
      </c>
      <c r="AI738" s="62" t="str">
        <f t="shared" si="153"/>
        <v>Wednesday</v>
      </c>
      <c r="AJ738" s="62" t="str">
        <f>VLOOKUP(AC738,'Currency Sheet'!A:C,3,)</f>
        <v>DOLLAR</v>
      </c>
      <c r="AK738" s="62" t="str">
        <f>VLOOKUP(X738,'Customer List'!B:D,3,)</f>
        <v>OutStation</v>
      </c>
    </row>
    <row r="739" spans="1:37" hidden="1" x14ac:dyDescent="0.25">
      <c r="A739" s="62">
        <f t="shared" si="161"/>
        <v>724</v>
      </c>
      <c r="B739" s="62" t="s">
        <v>1844</v>
      </c>
      <c r="C739" s="62" t="s">
        <v>1850</v>
      </c>
      <c r="D739" s="6">
        <v>46128</v>
      </c>
      <c r="E739" s="6">
        <v>46132</v>
      </c>
      <c r="F739" s="63">
        <v>487</v>
      </c>
      <c r="G739" s="64">
        <f t="shared" si="155"/>
        <v>42856</v>
      </c>
      <c r="H739" s="64">
        <f t="shared" si="156"/>
        <v>42856</v>
      </c>
      <c r="I739" s="70" t="s">
        <v>1851</v>
      </c>
      <c r="J739" s="62" t="s">
        <v>1857</v>
      </c>
      <c r="K739" s="8">
        <v>260417</v>
      </c>
      <c r="L739" s="10" t="s">
        <v>848</v>
      </c>
      <c r="M739" s="62">
        <v>1</v>
      </c>
      <c r="N739" s="8">
        <v>1</v>
      </c>
      <c r="O739" s="62">
        <f t="shared" si="157"/>
        <v>0</v>
      </c>
      <c r="P739" s="70">
        <v>153</v>
      </c>
      <c r="Q739" s="71">
        <v>46132</v>
      </c>
      <c r="R739" s="6">
        <v>46133</v>
      </c>
      <c r="S739" s="64">
        <v>70796.25</v>
      </c>
      <c r="T739" s="22">
        <v>5</v>
      </c>
      <c r="U739" s="64">
        <f t="shared" si="158"/>
        <v>3539.8125</v>
      </c>
      <c r="V739" s="22">
        <v>-0.06</v>
      </c>
      <c r="W739" s="22">
        <v>74336</v>
      </c>
      <c r="X739" s="62" t="s">
        <v>1600</v>
      </c>
      <c r="Y739" s="62">
        <v>58164555584</v>
      </c>
      <c r="Z739" s="62" t="s">
        <v>1112</v>
      </c>
      <c r="AA739" s="65">
        <v>-20</v>
      </c>
      <c r="AB739" s="66"/>
      <c r="AC739" s="1" t="s">
        <v>1844</v>
      </c>
      <c r="AD739" s="62" t="str">
        <f>VLOOKUP(X739,'Customer List'!B:C,2,)</f>
        <v>Hyderabad</v>
      </c>
      <c r="AE739" s="67"/>
      <c r="AF739" s="6">
        <v>46134</v>
      </c>
      <c r="AG739" s="62">
        <f t="shared" si="159"/>
        <v>1</v>
      </c>
      <c r="AH739" s="62" t="str">
        <f t="shared" si="160"/>
        <v>Thursday</v>
      </c>
      <c r="AI739" s="62" t="str">
        <f t="shared" si="153"/>
        <v>Wednesday</v>
      </c>
      <c r="AJ739" s="62" t="str">
        <f>VLOOKUP(AC739,'Currency Sheet'!A:C,3,)</f>
        <v>DOLLAR</v>
      </c>
      <c r="AK739" s="62" t="str">
        <f>VLOOKUP(X739,'Customer List'!B:D,3,)</f>
        <v>OutStation</v>
      </c>
    </row>
    <row r="740" spans="1:37" hidden="1" x14ac:dyDescent="0.25">
      <c r="A740" s="62">
        <f t="shared" si="161"/>
        <v>725</v>
      </c>
      <c r="B740" s="62" t="s">
        <v>34</v>
      </c>
      <c r="C740" s="62" t="s">
        <v>1864</v>
      </c>
      <c r="D740" s="6">
        <v>46121</v>
      </c>
      <c r="E740" s="6">
        <v>46133</v>
      </c>
      <c r="F740" s="63">
        <v>354</v>
      </c>
      <c r="G740" s="64">
        <f t="shared" si="155"/>
        <v>31152</v>
      </c>
      <c r="H740" s="64">
        <f t="shared" si="156"/>
        <v>31152</v>
      </c>
      <c r="I740" s="70">
        <v>40321</v>
      </c>
      <c r="J740" s="62"/>
      <c r="K740" s="8"/>
      <c r="L740" s="10"/>
      <c r="M740" s="62">
        <v>1</v>
      </c>
      <c r="N740" s="8">
        <v>1</v>
      </c>
      <c r="O740" s="62">
        <f t="shared" si="157"/>
        <v>0</v>
      </c>
      <c r="P740" s="70">
        <v>176</v>
      </c>
      <c r="Q740" s="71">
        <v>46136</v>
      </c>
      <c r="R740" s="6">
        <v>46137</v>
      </c>
      <c r="S740" s="64">
        <v>72275</v>
      </c>
      <c r="T740" s="22">
        <v>5</v>
      </c>
      <c r="U740" s="64">
        <f t="shared" si="158"/>
        <v>3613.75</v>
      </c>
      <c r="V740" s="22">
        <v>-0.5</v>
      </c>
      <c r="W740" s="22">
        <v>300982</v>
      </c>
      <c r="X740" s="62" t="s">
        <v>213</v>
      </c>
      <c r="Y740" s="62">
        <v>58164747782</v>
      </c>
      <c r="Z740" s="62" t="s">
        <v>1112</v>
      </c>
      <c r="AA740" s="65">
        <v>-80</v>
      </c>
      <c r="AB740" s="66"/>
      <c r="AC740" s="1" t="s">
        <v>34</v>
      </c>
      <c r="AD740" s="62" t="str">
        <f>VLOOKUP(X740,'Customer List'!B:C,2,)</f>
        <v>Lucknow</v>
      </c>
      <c r="AE740" s="67"/>
      <c r="AF740" s="6">
        <v>46139</v>
      </c>
      <c r="AG740" s="62">
        <f t="shared" si="159"/>
        <v>2</v>
      </c>
      <c r="AH740" s="62" t="str">
        <f t="shared" si="160"/>
        <v>Saturday</v>
      </c>
      <c r="AI740" s="62" t="str">
        <f t="shared" si="153"/>
        <v>Monday</v>
      </c>
      <c r="AJ740" s="62" t="str">
        <f>VLOOKUP(AC740,'Currency Sheet'!A:C,3,)</f>
        <v>DOLLAR</v>
      </c>
      <c r="AK740" s="62" t="str">
        <f>VLOOKUP(X740,'Customer List'!B:D,3,)</f>
        <v>OutStation</v>
      </c>
    </row>
    <row r="741" spans="1:37" hidden="1" x14ac:dyDescent="0.25">
      <c r="A741" s="62">
        <f t="shared" si="161"/>
        <v>726</v>
      </c>
      <c r="B741" s="62" t="s">
        <v>34</v>
      </c>
      <c r="C741" s="62" t="s">
        <v>1864</v>
      </c>
      <c r="D741" s="6">
        <v>46121</v>
      </c>
      <c r="E741" s="6">
        <v>46133</v>
      </c>
      <c r="F741" s="63">
        <v>1050</v>
      </c>
      <c r="G741" s="64">
        <f t="shared" si="155"/>
        <v>92400</v>
      </c>
      <c r="H741" s="64">
        <f t="shared" si="156"/>
        <v>92400</v>
      </c>
      <c r="I741" s="70" t="s">
        <v>1865</v>
      </c>
      <c r="J741" s="62"/>
      <c r="K741" s="8"/>
      <c r="L741" s="10"/>
      <c r="M741" s="62">
        <v>1</v>
      </c>
      <c r="N741" s="8">
        <v>1</v>
      </c>
      <c r="O741" s="62">
        <f t="shared" si="157"/>
        <v>0</v>
      </c>
      <c r="P741" s="70">
        <v>176</v>
      </c>
      <c r="Q741" s="71">
        <v>46136</v>
      </c>
      <c r="R741" s="6">
        <v>46137</v>
      </c>
      <c r="S741" s="64">
        <v>214375</v>
      </c>
      <c r="T741" s="22">
        <v>5</v>
      </c>
      <c r="U741" s="64">
        <f t="shared" si="158"/>
        <v>10718.75</v>
      </c>
      <c r="V741" s="22">
        <v>0</v>
      </c>
      <c r="W741" s="22">
        <v>300982</v>
      </c>
      <c r="X741" s="62" t="s">
        <v>213</v>
      </c>
      <c r="Y741" s="62">
        <v>58164747782</v>
      </c>
      <c r="Z741" s="62" t="s">
        <v>1112</v>
      </c>
      <c r="AA741" s="65">
        <v>-80</v>
      </c>
      <c r="AB741" s="66"/>
      <c r="AC741" s="1" t="s">
        <v>34</v>
      </c>
      <c r="AD741" s="62" t="str">
        <f>VLOOKUP(X741,'Customer List'!B:C,2,)</f>
        <v>Lucknow</v>
      </c>
      <c r="AE741" s="67"/>
      <c r="AF741" s="6">
        <v>46139</v>
      </c>
      <c r="AG741" s="62">
        <f t="shared" si="159"/>
        <v>2</v>
      </c>
      <c r="AH741" s="62" t="str">
        <f t="shared" si="160"/>
        <v>Saturday</v>
      </c>
      <c r="AI741" s="62" t="str">
        <f t="shared" si="153"/>
        <v>Monday</v>
      </c>
      <c r="AJ741" s="62" t="str">
        <f>VLOOKUP(AC741,'Currency Sheet'!A:C,3,)</f>
        <v>DOLLAR</v>
      </c>
      <c r="AK741" s="62" t="str">
        <f>VLOOKUP(X741,'Customer List'!B:D,3,)</f>
        <v>OutStation</v>
      </c>
    </row>
    <row r="742" spans="1:37" hidden="1" x14ac:dyDescent="0.25">
      <c r="A742" s="62">
        <f t="shared" si="161"/>
        <v>727</v>
      </c>
      <c r="B742" s="62" t="s">
        <v>34</v>
      </c>
      <c r="C742" s="62" t="s">
        <v>1864</v>
      </c>
      <c r="D742" s="6">
        <v>46121</v>
      </c>
      <c r="E742" s="6">
        <v>46133</v>
      </c>
      <c r="F742" s="63">
        <v>324</v>
      </c>
      <c r="G742" s="64">
        <f t="shared" si="155"/>
        <v>28512</v>
      </c>
      <c r="H742" s="64">
        <f t="shared" si="156"/>
        <v>28512</v>
      </c>
      <c r="I742" s="70">
        <v>50255</v>
      </c>
      <c r="J742" s="62"/>
      <c r="K742" s="8"/>
      <c r="L742" s="10"/>
      <c r="M742" s="62">
        <v>1</v>
      </c>
      <c r="N742" s="8">
        <v>1</v>
      </c>
      <c r="O742" s="62">
        <f t="shared" si="157"/>
        <v>0</v>
      </c>
      <c r="P742" s="70">
        <v>173</v>
      </c>
      <c r="Q742" s="71">
        <v>46136</v>
      </c>
      <c r="R742" s="6">
        <v>46137</v>
      </c>
      <c r="S742" s="64">
        <v>66150</v>
      </c>
      <c r="T742" s="22">
        <v>5</v>
      </c>
      <c r="U742" s="64">
        <f t="shared" si="158"/>
        <v>3307.5</v>
      </c>
      <c r="V742" s="22">
        <v>1800.5</v>
      </c>
      <c r="W742" s="22">
        <v>71348</v>
      </c>
      <c r="X742" s="62" t="s">
        <v>353</v>
      </c>
      <c r="Y742" s="62">
        <v>58164747351</v>
      </c>
      <c r="Z742" s="62" t="s">
        <v>1112</v>
      </c>
      <c r="AA742" s="65">
        <v>-80</v>
      </c>
      <c r="AB742" s="66"/>
      <c r="AC742" s="1" t="s">
        <v>34</v>
      </c>
      <c r="AD742" s="62" t="str">
        <f>VLOOKUP(X742,'Customer List'!B:C,2,)</f>
        <v>JAIPUR</v>
      </c>
      <c r="AE742" s="67"/>
      <c r="AF742" s="6">
        <v>46139</v>
      </c>
      <c r="AG742" s="62">
        <f t="shared" si="159"/>
        <v>2</v>
      </c>
      <c r="AH742" s="62" t="str">
        <f t="shared" si="160"/>
        <v>Saturday</v>
      </c>
      <c r="AI742" s="62" t="str">
        <f t="shared" si="153"/>
        <v>Monday</v>
      </c>
      <c r="AJ742" s="62" t="str">
        <f>VLOOKUP(AC742,'Currency Sheet'!A:C,3,)</f>
        <v>DOLLAR</v>
      </c>
      <c r="AK742" s="62" t="str">
        <f>VLOOKUP(X742,'Customer List'!B:D,3,)</f>
        <v>OutStation</v>
      </c>
    </row>
    <row r="743" spans="1:37" hidden="1" x14ac:dyDescent="0.25">
      <c r="A743" s="62">
        <f t="shared" si="161"/>
        <v>728</v>
      </c>
      <c r="B743" s="62" t="s">
        <v>34</v>
      </c>
      <c r="C743" s="62" t="s">
        <v>1864</v>
      </c>
      <c r="D743" s="6">
        <v>46121</v>
      </c>
      <c r="E743" s="6">
        <v>46133</v>
      </c>
      <c r="F743" s="63">
        <v>321</v>
      </c>
      <c r="G743" s="64">
        <f t="shared" si="155"/>
        <v>28248</v>
      </c>
      <c r="H743" s="64">
        <f t="shared" si="156"/>
        <v>28248</v>
      </c>
      <c r="I743" s="70">
        <v>79558</v>
      </c>
      <c r="J743" s="62"/>
      <c r="K743" s="8"/>
      <c r="L743" s="10"/>
      <c r="M743" s="62">
        <v>1</v>
      </c>
      <c r="N743" s="8">
        <v>1</v>
      </c>
      <c r="O743" s="62">
        <f t="shared" si="157"/>
        <v>0</v>
      </c>
      <c r="P743" s="70">
        <v>167</v>
      </c>
      <c r="Q743" s="71">
        <v>46136</v>
      </c>
      <c r="R743" s="6">
        <v>46137</v>
      </c>
      <c r="S743" s="64">
        <v>65537.5</v>
      </c>
      <c r="T743" s="22">
        <v>5</v>
      </c>
      <c r="U743" s="64">
        <f t="shared" si="158"/>
        <v>3276.875</v>
      </c>
      <c r="V743" s="22">
        <v>1800</v>
      </c>
      <c r="W743" s="22">
        <v>70704</v>
      </c>
      <c r="X743" s="62" t="s">
        <v>464</v>
      </c>
      <c r="Y743" s="62">
        <v>58164747561</v>
      </c>
      <c r="Z743" s="62" t="s">
        <v>1112</v>
      </c>
      <c r="AA743" s="65">
        <v>-80</v>
      </c>
      <c r="AB743" s="66"/>
      <c r="AC743" s="1" t="s">
        <v>34</v>
      </c>
      <c r="AD743" s="62" t="str">
        <f>VLOOKUP(X743,'Customer List'!B:C,2,)</f>
        <v>Guwahati</v>
      </c>
      <c r="AE743" s="67"/>
      <c r="AF743" s="6">
        <v>46139</v>
      </c>
      <c r="AG743" s="62">
        <f t="shared" si="159"/>
        <v>2</v>
      </c>
      <c r="AH743" s="62" t="str">
        <f t="shared" si="160"/>
        <v>Tuesday</v>
      </c>
      <c r="AI743" s="62" t="str">
        <f t="shared" si="153"/>
        <v>Monday</v>
      </c>
      <c r="AJ743" s="62" t="str">
        <f>VLOOKUP(AC743,'Currency Sheet'!A:C,3,)</f>
        <v>DOLLAR</v>
      </c>
      <c r="AK743" s="62" t="str">
        <f>VLOOKUP(X743,'Customer List'!B:D,3,)</f>
        <v>OutStation</v>
      </c>
    </row>
    <row r="744" spans="1:37" hidden="1" x14ac:dyDescent="0.25">
      <c r="A744" s="62">
        <f t="shared" si="161"/>
        <v>729</v>
      </c>
      <c r="B744" s="62" t="s">
        <v>34</v>
      </c>
      <c r="C744" s="62" t="s">
        <v>1866</v>
      </c>
      <c r="D744" s="6">
        <v>46121</v>
      </c>
      <c r="E744" s="6">
        <v>46133</v>
      </c>
      <c r="F744" s="63">
        <v>693</v>
      </c>
      <c r="G744" s="64">
        <f t="shared" si="155"/>
        <v>60984</v>
      </c>
      <c r="H744" s="64">
        <f t="shared" si="156"/>
        <v>60984</v>
      </c>
      <c r="I744" s="70">
        <v>72009</v>
      </c>
      <c r="J744" s="62"/>
      <c r="K744" s="8"/>
      <c r="L744" s="10"/>
      <c r="M744" s="62">
        <v>1</v>
      </c>
      <c r="N744" s="8">
        <v>1</v>
      </c>
      <c r="O744" s="62">
        <f t="shared" si="157"/>
        <v>0</v>
      </c>
      <c r="P744" s="70">
        <v>238</v>
      </c>
      <c r="Q744" s="71">
        <v>46141</v>
      </c>
      <c r="R744" s="6">
        <v>46141</v>
      </c>
      <c r="S744" s="64">
        <v>137445</v>
      </c>
      <c r="T744" s="22">
        <v>5</v>
      </c>
      <c r="U744" s="64">
        <f t="shared" si="158"/>
        <v>6872.25</v>
      </c>
      <c r="V744" s="22">
        <v>-0.25</v>
      </c>
      <c r="W744" s="22">
        <v>144317</v>
      </c>
      <c r="X744" s="62" t="s">
        <v>803</v>
      </c>
      <c r="Y744" s="62" t="s">
        <v>1120</v>
      </c>
      <c r="Z744" s="62" t="s">
        <v>1863</v>
      </c>
      <c r="AA744" s="65">
        <v>-80</v>
      </c>
      <c r="AB744" s="66"/>
      <c r="AC744" s="1" t="s">
        <v>34</v>
      </c>
      <c r="AD744" s="62" t="str">
        <f>VLOOKUP(X744,'Customer List'!B:C,2,)</f>
        <v>Faridabad</v>
      </c>
      <c r="AE744" s="67"/>
      <c r="AF744" s="6"/>
      <c r="AG744" s="62" t="str">
        <f t="shared" si="159"/>
        <v/>
      </c>
      <c r="AH744" s="62" t="str">
        <f t="shared" si="160"/>
        <v>Saturday</v>
      </c>
      <c r="AI744" s="62" t="str">
        <f t="shared" si="153"/>
        <v/>
      </c>
      <c r="AJ744" s="62" t="str">
        <f>VLOOKUP(AC744,'Currency Sheet'!A:C,3,)</f>
        <v>DOLLAR</v>
      </c>
      <c r="AK744" s="62" t="str">
        <f>VLOOKUP(X744,'Customer List'!B:D,3,)</f>
        <v>Local</v>
      </c>
    </row>
    <row r="745" spans="1:37" hidden="1" x14ac:dyDescent="0.25">
      <c r="A745" s="62">
        <f t="shared" si="161"/>
        <v>730</v>
      </c>
      <c r="B745" s="62" t="s">
        <v>34</v>
      </c>
      <c r="C745" s="62" t="s">
        <v>1866</v>
      </c>
      <c r="D745" s="6">
        <v>46121</v>
      </c>
      <c r="E745" s="6">
        <v>46133</v>
      </c>
      <c r="F745" s="63">
        <v>345</v>
      </c>
      <c r="G745" s="64">
        <f t="shared" si="155"/>
        <v>30360</v>
      </c>
      <c r="H745" s="64">
        <f t="shared" si="156"/>
        <v>30360</v>
      </c>
      <c r="I745" s="70">
        <v>60345</v>
      </c>
      <c r="J745" s="62"/>
      <c r="K745" s="8"/>
      <c r="L745" s="10"/>
      <c r="M745" s="62">
        <v>1</v>
      </c>
      <c r="N745" s="8">
        <v>1</v>
      </c>
      <c r="O745" s="62">
        <f t="shared" si="157"/>
        <v>0</v>
      </c>
      <c r="P745" s="70">
        <v>168</v>
      </c>
      <c r="Q745" s="71">
        <v>46136</v>
      </c>
      <c r="R745" s="6">
        <v>46137</v>
      </c>
      <c r="S745" s="64">
        <v>75468.75</v>
      </c>
      <c r="T745" s="22">
        <v>5</v>
      </c>
      <c r="U745" s="64">
        <f t="shared" si="158"/>
        <v>3773.4375</v>
      </c>
      <c r="V745" s="22">
        <v>-0.19</v>
      </c>
      <c r="W745" s="22">
        <v>79242</v>
      </c>
      <c r="X745" s="62" t="s">
        <v>464</v>
      </c>
      <c r="Y745" s="62">
        <v>58164747561</v>
      </c>
      <c r="Z745" s="62" t="s">
        <v>1112</v>
      </c>
      <c r="AA745" s="65">
        <v>-80</v>
      </c>
      <c r="AB745" s="66"/>
      <c r="AC745" s="1" t="s">
        <v>34</v>
      </c>
      <c r="AD745" s="62" t="str">
        <f>VLOOKUP(X745,'Customer List'!B:C,2,)</f>
        <v>Guwahati</v>
      </c>
      <c r="AE745" s="67"/>
      <c r="AF745" s="6">
        <v>46139</v>
      </c>
      <c r="AG745" s="62">
        <f t="shared" si="159"/>
        <v>2</v>
      </c>
      <c r="AH745" s="62" t="str">
        <f t="shared" si="160"/>
        <v>Sunday</v>
      </c>
      <c r="AI745" s="62" t="str">
        <f t="shared" si="153"/>
        <v>Monday</v>
      </c>
      <c r="AJ745" s="62" t="str">
        <f>VLOOKUP(AC745,'Currency Sheet'!A:C,3,)</f>
        <v>DOLLAR</v>
      </c>
      <c r="AK745" s="62" t="str">
        <f>VLOOKUP(X745,'Customer List'!B:D,3,)</f>
        <v>OutStation</v>
      </c>
    </row>
    <row r="746" spans="1:37" hidden="1" x14ac:dyDescent="0.25">
      <c r="A746" s="62">
        <f t="shared" si="161"/>
        <v>731</v>
      </c>
      <c r="B746" s="62" t="s">
        <v>34</v>
      </c>
      <c r="C746" s="62" t="s">
        <v>1866</v>
      </c>
      <c r="D746" s="6">
        <v>46121</v>
      </c>
      <c r="E746" s="6">
        <v>46133</v>
      </c>
      <c r="F746" s="63">
        <v>354</v>
      </c>
      <c r="G746" s="64">
        <f t="shared" si="155"/>
        <v>31152</v>
      </c>
      <c r="H746" s="64">
        <f t="shared" si="156"/>
        <v>31152</v>
      </c>
      <c r="I746" s="70">
        <v>40321</v>
      </c>
      <c r="J746" s="62"/>
      <c r="K746" s="8"/>
      <c r="L746" s="10"/>
      <c r="M746" s="62">
        <v>1</v>
      </c>
      <c r="N746" s="8">
        <v>1</v>
      </c>
      <c r="O746" s="62">
        <f t="shared" si="157"/>
        <v>0</v>
      </c>
      <c r="P746" s="70">
        <v>247</v>
      </c>
      <c r="Q746" s="71">
        <v>46141</v>
      </c>
      <c r="R746" s="6">
        <v>46141</v>
      </c>
      <c r="S746" s="64">
        <v>67112.5</v>
      </c>
      <c r="T746" s="22">
        <v>5</v>
      </c>
      <c r="U746" s="64">
        <f t="shared" si="158"/>
        <v>3355.625</v>
      </c>
      <c r="V746" s="22">
        <v>-0.12</v>
      </c>
      <c r="W746" s="22">
        <v>70468</v>
      </c>
      <c r="X746" s="62" t="s">
        <v>1867</v>
      </c>
      <c r="Y746" s="62" t="s">
        <v>1120</v>
      </c>
      <c r="Z746" s="62" t="s">
        <v>1843</v>
      </c>
      <c r="AA746" s="65">
        <v>-80</v>
      </c>
      <c r="AB746" s="66"/>
      <c r="AC746" s="1" t="s">
        <v>34</v>
      </c>
      <c r="AD746" s="62" t="str">
        <f>VLOOKUP(X746,'Customer List'!B:C,2,)</f>
        <v>Delhi</v>
      </c>
      <c r="AE746" s="67"/>
      <c r="AF746" s="6"/>
      <c r="AG746" s="62" t="str">
        <f t="shared" si="159"/>
        <v/>
      </c>
      <c r="AH746" s="62" t="str">
        <f t="shared" si="160"/>
        <v>Tuesday</v>
      </c>
      <c r="AI746" s="62" t="str">
        <f t="shared" si="153"/>
        <v/>
      </c>
      <c r="AJ746" s="62" t="str">
        <f>VLOOKUP(AC746,'Currency Sheet'!A:C,3,)</f>
        <v>DOLLAR</v>
      </c>
      <c r="AK746" s="62" t="str">
        <f>VLOOKUP(X746,'Customer List'!B:D,3,)</f>
        <v>Local</v>
      </c>
    </row>
    <row r="747" spans="1:37" hidden="1" x14ac:dyDescent="0.25">
      <c r="A747" s="62">
        <f t="shared" si="161"/>
        <v>732</v>
      </c>
      <c r="B747" s="62" t="s">
        <v>1607</v>
      </c>
      <c r="C747" s="62" t="s">
        <v>1868</v>
      </c>
      <c r="D747" s="6">
        <v>46129</v>
      </c>
      <c r="E747" s="6">
        <v>46133</v>
      </c>
      <c r="F747" s="63">
        <v>2650</v>
      </c>
      <c r="G747" s="64">
        <f t="shared" si="155"/>
        <v>2650</v>
      </c>
      <c r="H747" s="64">
        <f t="shared" si="156"/>
        <v>71550</v>
      </c>
      <c r="I747" s="70" t="s">
        <v>1869</v>
      </c>
      <c r="J747" s="62" t="s">
        <v>686</v>
      </c>
      <c r="K747" s="8">
        <v>251678103</v>
      </c>
      <c r="L747" s="10"/>
      <c r="M747" s="62">
        <v>27</v>
      </c>
      <c r="N747" s="8"/>
      <c r="O747" s="62">
        <f t="shared" si="157"/>
        <v>27</v>
      </c>
      <c r="P747" s="70"/>
      <c r="Q747" s="71"/>
      <c r="R747" s="6"/>
      <c r="S747" s="64"/>
      <c r="T747" s="22">
        <v>18</v>
      </c>
      <c r="U747" s="64">
        <f t="shared" si="158"/>
        <v>0</v>
      </c>
      <c r="V747" s="22"/>
      <c r="W747" s="22"/>
      <c r="X747" s="62" t="s">
        <v>257</v>
      </c>
      <c r="Y747" s="62"/>
      <c r="Z747" s="62"/>
      <c r="AA747" s="65" t="s">
        <v>808</v>
      </c>
      <c r="AB747" s="66"/>
      <c r="AC747" s="1" t="s">
        <v>1607</v>
      </c>
      <c r="AD747" s="62" t="str">
        <f>VLOOKUP(X747,'Customer List'!B:C,2,)</f>
        <v>STOCK</v>
      </c>
      <c r="AE747" s="67"/>
      <c r="AF747" s="6"/>
      <c r="AG747" s="62" t="str">
        <f t="shared" si="159"/>
        <v/>
      </c>
      <c r="AH747" s="62" t="str">
        <f t="shared" si="160"/>
        <v/>
      </c>
      <c r="AI747" s="62" t="str">
        <f t="shared" si="153"/>
        <v/>
      </c>
      <c r="AJ747" s="62" t="str">
        <f>VLOOKUP(AC747,'Currency Sheet'!A:C,3,)</f>
        <v>INR</v>
      </c>
      <c r="AK747" s="62" t="str">
        <f>VLOOKUP(X747,'Customer List'!B:D,3,)</f>
        <v>STOCK</v>
      </c>
    </row>
    <row r="748" spans="1:37" hidden="1" x14ac:dyDescent="0.25">
      <c r="A748" s="62">
        <f t="shared" si="161"/>
        <v>733</v>
      </c>
      <c r="B748" s="62" t="s">
        <v>1607</v>
      </c>
      <c r="C748" s="62" t="s">
        <v>1870</v>
      </c>
      <c r="D748" s="6">
        <v>46129</v>
      </c>
      <c r="E748" s="6">
        <v>46133</v>
      </c>
      <c r="F748" s="63">
        <v>28350</v>
      </c>
      <c r="G748" s="64">
        <f t="shared" si="155"/>
        <v>28350</v>
      </c>
      <c r="H748" s="64">
        <f t="shared" si="156"/>
        <v>28350</v>
      </c>
      <c r="I748" s="70" t="s">
        <v>1871</v>
      </c>
      <c r="J748" s="62" t="s">
        <v>1930</v>
      </c>
      <c r="K748" s="8"/>
      <c r="L748" s="10"/>
      <c r="M748" s="62">
        <v>1</v>
      </c>
      <c r="N748" s="8">
        <v>1</v>
      </c>
      <c r="O748" s="62">
        <f t="shared" si="157"/>
        <v>0</v>
      </c>
      <c r="P748" s="70">
        <v>163</v>
      </c>
      <c r="Q748" s="71">
        <v>46135</v>
      </c>
      <c r="R748" s="6">
        <v>46135</v>
      </c>
      <c r="S748" s="64">
        <v>34240.720000000001</v>
      </c>
      <c r="T748" s="22">
        <v>18</v>
      </c>
      <c r="U748" s="64">
        <f t="shared" si="158"/>
        <v>6163.3296</v>
      </c>
      <c r="V748" s="22">
        <v>-0.13</v>
      </c>
      <c r="W748" s="22">
        <v>121212</v>
      </c>
      <c r="X748" s="62" t="s">
        <v>322</v>
      </c>
      <c r="Y748" s="62" t="s">
        <v>1120</v>
      </c>
      <c r="Z748" s="62" t="s">
        <v>1863</v>
      </c>
      <c r="AA748" s="65" t="s">
        <v>808</v>
      </c>
      <c r="AB748" s="66"/>
      <c r="AC748" s="1" t="s">
        <v>1607</v>
      </c>
      <c r="AD748" s="62" t="str">
        <f>VLOOKUP(X748,'Customer List'!B:C,2,)</f>
        <v>DELHI</v>
      </c>
      <c r="AE748" s="67" t="s">
        <v>1880</v>
      </c>
      <c r="AF748" s="6"/>
      <c r="AG748" s="62" t="str">
        <f t="shared" si="159"/>
        <v/>
      </c>
      <c r="AH748" s="62" t="str">
        <f t="shared" si="160"/>
        <v>Tuesday</v>
      </c>
      <c r="AI748" s="62" t="str">
        <f t="shared" si="153"/>
        <v/>
      </c>
      <c r="AJ748" s="62" t="str">
        <f>VLOOKUP(AC748,'Currency Sheet'!A:C,3,)</f>
        <v>INR</v>
      </c>
      <c r="AK748" s="62" t="str">
        <f>VLOOKUP(X748,'Customer List'!B:D,3,)</f>
        <v>Local</v>
      </c>
    </row>
    <row r="749" spans="1:37" hidden="1" x14ac:dyDescent="0.25">
      <c r="A749" s="62">
        <f t="shared" si="161"/>
        <v>734</v>
      </c>
      <c r="B749" s="62" t="s">
        <v>1607</v>
      </c>
      <c r="C749" s="62" t="s">
        <v>1870</v>
      </c>
      <c r="D749" s="6">
        <v>46129</v>
      </c>
      <c r="E749" s="6">
        <v>46133</v>
      </c>
      <c r="F749" s="63">
        <v>28300</v>
      </c>
      <c r="G749" s="64">
        <f t="shared" si="155"/>
        <v>28300</v>
      </c>
      <c r="H749" s="64">
        <f t="shared" si="156"/>
        <v>56600</v>
      </c>
      <c r="I749" s="70" t="s">
        <v>1872</v>
      </c>
      <c r="J749" s="62" t="s">
        <v>1931</v>
      </c>
      <c r="K749" s="8"/>
      <c r="L749" s="10"/>
      <c r="M749" s="62">
        <v>2</v>
      </c>
      <c r="N749" s="8">
        <v>2</v>
      </c>
      <c r="O749" s="62">
        <f t="shared" si="157"/>
        <v>0</v>
      </c>
      <c r="P749" s="70">
        <v>163</v>
      </c>
      <c r="Q749" s="71">
        <v>46135</v>
      </c>
      <c r="R749" s="6">
        <v>46135</v>
      </c>
      <c r="S749" s="64">
        <v>68481.429999999993</v>
      </c>
      <c r="T749" s="22">
        <v>18</v>
      </c>
      <c r="U749" s="64">
        <f t="shared" si="158"/>
        <v>12326.657399999998</v>
      </c>
      <c r="V749" s="22">
        <v>0</v>
      </c>
      <c r="W749" s="22">
        <v>121212</v>
      </c>
      <c r="X749" s="62" t="s">
        <v>322</v>
      </c>
      <c r="Y749" s="62" t="s">
        <v>1120</v>
      </c>
      <c r="Z749" s="62" t="s">
        <v>1863</v>
      </c>
      <c r="AA749" s="65" t="s">
        <v>808</v>
      </c>
      <c r="AB749" s="66"/>
      <c r="AC749" s="1" t="s">
        <v>1607</v>
      </c>
      <c r="AD749" s="62" t="str">
        <f>VLOOKUP(X749,'Customer List'!B:C,2,)</f>
        <v>DELHI</v>
      </c>
      <c r="AE749" s="67" t="s">
        <v>1880</v>
      </c>
      <c r="AF749" s="6"/>
      <c r="AG749" s="62" t="str">
        <f t="shared" si="159"/>
        <v/>
      </c>
      <c r="AH749" s="62" t="str">
        <f t="shared" si="160"/>
        <v>Saturday</v>
      </c>
      <c r="AI749" s="62" t="str">
        <f t="shared" si="153"/>
        <v/>
      </c>
      <c r="AJ749" s="62" t="str">
        <f>VLOOKUP(AC749,'Currency Sheet'!A:C,3,)</f>
        <v>INR</v>
      </c>
      <c r="AK749" s="62" t="str">
        <f>VLOOKUP(X749,'Customer List'!B:D,3,)</f>
        <v>Local</v>
      </c>
    </row>
    <row r="750" spans="1:37" s="56" customFormat="1" hidden="1" x14ac:dyDescent="0.25">
      <c r="A750" s="48">
        <f t="shared" si="161"/>
        <v>735</v>
      </c>
      <c r="B750" s="48" t="s">
        <v>1607</v>
      </c>
      <c r="C750" s="48" t="s">
        <v>1870</v>
      </c>
      <c r="D750" s="50">
        <v>46129</v>
      </c>
      <c r="E750" s="50">
        <v>46133</v>
      </c>
      <c r="F750" s="57">
        <v>4500</v>
      </c>
      <c r="G750" s="51">
        <f t="shared" si="155"/>
        <v>4500</v>
      </c>
      <c r="H750" s="51">
        <f t="shared" si="156"/>
        <v>4500</v>
      </c>
      <c r="I750" s="58" t="s">
        <v>1873</v>
      </c>
      <c r="J750" s="48" t="s">
        <v>1932</v>
      </c>
      <c r="K750" s="47"/>
      <c r="L750" s="49"/>
      <c r="M750" s="48">
        <v>1</v>
      </c>
      <c r="N750" s="47">
        <v>1</v>
      </c>
      <c r="O750" s="48">
        <f t="shared" si="157"/>
        <v>0</v>
      </c>
      <c r="P750" s="58">
        <v>288</v>
      </c>
      <c r="Q750" s="59">
        <v>46151</v>
      </c>
      <c r="R750" s="50">
        <v>46151</v>
      </c>
      <c r="S750" s="51">
        <v>5600</v>
      </c>
      <c r="T750" s="52">
        <v>18</v>
      </c>
      <c r="U750" s="51">
        <f t="shared" si="158"/>
        <v>1008</v>
      </c>
      <c r="V750" s="52">
        <v>0</v>
      </c>
      <c r="W750" s="52">
        <v>6608</v>
      </c>
      <c r="X750" s="48" t="s">
        <v>2500</v>
      </c>
      <c r="Y750" s="48" t="s">
        <v>1120</v>
      </c>
      <c r="Z750" s="48" t="s">
        <v>1843</v>
      </c>
      <c r="AA750" s="53" t="s">
        <v>808</v>
      </c>
      <c r="AB750" s="54"/>
      <c r="AC750" s="60" t="s">
        <v>1607</v>
      </c>
      <c r="AD750" s="48" t="str">
        <f>VLOOKUP(X750,'Customer List'!B:C,2,)</f>
        <v>DELHI</v>
      </c>
      <c r="AE750" s="55" t="s">
        <v>1880</v>
      </c>
      <c r="AF750" s="50"/>
      <c r="AG750" s="48" t="str">
        <f t="shared" si="159"/>
        <v/>
      </c>
      <c r="AH750" s="48" t="str">
        <f t="shared" si="160"/>
        <v>Saturday</v>
      </c>
      <c r="AI750" s="48" t="str">
        <f t="shared" si="153"/>
        <v/>
      </c>
      <c r="AJ750" s="48" t="str">
        <f>VLOOKUP(AC750,'Currency Sheet'!A:C,3,)</f>
        <v>INR</v>
      </c>
      <c r="AK750" s="48" t="str">
        <f>VLOOKUP(X750,'Customer List'!B:D,3,)</f>
        <v>Local</v>
      </c>
    </row>
    <row r="751" spans="1:37" hidden="1" x14ac:dyDescent="0.25">
      <c r="A751" s="62">
        <f t="shared" si="161"/>
        <v>736</v>
      </c>
      <c r="B751" s="62" t="s">
        <v>43</v>
      </c>
      <c r="C751" s="62" t="s">
        <v>1881</v>
      </c>
      <c r="D751" s="6">
        <v>46128</v>
      </c>
      <c r="E751" s="6">
        <v>46134</v>
      </c>
      <c r="F751" s="63">
        <v>0</v>
      </c>
      <c r="G751" s="64">
        <f t="shared" si="155"/>
        <v>0</v>
      </c>
      <c r="H751" s="64">
        <f t="shared" si="156"/>
        <v>0</v>
      </c>
      <c r="I751" s="70" t="s">
        <v>1882</v>
      </c>
      <c r="J751" s="62" t="s">
        <v>1923</v>
      </c>
      <c r="K751" s="8">
        <v>538115</v>
      </c>
      <c r="L751" s="10" t="s">
        <v>848</v>
      </c>
      <c r="M751" s="62">
        <v>1</v>
      </c>
      <c r="N751" s="8">
        <v>1</v>
      </c>
      <c r="O751" s="62">
        <f t="shared" si="157"/>
        <v>0</v>
      </c>
      <c r="P751" s="70" t="s">
        <v>2013</v>
      </c>
      <c r="Q751" s="71">
        <v>46134</v>
      </c>
      <c r="R751" s="6">
        <v>46139</v>
      </c>
      <c r="S751" s="64">
        <v>0</v>
      </c>
      <c r="T751" s="22">
        <v>5</v>
      </c>
      <c r="U751" s="64">
        <f t="shared" si="158"/>
        <v>0</v>
      </c>
      <c r="V751" s="22">
        <v>0</v>
      </c>
      <c r="W751" s="22">
        <v>0</v>
      </c>
      <c r="X751" s="62" t="s">
        <v>793</v>
      </c>
      <c r="Y751" s="62" t="s">
        <v>1120</v>
      </c>
      <c r="Z751" s="62" t="s">
        <v>1863</v>
      </c>
      <c r="AA751" s="65">
        <v>-20</v>
      </c>
      <c r="AB751" s="66" t="s">
        <v>1878</v>
      </c>
      <c r="AC751" s="1" t="s">
        <v>1887</v>
      </c>
      <c r="AD751" s="62" t="str">
        <f>VLOOKUP(X751,'Customer List'!B:C,2,)</f>
        <v>Delhi</v>
      </c>
      <c r="AE751" s="67"/>
      <c r="AF751" s="6"/>
      <c r="AG751" s="62" t="str">
        <f t="shared" si="159"/>
        <v/>
      </c>
      <c r="AH751" s="62" t="str">
        <f t="shared" si="160"/>
        <v>Saturday</v>
      </c>
      <c r="AI751" s="62" t="str">
        <f t="shared" si="153"/>
        <v/>
      </c>
      <c r="AJ751" s="62" t="str">
        <f>VLOOKUP(AC751,'Currency Sheet'!A:C,3,)</f>
        <v>DOLLAR</v>
      </c>
      <c r="AK751" s="62" t="str">
        <f>VLOOKUP(X751,'Customer List'!B:D,3,)</f>
        <v>Local</v>
      </c>
    </row>
    <row r="752" spans="1:37" hidden="1" x14ac:dyDescent="0.25">
      <c r="A752" s="62">
        <f t="shared" si="161"/>
        <v>737</v>
      </c>
      <c r="B752" s="62" t="s">
        <v>43</v>
      </c>
      <c r="C752" s="62" t="s">
        <v>1881</v>
      </c>
      <c r="D752" s="6">
        <v>46128</v>
      </c>
      <c r="E752" s="6">
        <v>46134</v>
      </c>
      <c r="F752" s="63">
        <v>0</v>
      </c>
      <c r="G752" s="64">
        <f t="shared" si="155"/>
        <v>0</v>
      </c>
      <c r="H752" s="64">
        <f t="shared" si="156"/>
        <v>0</v>
      </c>
      <c r="I752" s="70" t="s">
        <v>1883</v>
      </c>
      <c r="J752" s="62" t="s">
        <v>1924</v>
      </c>
      <c r="K752" s="8">
        <v>527504</v>
      </c>
      <c r="L752" s="10" t="s">
        <v>848</v>
      </c>
      <c r="M752" s="62">
        <v>1</v>
      </c>
      <c r="N752" s="8">
        <v>1</v>
      </c>
      <c r="O752" s="62">
        <f t="shared" si="157"/>
        <v>0</v>
      </c>
      <c r="P752" s="70" t="s">
        <v>2013</v>
      </c>
      <c r="Q752" s="71">
        <v>46134</v>
      </c>
      <c r="R752" s="6">
        <v>46139</v>
      </c>
      <c r="S752" s="64">
        <v>0</v>
      </c>
      <c r="T752" s="22">
        <v>5</v>
      </c>
      <c r="U752" s="64">
        <f t="shared" si="158"/>
        <v>0</v>
      </c>
      <c r="V752" s="22">
        <v>0</v>
      </c>
      <c r="W752" s="22">
        <v>0</v>
      </c>
      <c r="X752" s="62" t="s">
        <v>793</v>
      </c>
      <c r="Y752" s="62" t="s">
        <v>1120</v>
      </c>
      <c r="Z752" s="62" t="s">
        <v>1863</v>
      </c>
      <c r="AA752" s="65">
        <v>-20</v>
      </c>
      <c r="AB752" s="66" t="s">
        <v>1878</v>
      </c>
      <c r="AC752" s="1" t="s">
        <v>1887</v>
      </c>
      <c r="AD752" s="62" t="str">
        <f>VLOOKUP(X752,'Customer List'!B:C,2,)</f>
        <v>Delhi</v>
      </c>
      <c r="AE752" s="67"/>
      <c r="AF752" s="6"/>
      <c r="AG752" s="62" t="str">
        <f t="shared" si="159"/>
        <v/>
      </c>
      <c r="AH752" s="62" t="str">
        <f t="shared" si="160"/>
        <v>Saturday</v>
      </c>
      <c r="AI752" s="62" t="str">
        <f t="shared" si="153"/>
        <v/>
      </c>
      <c r="AJ752" s="62" t="str">
        <f>VLOOKUP(AC752,'Currency Sheet'!A:C,3,)</f>
        <v>DOLLAR</v>
      </c>
      <c r="AK752" s="62" t="str">
        <f>VLOOKUP(X752,'Customer List'!B:D,3,)</f>
        <v>Local</v>
      </c>
    </row>
    <row r="753" spans="1:37" hidden="1" x14ac:dyDescent="0.25">
      <c r="A753" s="62">
        <f t="shared" si="161"/>
        <v>738</v>
      </c>
      <c r="B753" s="62" t="s">
        <v>43</v>
      </c>
      <c r="C753" s="62" t="s">
        <v>1881</v>
      </c>
      <c r="D753" s="6">
        <v>46128</v>
      </c>
      <c r="E753" s="6">
        <v>46134</v>
      </c>
      <c r="F753" s="63">
        <v>0</v>
      </c>
      <c r="G753" s="64">
        <f t="shared" si="155"/>
        <v>0</v>
      </c>
      <c r="H753" s="64">
        <f t="shared" si="156"/>
        <v>0</v>
      </c>
      <c r="I753" s="70" t="s">
        <v>1884</v>
      </c>
      <c r="J753" s="62" t="s">
        <v>1925</v>
      </c>
      <c r="K753" s="8" t="s">
        <v>1888</v>
      </c>
      <c r="L753" s="10" t="s">
        <v>848</v>
      </c>
      <c r="M753" s="62">
        <v>1</v>
      </c>
      <c r="N753" s="8">
        <v>1</v>
      </c>
      <c r="O753" s="62">
        <f t="shared" si="157"/>
        <v>0</v>
      </c>
      <c r="P753" s="70" t="s">
        <v>2013</v>
      </c>
      <c r="Q753" s="71">
        <v>46134</v>
      </c>
      <c r="R753" s="6">
        <v>46139</v>
      </c>
      <c r="S753" s="64">
        <v>0</v>
      </c>
      <c r="T753" s="22">
        <v>5</v>
      </c>
      <c r="U753" s="64">
        <f t="shared" si="158"/>
        <v>0</v>
      </c>
      <c r="V753" s="22">
        <v>0</v>
      </c>
      <c r="W753" s="22">
        <v>0</v>
      </c>
      <c r="X753" s="62" t="s">
        <v>793</v>
      </c>
      <c r="Y753" s="62" t="s">
        <v>1120</v>
      </c>
      <c r="Z753" s="62" t="s">
        <v>1863</v>
      </c>
      <c r="AA753" s="65">
        <v>-20</v>
      </c>
      <c r="AB753" s="66" t="s">
        <v>1878</v>
      </c>
      <c r="AC753" s="1" t="s">
        <v>1887</v>
      </c>
      <c r="AD753" s="62" t="str">
        <f>VLOOKUP(X753,'Customer List'!B:C,2,)</f>
        <v>Delhi</v>
      </c>
      <c r="AE753" s="67"/>
      <c r="AF753" s="6"/>
      <c r="AG753" s="62" t="str">
        <f t="shared" si="159"/>
        <v/>
      </c>
      <c r="AH753" s="62" t="str">
        <f t="shared" si="160"/>
        <v>Saturday</v>
      </c>
      <c r="AI753" s="62" t="str">
        <f t="shared" si="153"/>
        <v/>
      </c>
      <c r="AJ753" s="62" t="str">
        <f>VLOOKUP(AC753,'Currency Sheet'!A:C,3,)</f>
        <v>DOLLAR</v>
      </c>
      <c r="AK753" s="62" t="str">
        <f>VLOOKUP(X753,'Customer List'!B:D,3,)</f>
        <v>Local</v>
      </c>
    </row>
    <row r="754" spans="1:37" hidden="1" x14ac:dyDescent="0.25">
      <c r="A754" s="62">
        <f t="shared" si="161"/>
        <v>739</v>
      </c>
      <c r="B754" s="62" t="s">
        <v>43</v>
      </c>
      <c r="C754" s="62" t="s">
        <v>1881</v>
      </c>
      <c r="D754" s="6">
        <v>46128</v>
      </c>
      <c r="E754" s="6">
        <v>46134</v>
      </c>
      <c r="F754" s="63">
        <v>0</v>
      </c>
      <c r="G754" s="64">
        <f t="shared" si="155"/>
        <v>0</v>
      </c>
      <c r="H754" s="64">
        <f t="shared" si="156"/>
        <v>0</v>
      </c>
      <c r="I754" s="70" t="s">
        <v>1885</v>
      </c>
      <c r="J754" s="62" t="s">
        <v>1926</v>
      </c>
      <c r="K754" s="8">
        <v>550108</v>
      </c>
      <c r="L754" s="10" t="s">
        <v>848</v>
      </c>
      <c r="M754" s="62">
        <v>1</v>
      </c>
      <c r="N754" s="8">
        <v>1</v>
      </c>
      <c r="O754" s="62">
        <f t="shared" si="157"/>
        <v>0</v>
      </c>
      <c r="P754" s="70" t="s">
        <v>2013</v>
      </c>
      <c r="Q754" s="71">
        <v>46134</v>
      </c>
      <c r="R754" s="6">
        <v>46139</v>
      </c>
      <c r="S754" s="64">
        <v>0</v>
      </c>
      <c r="T754" s="22">
        <v>5</v>
      </c>
      <c r="U754" s="64">
        <f t="shared" si="158"/>
        <v>0</v>
      </c>
      <c r="V754" s="22">
        <v>0</v>
      </c>
      <c r="W754" s="22">
        <v>0</v>
      </c>
      <c r="X754" s="62" t="s">
        <v>793</v>
      </c>
      <c r="Y754" s="62" t="s">
        <v>1120</v>
      </c>
      <c r="Z754" s="62" t="s">
        <v>1863</v>
      </c>
      <c r="AA754" s="65">
        <v>-20</v>
      </c>
      <c r="AB754" s="66" t="s">
        <v>1878</v>
      </c>
      <c r="AC754" s="1" t="s">
        <v>1887</v>
      </c>
      <c r="AD754" s="62" t="str">
        <f>VLOOKUP(X754,'Customer List'!B:C,2,)</f>
        <v>Delhi</v>
      </c>
      <c r="AE754" s="67"/>
      <c r="AF754" s="6"/>
      <c r="AG754" s="62" t="str">
        <f t="shared" si="159"/>
        <v/>
      </c>
      <c r="AH754" s="62" t="str">
        <f t="shared" si="160"/>
        <v>Saturday</v>
      </c>
      <c r="AI754" s="62" t="str">
        <f t="shared" si="153"/>
        <v/>
      </c>
      <c r="AJ754" s="62" t="str">
        <f>VLOOKUP(AC754,'Currency Sheet'!A:C,3,)</f>
        <v>DOLLAR</v>
      </c>
      <c r="AK754" s="62" t="str">
        <f>VLOOKUP(X754,'Customer List'!B:D,3,)</f>
        <v>Local</v>
      </c>
    </row>
    <row r="755" spans="1:37" hidden="1" x14ac:dyDescent="0.25">
      <c r="A755" s="62">
        <f t="shared" si="161"/>
        <v>740</v>
      </c>
      <c r="B755" s="62" t="s">
        <v>43</v>
      </c>
      <c r="C755" s="62" t="s">
        <v>1881</v>
      </c>
      <c r="D755" s="6">
        <v>46128</v>
      </c>
      <c r="E755" s="6">
        <v>46134</v>
      </c>
      <c r="F755" s="63">
        <v>0</v>
      </c>
      <c r="G755" s="64">
        <f t="shared" si="155"/>
        <v>0</v>
      </c>
      <c r="H755" s="64">
        <f t="shared" si="156"/>
        <v>0</v>
      </c>
      <c r="I755" s="70" t="s">
        <v>1886</v>
      </c>
      <c r="J755" s="62" t="s">
        <v>1927</v>
      </c>
      <c r="K755" s="8" t="s">
        <v>1889</v>
      </c>
      <c r="L755" s="10" t="s">
        <v>848</v>
      </c>
      <c r="M755" s="62">
        <v>1</v>
      </c>
      <c r="N755" s="8">
        <v>1</v>
      </c>
      <c r="O755" s="62">
        <f t="shared" si="157"/>
        <v>0</v>
      </c>
      <c r="P755" s="70" t="s">
        <v>2013</v>
      </c>
      <c r="Q755" s="71">
        <v>46134</v>
      </c>
      <c r="R755" s="6">
        <v>46139</v>
      </c>
      <c r="S755" s="64">
        <v>0</v>
      </c>
      <c r="T755" s="22">
        <v>5</v>
      </c>
      <c r="U755" s="64">
        <f t="shared" si="158"/>
        <v>0</v>
      </c>
      <c r="V755" s="22">
        <v>0</v>
      </c>
      <c r="W755" s="22">
        <v>0</v>
      </c>
      <c r="X755" s="62" t="s">
        <v>793</v>
      </c>
      <c r="Y755" s="62" t="s">
        <v>1120</v>
      </c>
      <c r="Z755" s="62" t="s">
        <v>1863</v>
      </c>
      <c r="AA755" s="65">
        <v>-20</v>
      </c>
      <c r="AB755" s="66" t="s">
        <v>1878</v>
      </c>
      <c r="AC755" s="1" t="s">
        <v>1887</v>
      </c>
      <c r="AD755" s="62" t="str">
        <f>VLOOKUP(X755,'Customer List'!B:C,2,)</f>
        <v>Delhi</v>
      </c>
      <c r="AE755" s="67"/>
      <c r="AF755" s="6"/>
      <c r="AG755" s="62" t="str">
        <f t="shared" si="159"/>
        <v/>
      </c>
      <c r="AH755" s="62" t="str">
        <f t="shared" si="160"/>
        <v>Saturday</v>
      </c>
      <c r="AI755" s="62" t="str">
        <f t="shared" si="153"/>
        <v/>
      </c>
      <c r="AJ755" s="62" t="str">
        <f>VLOOKUP(AC755,'Currency Sheet'!A:C,3,)</f>
        <v>DOLLAR</v>
      </c>
      <c r="AK755" s="62" t="str">
        <f>VLOOKUP(X755,'Customer List'!B:D,3,)</f>
        <v>Local</v>
      </c>
    </row>
    <row r="756" spans="1:37" hidden="1" x14ac:dyDescent="0.25">
      <c r="A756" s="62">
        <f t="shared" si="161"/>
        <v>741</v>
      </c>
      <c r="B756" s="62" t="s">
        <v>31</v>
      </c>
      <c r="C756" s="62">
        <v>188742</v>
      </c>
      <c r="D756" s="6">
        <v>46128</v>
      </c>
      <c r="E756" s="6">
        <v>46134</v>
      </c>
      <c r="F756" s="63">
        <v>4548.8999999999996</v>
      </c>
      <c r="G756" s="64">
        <f t="shared" si="155"/>
        <v>400303.19999999995</v>
      </c>
      <c r="H756" s="64">
        <f t="shared" si="156"/>
        <v>1601212.7999999998</v>
      </c>
      <c r="I756" s="70" t="s">
        <v>1890</v>
      </c>
      <c r="J756" s="62" t="s">
        <v>1928</v>
      </c>
      <c r="K756" s="8" t="s">
        <v>1892</v>
      </c>
      <c r="L756" s="10"/>
      <c r="M756" s="62">
        <v>4</v>
      </c>
      <c r="N756" s="8">
        <v>4</v>
      </c>
      <c r="O756" s="62">
        <f t="shared" si="157"/>
        <v>0</v>
      </c>
      <c r="P756" s="70">
        <v>172</v>
      </c>
      <c r="Q756" s="71">
        <v>46136</v>
      </c>
      <c r="R756" s="6">
        <v>46137</v>
      </c>
      <c r="S756" s="64">
        <v>2371493.2000000002</v>
      </c>
      <c r="T756" s="22">
        <v>5</v>
      </c>
      <c r="U756" s="64">
        <f t="shared" si="158"/>
        <v>118574.66000000002</v>
      </c>
      <c r="V756" s="22">
        <v>0.14000000000000001</v>
      </c>
      <c r="W756" s="22">
        <v>2490068</v>
      </c>
      <c r="X756" s="62" t="s">
        <v>37</v>
      </c>
      <c r="Y756" s="62">
        <v>58164747163</v>
      </c>
      <c r="Z756" s="62" t="s">
        <v>1112</v>
      </c>
      <c r="AA756" s="65">
        <v>4</v>
      </c>
      <c r="AB756" s="66"/>
      <c r="AC756" s="1" t="s">
        <v>1435</v>
      </c>
      <c r="AD756" s="62" t="str">
        <f>VLOOKUP(X756,'Customer List'!B:C,2,)</f>
        <v>Hyderabad</v>
      </c>
      <c r="AE756" s="67"/>
      <c r="AF756" s="6">
        <v>46139</v>
      </c>
      <c r="AG756" s="62">
        <f t="shared" si="159"/>
        <v>2</v>
      </c>
      <c r="AH756" s="62" t="str">
        <f t="shared" si="160"/>
        <v>Thursday</v>
      </c>
      <c r="AI756" s="62" t="str">
        <f t="shared" si="153"/>
        <v>Monday</v>
      </c>
      <c r="AJ756" s="62" t="str">
        <f>VLOOKUP(AC756,'Currency Sheet'!A:C,3,)</f>
        <v>DOLLAR</v>
      </c>
      <c r="AK756" s="62" t="str">
        <f>VLOOKUP(X756,'Customer List'!B:D,3,)</f>
        <v>OutStation</v>
      </c>
    </row>
    <row r="757" spans="1:37" hidden="1" x14ac:dyDescent="0.25">
      <c r="A757" s="62">
        <f t="shared" si="161"/>
        <v>742</v>
      </c>
      <c r="B757" s="62" t="s">
        <v>31</v>
      </c>
      <c r="C757" s="62">
        <v>188742</v>
      </c>
      <c r="D757" s="6">
        <v>46128</v>
      </c>
      <c r="E757" s="6">
        <v>46134</v>
      </c>
      <c r="F757" s="63">
        <v>145.80000000000001</v>
      </c>
      <c r="G757" s="64">
        <f t="shared" si="155"/>
        <v>12830.400000000001</v>
      </c>
      <c r="H757" s="64">
        <f t="shared" si="156"/>
        <v>12830.400000000001</v>
      </c>
      <c r="I757" s="70" t="s">
        <v>1891</v>
      </c>
      <c r="J757" s="62" t="s">
        <v>1929</v>
      </c>
      <c r="K757" s="8" t="s">
        <v>1893</v>
      </c>
      <c r="L757" s="10"/>
      <c r="M757" s="62">
        <v>1</v>
      </c>
      <c r="N757" s="8">
        <v>1</v>
      </c>
      <c r="O757" s="62">
        <f t="shared" si="157"/>
        <v>0</v>
      </c>
      <c r="P757" s="70">
        <v>174</v>
      </c>
      <c r="Q757" s="71">
        <v>46136</v>
      </c>
      <c r="R757" s="6">
        <v>46137</v>
      </c>
      <c r="S757" s="64">
        <v>19561.5</v>
      </c>
      <c r="T757" s="22">
        <v>5</v>
      </c>
      <c r="U757" s="64">
        <f t="shared" si="158"/>
        <v>978.07500000000005</v>
      </c>
      <c r="V757" s="22">
        <v>0.42</v>
      </c>
      <c r="W757" s="22">
        <v>20540</v>
      </c>
      <c r="X757" s="62" t="s">
        <v>1894</v>
      </c>
      <c r="Y757" s="62">
        <v>58164745671</v>
      </c>
      <c r="Z757" s="62" t="s">
        <v>1112</v>
      </c>
      <c r="AA757" s="65">
        <v>4</v>
      </c>
      <c r="AB757" s="66"/>
      <c r="AC757" s="1" t="s">
        <v>1435</v>
      </c>
      <c r="AD757" s="62" t="str">
        <f>VLOOKUP(X757,'Customer List'!B:C,2,)</f>
        <v>Bhopal</v>
      </c>
      <c r="AE757" s="67"/>
      <c r="AF757" s="6">
        <v>46140</v>
      </c>
      <c r="AG757" s="62">
        <f t="shared" si="159"/>
        <v>3</v>
      </c>
      <c r="AH757" s="62" t="str">
        <f t="shared" si="160"/>
        <v>Tuesday</v>
      </c>
      <c r="AI757" s="62" t="str">
        <f t="shared" si="153"/>
        <v>Tuesday</v>
      </c>
      <c r="AJ757" s="62" t="str">
        <f>VLOOKUP(AC757,'Currency Sheet'!A:C,3,)</f>
        <v>DOLLAR</v>
      </c>
      <c r="AK757" s="62" t="str">
        <f>VLOOKUP(X757,'Customer List'!B:D,3,)</f>
        <v>OutStation</v>
      </c>
    </row>
    <row r="758" spans="1:37" hidden="1" x14ac:dyDescent="0.25">
      <c r="A758" s="62">
        <f t="shared" si="161"/>
        <v>743</v>
      </c>
      <c r="B758" s="62" t="s">
        <v>537</v>
      </c>
      <c r="C758" s="62" t="s">
        <v>1895</v>
      </c>
      <c r="D758" s="6">
        <v>46128</v>
      </c>
      <c r="E758" s="6">
        <v>46134</v>
      </c>
      <c r="F758" s="63">
        <v>240</v>
      </c>
      <c r="G758" s="64">
        <f t="shared" si="155"/>
        <v>21120</v>
      </c>
      <c r="H758" s="64">
        <f t="shared" si="156"/>
        <v>21120</v>
      </c>
      <c r="I758" s="70" t="s">
        <v>1896</v>
      </c>
      <c r="J758" s="62" t="s">
        <v>1912</v>
      </c>
      <c r="K758" s="8"/>
      <c r="L758" s="10"/>
      <c r="M758" s="62">
        <v>1</v>
      </c>
      <c r="N758" s="8">
        <v>1</v>
      </c>
      <c r="O758" s="62">
        <f t="shared" si="157"/>
        <v>0</v>
      </c>
      <c r="P758" s="70">
        <v>179</v>
      </c>
      <c r="Q758" s="71">
        <v>46136</v>
      </c>
      <c r="R758" s="6">
        <v>46137</v>
      </c>
      <c r="S758" s="64">
        <v>43520</v>
      </c>
      <c r="T758" s="22">
        <v>5</v>
      </c>
      <c r="U758" s="64">
        <f t="shared" si="158"/>
        <v>2176</v>
      </c>
      <c r="V758" s="22">
        <v>0</v>
      </c>
      <c r="W758" s="22">
        <v>45696</v>
      </c>
      <c r="X758" s="62" t="s">
        <v>22</v>
      </c>
      <c r="Y758" s="62">
        <v>58164746776</v>
      </c>
      <c r="Z758" s="62" t="s">
        <v>1112</v>
      </c>
      <c r="AA758" s="65">
        <v>-20</v>
      </c>
      <c r="AB758" s="66"/>
      <c r="AC758" s="1" t="s">
        <v>537</v>
      </c>
      <c r="AD758" s="62" t="str">
        <f>VLOOKUP(X758,'Customer List'!B:C,2,)</f>
        <v>Gujrat</v>
      </c>
      <c r="AE758" s="67"/>
      <c r="AF758" s="6">
        <v>46139</v>
      </c>
      <c r="AG758" s="62">
        <f t="shared" si="159"/>
        <v>2</v>
      </c>
      <c r="AH758" s="62" t="str">
        <f t="shared" si="160"/>
        <v>Sunday</v>
      </c>
      <c r="AI758" s="62" t="str">
        <f t="shared" si="153"/>
        <v>Monday</v>
      </c>
      <c r="AJ758" s="62" t="str">
        <f>VLOOKUP(AC758,'Currency Sheet'!A:C,3,)</f>
        <v>DOLLAR</v>
      </c>
      <c r="AK758" s="62" t="str">
        <f>VLOOKUP(X758,'Customer List'!B:D,3,)</f>
        <v>OutStation</v>
      </c>
    </row>
    <row r="759" spans="1:37" hidden="1" x14ac:dyDescent="0.25">
      <c r="A759" s="62">
        <f t="shared" si="161"/>
        <v>744</v>
      </c>
      <c r="B759" s="62" t="s">
        <v>537</v>
      </c>
      <c r="C759" s="62" t="s">
        <v>1895</v>
      </c>
      <c r="D759" s="6">
        <v>46128</v>
      </c>
      <c r="E759" s="6">
        <v>46134</v>
      </c>
      <c r="F759" s="63">
        <v>2</v>
      </c>
      <c r="G759" s="64">
        <f t="shared" si="155"/>
        <v>176</v>
      </c>
      <c r="H759" s="64">
        <f t="shared" si="156"/>
        <v>176</v>
      </c>
      <c r="I759" s="70" t="s">
        <v>1897</v>
      </c>
      <c r="J759" s="62" t="s">
        <v>1916</v>
      </c>
      <c r="K759" s="8"/>
      <c r="L759" s="10"/>
      <c r="M759" s="62">
        <v>1</v>
      </c>
      <c r="N759" s="8">
        <v>1</v>
      </c>
      <c r="O759" s="62">
        <f t="shared" si="157"/>
        <v>0</v>
      </c>
      <c r="P759" s="70">
        <v>182</v>
      </c>
      <c r="Q759" s="71">
        <v>46136</v>
      </c>
      <c r="R759" s="6">
        <v>46137</v>
      </c>
      <c r="S759" s="64">
        <v>0</v>
      </c>
      <c r="T759" s="22">
        <v>5</v>
      </c>
      <c r="U759" s="64">
        <f t="shared" si="158"/>
        <v>0</v>
      </c>
      <c r="V759" s="22">
        <v>0</v>
      </c>
      <c r="W759" s="22">
        <v>136774</v>
      </c>
      <c r="X759" s="62" t="s">
        <v>1600</v>
      </c>
      <c r="Y759" s="62">
        <v>58164748810</v>
      </c>
      <c r="Z759" s="62" t="s">
        <v>1112</v>
      </c>
      <c r="AA759" s="65">
        <v>-20</v>
      </c>
      <c r="AB759" s="66"/>
      <c r="AC759" s="1" t="s">
        <v>537</v>
      </c>
      <c r="AD759" s="62" t="str">
        <f>VLOOKUP(X759,'Customer List'!B:C,2,)</f>
        <v>Hyderabad</v>
      </c>
      <c r="AE759" s="67"/>
      <c r="AF759" s="6">
        <v>46139</v>
      </c>
      <c r="AG759" s="62">
        <f t="shared" si="159"/>
        <v>2</v>
      </c>
      <c r="AH759" s="62" t="str">
        <f t="shared" si="160"/>
        <v>Saturday</v>
      </c>
      <c r="AI759" s="62" t="str">
        <f t="shared" si="153"/>
        <v>Monday</v>
      </c>
      <c r="AJ759" s="62" t="str">
        <f>VLOOKUP(AC759,'Currency Sheet'!A:C,3,)</f>
        <v>DOLLAR</v>
      </c>
      <c r="AK759" s="62" t="str">
        <f>VLOOKUP(X759,'Customer List'!B:D,3,)</f>
        <v>OutStation</v>
      </c>
    </row>
    <row r="760" spans="1:37" hidden="1" x14ac:dyDescent="0.25">
      <c r="A760" s="62">
        <f t="shared" si="161"/>
        <v>745</v>
      </c>
      <c r="B760" s="62" t="s">
        <v>537</v>
      </c>
      <c r="C760" s="62" t="s">
        <v>1898</v>
      </c>
      <c r="D760" s="6">
        <v>46128</v>
      </c>
      <c r="E760" s="6">
        <v>46134</v>
      </c>
      <c r="F760" s="63">
        <v>220.28</v>
      </c>
      <c r="G760" s="64">
        <f t="shared" si="155"/>
        <v>19384.64</v>
      </c>
      <c r="H760" s="64">
        <f t="shared" si="156"/>
        <v>19384.64</v>
      </c>
      <c r="I760" s="70" t="s">
        <v>1899</v>
      </c>
      <c r="J760" s="62" t="s">
        <v>1913</v>
      </c>
      <c r="K760" s="8"/>
      <c r="L760" s="10"/>
      <c r="M760" s="62">
        <v>1</v>
      </c>
      <c r="N760" s="8">
        <v>1</v>
      </c>
      <c r="O760" s="62">
        <f t="shared" si="157"/>
        <v>0</v>
      </c>
      <c r="P760" s="70">
        <v>180</v>
      </c>
      <c r="Q760" s="71">
        <v>46136</v>
      </c>
      <c r="R760" s="6">
        <v>46137</v>
      </c>
      <c r="S760" s="64">
        <v>39944.559999999998</v>
      </c>
      <c r="T760" s="22">
        <v>5</v>
      </c>
      <c r="U760" s="64">
        <f t="shared" si="158"/>
        <v>1997.2280000000001</v>
      </c>
      <c r="V760" s="22">
        <v>1800</v>
      </c>
      <c r="W760" s="22">
        <v>43832</v>
      </c>
      <c r="X760" s="62" t="s">
        <v>1902</v>
      </c>
      <c r="Y760" s="62">
        <v>58164746625</v>
      </c>
      <c r="Z760" s="62" t="s">
        <v>1112</v>
      </c>
      <c r="AA760" s="65">
        <v>-20</v>
      </c>
      <c r="AB760" s="66"/>
      <c r="AC760" s="1" t="s">
        <v>537</v>
      </c>
      <c r="AD760" s="62" t="str">
        <f>VLOOKUP(X760,'Customer List'!B:C,2,)</f>
        <v>Kolkata</v>
      </c>
      <c r="AE760" s="67"/>
      <c r="AF760" s="6">
        <v>46139</v>
      </c>
      <c r="AG760" s="62">
        <f t="shared" si="159"/>
        <v>2</v>
      </c>
      <c r="AH760" s="62" t="str">
        <f t="shared" si="160"/>
        <v>Monday</v>
      </c>
      <c r="AI760" s="62" t="str">
        <f t="shared" si="153"/>
        <v>Monday</v>
      </c>
      <c r="AJ760" s="62" t="str">
        <f>VLOOKUP(AC760,'Currency Sheet'!A:C,3,)</f>
        <v>DOLLAR</v>
      </c>
      <c r="AK760" s="62" t="str">
        <f>VLOOKUP(X760,'Customer List'!B:D,3,)</f>
        <v>OutStation</v>
      </c>
    </row>
    <row r="761" spans="1:37" hidden="1" x14ac:dyDescent="0.25">
      <c r="A761" s="62">
        <f t="shared" si="161"/>
        <v>746</v>
      </c>
      <c r="B761" s="62" t="s">
        <v>537</v>
      </c>
      <c r="C761" s="62" t="s">
        <v>1898</v>
      </c>
      <c r="D761" s="6">
        <v>46128</v>
      </c>
      <c r="E761" s="6">
        <v>46134</v>
      </c>
      <c r="F761" s="63">
        <v>151.49</v>
      </c>
      <c r="G761" s="64">
        <f t="shared" si="155"/>
        <v>13331.12</v>
      </c>
      <c r="H761" s="64">
        <f t="shared" si="156"/>
        <v>13331.12</v>
      </c>
      <c r="I761" s="70" t="s">
        <v>1900</v>
      </c>
      <c r="J761" s="62" t="s">
        <v>1914</v>
      </c>
      <c r="K761" s="8"/>
      <c r="L761" s="10"/>
      <c r="M761" s="62">
        <v>1</v>
      </c>
      <c r="N761" s="8">
        <v>1</v>
      </c>
      <c r="O761" s="62">
        <f t="shared" si="157"/>
        <v>0</v>
      </c>
      <c r="P761" s="70">
        <v>175</v>
      </c>
      <c r="Q761" s="71">
        <v>46136</v>
      </c>
      <c r="R761" s="6">
        <v>46137</v>
      </c>
      <c r="S761" s="64">
        <v>25752.45</v>
      </c>
      <c r="T761" s="22">
        <v>5</v>
      </c>
      <c r="U761" s="64">
        <f t="shared" si="158"/>
        <v>1287.6225000000002</v>
      </c>
      <c r="V761" s="22">
        <v>1800</v>
      </c>
      <c r="W761" s="22">
        <v>28930</v>
      </c>
      <c r="X761" s="62" t="s">
        <v>1903</v>
      </c>
      <c r="Y761" s="62">
        <v>58164746231</v>
      </c>
      <c r="Z761" s="62" t="s">
        <v>1112</v>
      </c>
      <c r="AA761" s="65">
        <v>4</v>
      </c>
      <c r="AB761" s="66"/>
      <c r="AC761" s="1" t="s">
        <v>537</v>
      </c>
      <c r="AD761" s="62" t="str">
        <f>VLOOKUP(X761,'Customer List'!B:C,2,)</f>
        <v>PUNE</v>
      </c>
      <c r="AE761" s="67"/>
      <c r="AF761" s="6">
        <v>46140</v>
      </c>
      <c r="AG761" s="62">
        <f t="shared" si="159"/>
        <v>3</v>
      </c>
      <c r="AH761" s="62" t="str">
        <f t="shared" si="160"/>
        <v>Friday</v>
      </c>
      <c r="AI761" s="62" t="str">
        <f t="shared" si="153"/>
        <v>Tuesday</v>
      </c>
      <c r="AJ761" s="62" t="str">
        <f>VLOOKUP(AC761,'Currency Sheet'!A:C,3,)</f>
        <v>DOLLAR</v>
      </c>
      <c r="AK761" s="62" t="str">
        <f>VLOOKUP(X761,'Customer List'!B:D,3,)</f>
        <v>OutStation</v>
      </c>
    </row>
    <row r="762" spans="1:37" hidden="1" x14ac:dyDescent="0.25">
      <c r="A762" s="62">
        <f t="shared" si="161"/>
        <v>747</v>
      </c>
      <c r="B762" s="62" t="s">
        <v>537</v>
      </c>
      <c r="C762" s="62" t="s">
        <v>1898</v>
      </c>
      <c r="D762" s="6">
        <v>46128</v>
      </c>
      <c r="E762" s="6">
        <v>46134</v>
      </c>
      <c r="F762" s="63">
        <v>621.08000000000004</v>
      </c>
      <c r="G762" s="64">
        <f t="shared" si="155"/>
        <v>54655.040000000001</v>
      </c>
      <c r="H762" s="64">
        <f t="shared" si="156"/>
        <v>54655.040000000001</v>
      </c>
      <c r="I762" s="70" t="s">
        <v>1897</v>
      </c>
      <c r="J762" s="62" t="s">
        <v>1915</v>
      </c>
      <c r="K762" s="8"/>
      <c r="L762" s="10"/>
      <c r="M762" s="62">
        <v>1</v>
      </c>
      <c r="N762" s="8">
        <v>1</v>
      </c>
      <c r="O762" s="62">
        <f t="shared" si="157"/>
        <v>0</v>
      </c>
      <c r="P762" s="70">
        <v>182</v>
      </c>
      <c r="Q762" s="71">
        <v>46136</v>
      </c>
      <c r="R762" s="6">
        <v>46137</v>
      </c>
      <c r="S762" s="64">
        <v>112621.6</v>
      </c>
      <c r="T762" s="22">
        <v>5</v>
      </c>
      <c r="U762" s="64">
        <f t="shared" si="158"/>
        <v>5631.0800000000008</v>
      </c>
      <c r="V762" s="22">
        <v>0.16</v>
      </c>
      <c r="W762" s="22">
        <v>136774</v>
      </c>
      <c r="X762" s="62" t="s">
        <v>1600</v>
      </c>
      <c r="Y762" s="62">
        <v>58164748810</v>
      </c>
      <c r="Z762" s="62" t="s">
        <v>1112</v>
      </c>
      <c r="AA762" s="65" t="s">
        <v>1904</v>
      </c>
      <c r="AB762" s="66"/>
      <c r="AC762" s="1" t="s">
        <v>537</v>
      </c>
      <c r="AD762" s="62" t="str">
        <f>VLOOKUP(X762,'Customer List'!B:C,2,)</f>
        <v>Hyderabad</v>
      </c>
      <c r="AE762" s="67"/>
      <c r="AF762" s="6">
        <v>46139</v>
      </c>
      <c r="AG762" s="62">
        <f t="shared" si="159"/>
        <v>2</v>
      </c>
      <c r="AH762" s="62" t="str">
        <f t="shared" si="160"/>
        <v>Thursday</v>
      </c>
      <c r="AI762" s="62" t="str">
        <f t="shared" si="153"/>
        <v>Monday</v>
      </c>
      <c r="AJ762" s="62" t="str">
        <f>VLOOKUP(AC762,'Currency Sheet'!A:C,3,)</f>
        <v>DOLLAR</v>
      </c>
      <c r="AK762" s="62" t="str">
        <f>VLOOKUP(X762,'Customer List'!B:D,3,)</f>
        <v>OutStation</v>
      </c>
    </row>
    <row r="763" spans="1:37" hidden="1" x14ac:dyDescent="0.25">
      <c r="A763" s="62">
        <f t="shared" si="161"/>
        <v>748</v>
      </c>
      <c r="B763" s="62" t="s">
        <v>537</v>
      </c>
      <c r="C763" s="62" t="s">
        <v>1898</v>
      </c>
      <c r="D763" s="6">
        <v>46128</v>
      </c>
      <c r="E763" s="6">
        <v>46134</v>
      </c>
      <c r="F763" s="63">
        <v>48.65</v>
      </c>
      <c r="G763" s="64">
        <f t="shared" si="155"/>
        <v>4281.2</v>
      </c>
      <c r="H763" s="64">
        <f t="shared" si="156"/>
        <v>8562.4</v>
      </c>
      <c r="I763" s="70" t="s">
        <v>1901</v>
      </c>
      <c r="J763" s="62" t="s">
        <v>1917</v>
      </c>
      <c r="K763" s="8"/>
      <c r="L763" s="10"/>
      <c r="M763" s="62">
        <v>2</v>
      </c>
      <c r="N763" s="8">
        <v>2</v>
      </c>
      <c r="O763" s="62">
        <f t="shared" si="157"/>
        <v>0</v>
      </c>
      <c r="P763" s="70">
        <v>182</v>
      </c>
      <c r="Q763" s="71">
        <v>46136</v>
      </c>
      <c r="R763" s="6">
        <v>46137</v>
      </c>
      <c r="S763" s="64">
        <v>17639.2</v>
      </c>
      <c r="T763" s="22">
        <v>5</v>
      </c>
      <c r="U763" s="64">
        <f t="shared" si="158"/>
        <v>881.96</v>
      </c>
      <c r="V763" s="22">
        <v>0</v>
      </c>
      <c r="W763" s="22">
        <v>136774</v>
      </c>
      <c r="X763" s="62" t="s">
        <v>1600</v>
      </c>
      <c r="Y763" s="62">
        <v>58164748810</v>
      </c>
      <c r="Z763" s="62" t="s">
        <v>1112</v>
      </c>
      <c r="AA763" s="65">
        <v>4</v>
      </c>
      <c r="AB763" s="66"/>
      <c r="AC763" s="1" t="s">
        <v>537</v>
      </c>
      <c r="AD763" s="62" t="str">
        <f>VLOOKUP(X763,'Customer List'!B:C,2,)</f>
        <v>Hyderabad</v>
      </c>
      <c r="AE763" s="67"/>
      <c r="AF763" s="6">
        <v>46139</v>
      </c>
      <c r="AG763" s="62">
        <f t="shared" si="159"/>
        <v>2</v>
      </c>
      <c r="AH763" s="62" t="str">
        <f t="shared" si="160"/>
        <v>Friday</v>
      </c>
      <c r="AI763" s="62" t="str">
        <f t="shared" si="153"/>
        <v>Monday</v>
      </c>
      <c r="AJ763" s="62" t="str">
        <f>VLOOKUP(AC763,'Currency Sheet'!A:C,3,)</f>
        <v>DOLLAR</v>
      </c>
      <c r="AK763" s="62" t="str">
        <f>VLOOKUP(X763,'Customer List'!B:D,3,)</f>
        <v>OutStation</v>
      </c>
    </row>
    <row r="764" spans="1:37" hidden="1" x14ac:dyDescent="0.25">
      <c r="A764" s="62">
        <f t="shared" si="161"/>
        <v>749</v>
      </c>
      <c r="B764" s="62" t="s">
        <v>537</v>
      </c>
      <c r="C764" s="62" t="s">
        <v>1905</v>
      </c>
      <c r="D764" s="6">
        <v>46128</v>
      </c>
      <c r="E764" s="6">
        <v>46134</v>
      </c>
      <c r="F764" s="63">
        <v>222.44</v>
      </c>
      <c r="G764" s="64">
        <f t="shared" si="155"/>
        <v>19574.72</v>
      </c>
      <c r="H764" s="64">
        <f t="shared" si="156"/>
        <v>19574.72</v>
      </c>
      <c r="I764" s="70" t="s">
        <v>1906</v>
      </c>
      <c r="J764" s="62" t="s">
        <v>1918</v>
      </c>
      <c r="K764" s="8"/>
      <c r="L764" s="10"/>
      <c r="M764" s="62">
        <v>1</v>
      </c>
      <c r="N764" s="8">
        <v>1</v>
      </c>
      <c r="O764" s="62">
        <f t="shared" si="157"/>
        <v>0</v>
      </c>
      <c r="P764" s="70">
        <v>177</v>
      </c>
      <c r="Q764" s="71">
        <v>46136</v>
      </c>
      <c r="R764" s="6">
        <v>46137</v>
      </c>
      <c r="S764" s="64">
        <v>37815.230000000003</v>
      </c>
      <c r="T764" s="22">
        <v>5</v>
      </c>
      <c r="U764" s="64">
        <f t="shared" si="158"/>
        <v>1890.7615000000003</v>
      </c>
      <c r="V764" s="22">
        <v>0.01</v>
      </c>
      <c r="W764" s="22">
        <v>39706</v>
      </c>
      <c r="X764" s="62" t="s">
        <v>1364</v>
      </c>
      <c r="Y764" s="62">
        <v>58164749311</v>
      </c>
      <c r="Z764" s="62" t="s">
        <v>1112</v>
      </c>
      <c r="AA764" s="65">
        <v>4</v>
      </c>
      <c r="AB764" s="66"/>
      <c r="AC764" s="1" t="s">
        <v>537</v>
      </c>
      <c r="AD764" s="62" t="str">
        <f>VLOOKUP(X764,'Customer List'!B:C,2,)</f>
        <v>Kolkata</v>
      </c>
      <c r="AE764" s="67"/>
      <c r="AF764" s="6">
        <v>46139</v>
      </c>
      <c r="AG764" s="62">
        <f t="shared" si="159"/>
        <v>2</v>
      </c>
      <c r="AH764" s="62" t="str">
        <f t="shared" si="160"/>
        <v>Sunday</v>
      </c>
      <c r="AI764" s="62" t="str">
        <f t="shared" si="153"/>
        <v>Monday</v>
      </c>
      <c r="AJ764" s="62" t="str">
        <f>VLOOKUP(AC764,'Currency Sheet'!A:C,3,)</f>
        <v>DOLLAR</v>
      </c>
      <c r="AK764" s="62" t="str">
        <f>VLOOKUP(X764,'Customer List'!B:D,3,)</f>
        <v>OutStation</v>
      </c>
    </row>
    <row r="765" spans="1:37" hidden="1" x14ac:dyDescent="0.25">
      <c r="A765" s="62">
        <f t="shared" si="161"/>
        <v>750</v>
      </c>
      <c r="B765" s="62" t="s">
        <v>537</v>
      </c>
      <c r="C765" s="62" t="s">
        <v>1919</v>
      </c>
      <c r="D765" s="6">
        <v>46128</v>
      </c>
      <c r="E765" s="6">
        <v>46134</v>
      </c>
      <c r="F765" s="63">
        <v>23.92</v>
      </c>
      <c r="G765" s="64">
        <f t="shared" si="155"/>
        <v>2104.96</v>
      </c>
      <c r="H765" s="64">
        <f t="shared" si="156"/>
        <v>2104.96</v>
      </c>
      <c r="I765" s="70" t="s">
        <v>1920</v>
      </c>
      <c r="J765" s="62" t="s">
        <v>1921</v>
      </c>
      <c r="K765" s="8"/>
      <c r="L765" s="10"/>
      <c r="M765" s="62">
        <v>1</v>
      </c>
      <c r="N765" s="8">
        <v>1</v>
      </c>
      <c r="O765" s="62">
        <f t="shared" si="157"/>
        <v>0</v>
      </c>
      <c r="P765" s="70">
        <v>231</v>
      </c>
      <c r="Q765" s="71">
        <v>46141</v>
      </c>
      <c r="R765" s="6">
        <v>46141</v>
      </c>
      <c r="S765" s="64">
        <v>4337.04</v>
      </c>
      <c r="T765" s="22">
        <v>5</v>
      </c>
      <c r="U765" s="64">
        <f t="shared" si="158"/>
        <v>216.852</v>
      </c>
      <c r="V765" s="22">
        <v>0.1</v>
      </c>
      <c r="W765" s="22">
        <v>4554</v>
      </c>
      <c r="X765" s="62" t="s">
        <v>807</v>
      </c>
      <c r="Y765" s="62" t="s">
        <v>1120</v>
      </c>
      <c r="Z765" s="62" t="s">
        <v>1863</v>
      </c>
      <c r="AA765" s="65">
        <v>4</v>
      </c>
      <c r="AB765" s="66"/>
      <c r="AC765" s="1" t="s">
        <v>537</v>
      </c>
      <c r="AD765" s="62" t="str">
        <f>VLOOKUP(X765,'Customer List'!B:C,2,)</f>
        <v>Delhi</v>
      </c>
      <c r="AE765" s="67"/>
      <c r="AF765" s="6"/>
      <c r="AG765" s="62" t="str">
        <f t="shared" si="159"/>
        <v/>
      </c>
      <c r="AH765" s="62" t="str">
        <f t="shared" si="160"/>
        <v>Wednesday</v>
      </c>
      <c r="AI765" s="62" t="str">
        <f t="shared" ref="AI765:AI828" si="162">IF(AF765="", "", TEXT(AF765, "dddd"))</f>
        <v/>
      </c>
      <c r="AJ765" s="62" t="str">
        <f>VLOOKUP(AC765,'Currency Sheet'!A:C,3,)</f>
        <v>DOLLAR</v>
      </c>
      <c r="AK765" s="62" t="str">
        <f>VLOOKUP(X765,'Customer List'!B:D,3,)</f>
        <v>Local</v>
      </c>
    </row>
    <row r="766" spans="1:37" s="56" customFormat="1" hidden="1" x14ac:dyDescent="0.25">
      <c r="A766" s="48">
        <f t="shared" si="161"/>
        <v>751</v>
      </c>
      <c r="B766" s="48" t="s">
        <v>1369</v>
      </c>
      <c r="C766" s="48" t="s">
        <v>1907</v>
      </c>
      <c r="D766" s="50">
        <v>46129</v>
      </c>
      <c r="E766" s="50">
        <v>46134</v>
      </c>
      <c r="F766" s="57">
        <v>7860</v>
      </c>
      <c r="G766" s="51">
        <f t="shared" si="155"/>
        <v>7860</v>
      </c>
      <c r="H766" s="64">
        <f t="shared" si="156"/>
        <v>7860</v>
      </c>
      <c r="I766" s="58">
        <v>114025032</v>
      </c>
      <c r="J766" s="48"/>
      <c r="K766" s="47"/>
      <c r="L766" s="49"/>
      <c r="M766" s="48">
        <v>1</v>
      </c>
      <c r="N766" s="47">
        <v>1</v>
      </c>
      <c r="O766" s="48">
        <f t="shared" si="157"/>
        <v>0</v>
      </c>
      <c r="P766" s="58">
        <v>198</v>
      </c>
      <c r="Q766" s="59">
        <v>46139</v>
      </c>
      <c r="R766" s="50">
        <v>46139</v>
      </c>
      <c r="S766" s="51">
        <v>9432</v>
      </c>
      <c r="T766" s="52">
        <v>18</v>
      </c>
      <c r="U766" s="51">
        <f t="shared" si="158"/>
        <v>1697.76</v>
      </c>
      <c r="V766" s="52">
        <v>0.24</v>
      </c>
      <c r="W766" s="52">
        <v>11130</v>
      </c>
      <c r="X766" s="48" t="s">
        <v>793</v>
      </c>
      <c r="Y766" s="48" t="s">
        <v>1120</v>
      </c>
      <c r="Z766" s="48" t="s">
        <v>1863</v>
      </c>
      <c r="AA766" s="53" t="s">
        <v>808</v>
      </c>
      <c r="AB766" s="54"/>
      <c r="AC766" s="60" t="s">
        <v>1369</v>
      </c>
      <c r="AD766" s="48" t="str">
        <f>VLOOKUP(X766,'Customer List'!B:C,2,)</f>
        <v>Delhi</v>
      </c>
      <c r="AE766" s="55"/>
      <c r="AF766" s="50"/>
      <c r="AG766" s="48" t="str">
        <f t="shared" si="159"/>
        <v/>
      </c>
      <c r="AH766" s="48" t="str">
        <f t="shared" si="160"/>
        <v>Tuesday</v>
      </c>
      <c r="AI766" s="48" t="str">
        <f t="shared" si="162"/>
        <v/>
      </c>
      <c r="AJ766" s="48" t="str">
        <f>VLOOKUP(AC766,'Currency Sheet'!A:C,3,)</f>
        <v>INR</v>
      </c>
      <c r="AK766" s="48" t="str">
        <f>VLOOKUP(X766,'Customer List'!B:D,3,)</f>
        <v>Local</v>
      </c>
    </row>
    <row r="767" spans="1:37" hidden="1" x14ac:dyDescent="0.25">
      <c r="A767" s="62">
        <f t="shared" si="161"/>
        <v>752</v>
      </c>
      <c r="B767" s="62" t="s">
        <v>1369</v>
      </c>
      <c r="C767" s="62" t="s">
        <v>1907</v>
      </c>
      <c r="D767" s="6">
        <v>46129</v>
      </c>
      <c r="E767" s="6">
        <v>46134</v>
      </c>
      <c r="F767" s="63">
        <v>1100</v>
      </c>
      <c r="G767" s="64">
        <f t="shared" si="155"/>
        <v>1100</v>
      </c>
      <c r="H767" s="64">
        <f t="shared" si="156"/>
        <v>11000</v>
      </c>
      <c r="I767" s="70" t="s">
        <v>1908</v>
      </c>
      <c r="J767" s="62"/>
      <c r="K767" s="8"/>
      <c r="L767" s="10"/>
      <c r="M767" s="62">
        <v>10</v>
      </c>
      <c r="N767" s="8"/>
      <c r="O767" s="62">
        <f t="shared" si="157"/>
        <v>10</v>
      </c>
      <c r="P767" s="70"/>
      <c r="Q767" s="71"/>
      <c r="R767" s="6"/>
      <c r="S767" s="64"/>
      <c r="T767" s="22">
        <v>5</v>
      </c>
      <c r="U767" s="64">
        <f t="shared" si="158"/>
        <v>0</v>
      </c>
      <c r="V767" s="22"/>
      <c r="W767" s="22"/>
      <c r="X767" s="62" t="s">
        <v>257</v>
      </c>
      <c r="Y767" s="62"/>
      <c r="Z767" s="62"/>
      <c r="AA767" s="65">
        <v>4</v>
      </c>
      <c r="AB767" s="66"/>
      <c r="AC767" s="1" t="s">
        <v>1369</v>
      </c>
      <c r="AD767" s="62" t="str">
        <f>VLOOKUP(X767,'Customer List'!B:C,2,)</f>
        <v>STOCK</v>
      </c>
      <c r="AE767" s="67"/>
      <c r="AF767" s="6"/>
      <c r="AG767" s="62" t="str">
        <f t="shared" si="159"/>
        <v/>
      </c>
      <c r="AH767" s="62" t="str">
        <f t="shared" si="160"/>
        <v/>
      </c>
      <c r="AI767" s="62" t="str">
        <f t="shared" si="162"/>
        <v/>
      </c>
      <c r="AJ767" s="62" t="str">
        <f>VLOOKUP(AC767,'Currency Sheet'!A:C,3,)</f>
        <v>INR</v>
      </c>
      <c r="AK767" s="62" t="str">
        <f>VLOOKUP(X767,'Customer List'!B:D,3,)</f>
        <v>STOCK</v>
      </c>
    </row>
    <row r="768" spans="1:37" s="56" customFormat="1" hidden="1" x14ac:dyDescent="0.25">
      <c r="A768" s="48">
        <f t="shared" si="161"/>
        <v>753</v>
      </c>
      <c r="B768" s="48" t="s">
        <v>1369</v>
      </c>
      <c r="C768" s="48" t="s">
        <v>1909</v>
      </c>
      <c r="D768" s="50">
        <v>46129</v>
      </c>
      <c r="E768" s="50">
        <v>46134</v>
      </c>
      <c r="F768" s="57">
        <v>3194.25</v>
      </c>
      <c r="G768" s="51">
        <f t="shared" si="155"/>
        <v>3194.25</v>
      </c>
      <c r="H768" s="51">
        <f t="shared" si="156"/>
        <v>3194.25</v>
      </c>
      <c r="I768" s="58" t="s">
        <v>1910</v>
      </c>
      <c r="J768" s="48"/>
      <c r="K768" s="47"/>
      <c r="L768" s="49"/>
      <c r="M768" s="48">
        <v>1</v>
      </c>
      <c r="N768" s="47">
        <v>1</v>
      </c>
      <c r="O768" s="48">
        <f t="shared" si="157"/>
        <v>0</v>
      </c>
      <c r="P768" s="58" t="s">
        <v>2478</v>
      </c>
      <c r="Q768" s="59">
        <v>46153</v>
      </c>
      <c r="R768" s="50">
        <v>46153</v>
      </c>
      <c r="S768" s="51">
        <v>0</v>
      </c>
      <c r="T768" s="52">
        <v>18</v>
      </c>
      <c r="U768" s="51">
        <f t="shared" si="158"/>
        <v>0</v>
      </c>
      <c r="V768" s="52">
        <v>0</v>
      </c>
      <c r="W768" s="52">
        <v>0</v>
      </c>
      <c r="X768" s="48" t="s">
        <v>797</v>
      </c>
      <c r="Y768" s="48" t="s">
        <v>1120</v>
      </c>
      <c r="Z768" s="48" t="s">
        <v>1863</v>
      </c>
      <c r="AA768" s="53">
        <v>-20</v>
      </c>
      <c r="AB768" s="54" t="s">
        <v>2479</v>
      </c>
      <c r="AC768" s="60" t="s">
        <v>1369</v>
      </c>
      <c r="AD768" s="48" t="str">
        <f>VLOOKUP(X768,'Customer List'!B:C,2,)</f>
        <v>Delhi</v>
      </c>
      <c r="AE768" s="55"/>
      <c r="AF768" s="50"/>
      <c r="AG768" s="48" t="str">
        <f t="shared" si="159"/>
        <v/>
      </c>
      <c r="AH768" s="48" t="str">
        <f t="shared" si="160"/>
        <v>Saturday</v>
      </c>
      <c r="AI768" s="48" t="str">
        <f t="shared" si="162"/>
        <v/>
      </c>
      <c r="AJ768" s="48" t="str">
        <f>VLOOKUP(AC768,'Currency Sheet'!A:C,3,)</f>
        <v>INR</v>
      </c>
      <c r="AK768" s="48" t="str">
        <f>VLOOKUP(X768,'Customer List'!B:D,3,)</f>
        <v>Local</v>
      </c>
    </row>
    <row r="769" spans="1:37" s="56" customFormat="1" hidden="1" x14ac:dyDescent="0.25">
      <c r="A769" s="48">
        <f t="shared" si="161"/>
        <v>754</v>
      </c>
      <c r="B769" s="48" t="s">
        <v>1369</v>
      </c>
      <c r="C769" s="48" t="s">
        <v>1911</v>
      </c>
      <c r="D769" s="50">
        <v>46129</v>
      </c>
      <c r="E769" s="50">
        <v>46134</v>
      </c>
      <c r="F769" s="57">
        <v>1047.75</v>
      </c>
      <c r="G769" s="51">
        <f t="shared" si="155"/>
        <v>1047.75</v>
      </c>
      <c r="H769" s="64">
        <f t="shared" si="156"/>
        <v>2095.5</v>
      </c>
      <c r="I769" s="58">
        <v>112200205</v>
      </c>
      <c r="J769" s="48"/>
      <c r="K769" s="47"/>
      <c r="L769" s="49"/>
      <c r="M769" s="48">
        <v>2</v>
      </c>
      <c r="N769" s="47">
        <v>2</v>
      </c>
      <c r="O769" s="48">
        <f t="shared" si="157"/>
        <v>0</v>
      </c>
      <c r="P769" s="58">
        <v>199</v>
      </c>
      <c r="Q769" s="59">
        <v>46139</v>
      </c>
      <c r="R769" s="50">
        <v>46139</v>
      </c>
      <c r="S769" s="51">
        <v>2514.8000000000002</v>
      </c>
      <c r="T769" s="52">
        <v>5</v>
      </c>
      <c r="U769" s="51">
        <f t="shared" si="158"/>
        <v>125.74000000000001</v>
      </c>
      <c r="V769" s="52">
        <v>0.46</v>
      </c>
      <c r="W769" s="52">
        <v>2641</v>
      </c>
      <c r="X769" s="48" t="s">
        <v>793</v>
      </c>
      <c r="Y769" s="48" t="s">
        <v>1120</v>
      </c>
      <c r="Z769" s="48" t="s">
        <v>1863</v>
      </c>
      <c r="AA769" s="53">
        <v>4</v>
      </c>
      <c r="AB769" s="54"/>
      <c r="AC769" s="60" t="s">
        <v>1369</v>
      </c>
      <c r="AD769" s="48" t="str">
        <f>VLOOKUP(X769,'Customer List'!B:C,2,)</f>
        <v>Delhi</v>
      </c>
      <c r="AE769" s="55"/>
      <c r="AF769" s="50"/>
      <c r="AG769" s="48" t="str">
        <f t="shared" si="159"/>
        <v/>
      </c>
      <c r="AH769" s="48" t="str">
        <f t="shared" si="160"/>
        <v>Sunday</v>
      </c>
      <c r="AI769" s="48" t="str">
        <f t="shared" si="162"/>
        <v/>
      </c>
      <c r="AJ769" s="48" t="str">
        <f>VLOOKUP(AC769,'Currency Sheet'!A:C,3,)</f>
        <v>INR</v>
      </c>
      <c r="AK769" s="48" t="str">
        <f>VLOOKUP(X769,'Customer List'!B:D,3,)</f>
        <v>Local</v>
      </c>
    </row>
    <row r="770" spans="1:37" hidden="1" x14ac:dyDescent="0.25">
      <c r="A770" s="62">
        <f t="shared" si="161"/>
        <v>755</v>
      </c>
      <c r="B770" s="62" t="s">
        <v>1369</v>
      </c>
      <c r="C770" s="62" t="s">
        <v>1933</v>
      </c>
      <c r="D770" s="6">
        <v>46132</v>
      </c>
      <c r="E770" s="6">
        <v>46135</v>
      </c>
      <c r="F770" s="63">
        <v>1100</v>
      </c>
      <c r="G770" s="64">
        <f t="shared" si="155"/>
        <v>1100</v>
      </c>
      <c r="H770" s="64">
        <f t="shared" si="156"/>
        <v>22000</v>
      </c>
      <c r="I770" s="70" t="s">
        <v>1908</v>
      </c>
      <c r="J770" s="62"/>
      <c r="K770" s="8"/>
      <c r="L770" s="10"/>
      <c r="M770" s="62">
        <v>20</v>
      </c>
      <c r="N770" s="8"/>
      <c r="O770" s="62">
        <f t="shared" si="157"/>
        <v>20</v>
      </c>
      <c r="P770" s="70"/>
      <c r="Q770" s="71"/>
      <c r="R770" s="6"/>
      <c r="S770" s="64"/>
      <c r="T770" s="22">
        <v>5</v>
      </c>
      <c r="U770" s="64">
        <f t="shared" si="158"/>
        <v>0</v>
      </c>
      <c r="V770" s="22"/>
      <c r="W770" s="22"/>
      <c r="X770" s="62" t="s">
        <v>257</v>
      </c>
      <c r="Y770" s="62"/>
      <c r="Z770" s="62"/>
      <c r="AA770" s="65">
        <v>4</v>
      </c>
      <c r="AB770" s="66"/>
      <c r="AC770" s="1" t="s">
        <v>1369</v>
      </c>
      <c r="AD770" s="62" t="str">
        <f>VLOOKUP(X770,'Customer List'!B:C,2,)</f>
        <v>STOCK</v>
      </c>
      <c r="AE770" s="67"/>
      <c r="AF770" s="6"/>
      <c r="AG770" s="62" t="str">
        <f t="shared" si="159"/>
        <v/>
      </c>
      <c r="AH770" s="62" t="str">
        <f t="shared" si="160"/>
        <v/>
      </c>
      <c r="AI770" s="62" t="str">
        <f t="shared" si="162"/>
        <v/>
      </c>
      <c r="AJ770" s="62" t="str">
        <f>VLOOKUP(AC770,'Currency Sheet'!A:C,3,)</f>
        <v>INR</v>
      </c>
      <c r="AK770" s="62" t="str">
        <f>VLOOKUP(X770,'Customer List'!B:D,3,)</f>
        <v>STOCK</v>
      </c>
    </row>
    <row r="771" spans="1:37" hidden="1" x14ac:dyDescent="0.25">
      <c r="A771" s="62">
        <f t="shared" si="161"/>
        <v>756</v>
      </c>
      <c r="B771" s="62" t="s">
        <v>31</v>
      </c>
      <c r="C771" s="62">
        <v>188584</v>
      </c>
      <c r="D771" s="6">
        <v>46126</v>
      </c>
      <c r="E771" s="6">
        <v>46135</v>
      </c>
      <c r="F771" s="63">
        <v>121.8</v>
      </c>
      <c r="G771" s="64">
        <f t="shared" si="155"/>
        <v>10718.4</v>
      </c>
      <c r="H771" s="64">
        <f t="shared" si="156"/>
        <v>10718.4</v>
      </c>
      <c r="I771" s="70" t="s">
        <v>1934</v>
      </c>
      <c r="J771" s="62"/>
      <c r="K771" s="8"/>
      <c r="L771" s="10"/>
      <c r="M771" s="62">
        <v>1</v>
      </c>
      <c r="N771" s="8">
        <v>1</v>
      </c>
      <c r="O771" s="62">
        <f t="shared" si="157"/>
        <v>0</v>
      </c>
      <c r="P771" s="70">
        <v>170</v>
      </c>
      <c r="Q771" s="71">
        <v>46136</v>
      </c>
      <c r="R771" s="6">
        <v>46137</v>
      </c>
      <c r="S771" s="64">
        <v>8170.75</v>
      </c>
      <c r="T771" s="22">
        <v>5</v>
      </c>
      <c r="U771" s="64">
        <f t="shared" si="158"/>
        <v>408.53750000000002</v>
      </c>
      <c r="V771" s="22">
        <v>-0.28999999999999998</v>
      </c>
      <c r="W771" s="22">
        <v>8579</v>
      </c>
      <c r="X771" s="62" t="s">
        <v>37</v>
      </c>
      <c r="Y771" s="62">
        <v>58164747163</v>
      </c>
      <c r="Z771" s="62" t="s">
        <v>1112</v>
      </c>
      <c r="AA771" s="65">
        <v>4</v>
      </c>
      <c r="AB771" s="66"/>
      <c r="AC771" s="1" t="s">
        <v>1435</v>
      </c>
      <c r="AD771" s="62" t="str">
        <f>VLOOKUP(X771,'Customer List'!B:C,2,)</f>
        <v>Hyderabad</v>
      </c>
      <c r="AE771" s="67"/>
      <c r="AF771" s="6">
        <v>46139</v>
      </c>
      <c r="AG771" s="62">
        <f t="shared" si="159"/>
        <v>2</v>
      </c>
      <c r="AH771" s="62" t="str">
        <f t="shared" si="160"/>
        <v>Sunday</v>
      </c>
      <c r="AI771" s="62" t="str">
        <f t="shared" si="162"/>
        <v>Monday</v>
      </c>
      <c r="AJ771" s="62" t="str">
        <f>VLOOKUP(AC771,'Currency Sheet'!A:C,3,)</f>
        <v>DOLLAR</v>
      </c>
      <c r="AK771" s="62" t="str">
        <f>VLOOKUP(X771,'Customer List'!B:D,3,)</f>
        <v>OutStation</v>
      </c>
    </row>
    <row r="772" spans="1:37" hidden="1" x14ac:dyDescent="0.25">
      <c r="A772" s="62">
        <f t="shared" si="161"/>
        <v>757</v>
      </c>
      <c r="B772" s="62" t="s">
        <v>31</v>
      </c>
      <c r="C772" s="62">
        <v>188584</v>
      </c>
      <c r="D772" s="6">
        <v>46126</v>
      </c>
      <c r="E772" s="6">
        <v>46135</v>
      </c>
      <c r="F772" s="63">
        <v>121.8</v>
      </c>
      <c r="G772" s="64">
        <f t="shared" si="155"/>
        <v>10718.4</v>
      </c>
      <c r="H772" s="64">
        <f t="shared" si="156"/>
        <v>10718.4</v>
      </c>
      <c r="I772" s="70" t="s">
        <v>1934</v>
      </c>
      <c r="J772" s="62"/>
      <c r="K772" s="8"/>
      <c r="L772" s="10"/>
      <c r="M772" s="62">
        <v>1</v>
      </c>
      <c r="N772" s="8">
        <v>1</v>
      </c>
      <c r="O772" s="62">
        <f t="shared" si="157"/>
        <v>0</v>
      </c>
      <c r="P772" s="70">
        <v>169</v>
      </c>
      <c r="Q772" s="71">
        <v>46136</v>
      </c>
      <c r="R772" s="6">
        <v>46137</v>
      </c>
      <c r="S772" s="64">
        <v>8170.75</v>
      </c>
      <c r="T772" s="22">
        <v>5</v>
      </c>
      <c r="U772" s="64">
        <f t="shared" si="158"/>
        <v>408.53750000000002</v>
      </c>
      <c r="V772" s="22">
        <v>-0.28999999999999998</v>
      </c>
      <c r="W772" s="22">
        <v>8579</v>
      </c>
      <c r="X772" s="62" t="s">
        <v>37</v>
      </c>
      <c r="Y772" s="62">
        <v>58164747163</v>
      </c>
      <c r="Z772" s="62" t="s">
        <v>1112</v>
      </c>
      <c r="AA772" s="65">
        <v>4</v>
      </c>
      <c r="AB772" s="66"/>
      <c r="AC772" s="1" t="s">
        <v>1435</v>
      </c>
      <c r="AD772" s="62" t="str">
        <f>VLOOKUP(X772,'Customer List'!B:C,2,)</f>
        <v>Hyderabad</v>
      </c>
      <c r="AE772" s="67"/>
      <c r="AF772" s="6">
        <v>46139</v>
      </c>
      <c r="AG772" s="62">
        <f t="shared" si="159"/>
        <v>2</v>
      </c>
      <c r="AH772" s="62" t="str">
        <f t="shared" si="160"/>
        <v>Sunday</v>
      </c>
      <c r="AI772" s="62" t="str">
        <f t="shared" si="162"/>
        <v>Monday</v>
      </c>
      <c r="AJ772" s="62" t="str">
        <f>VLOOKUP(AC772,'Currency Sheet'!A:C,3,)</f>
        <v>DOLLAR</v>
      </c>
      <c r="AK772" s="62" t="str">
        <f>VLOOKUP(X772,'Customer List'!B:D,3,)</f>
        <v>OutStation</v>
      </c>
    </row>
    <row r="773" spans="1:37" hidden="1" x14ac:dyDescent="0.25">
      <c r="A773" s="62">
        <f t="shared" si="161"/>
        <v>758</v>
      </c>
      <c r="B773" s="62" t="s">
        <v>31</v>
      </c>
      <c r="C773" s="62">
        <v>188584</v>
      </c>
      <c r="D773" s="6">
        <v>46126</v>
      </c>
      <c r="E773" s="6">
        <v>46135</v>
      </c>
      <c r="F773" s="63">
        <v>3968.7</v>
      </c>
      <c r="G773" s="64">
        <f t="shared" si="155"/>
        <v>349245.6</v>
      </c>
      <c r="H773" s="64">
        <f t="shared" si="156"/>
        <v>349245.6</v>
      </c>
      <c r="I773" s="70" t="s">
        <v>1935</v>
      </c>
      <c r="J773" s="62"/>
      <c r="K773" s="8"/>
      <c r="L773" s="10"/>
      <c r="M773" s="62">
        <v>1</v>
      </c>
      <c r="N773" s="8">
        <v>1</v>
      </c>
      <c r="O773" s="62">
        <f t="shared" si="157"/>
        <v>0</v>
      </c>
      <c r="P773" s="70">
        <v>171</v>
      </c>
      <c r="Q773" s="71">
        <v>46136</v>
      </c>
      <c r="R773" s="6">
        <v>46137</v>
      </c>
      <c r="S773" s="64">
        <v>517254</v>
      </c>
      <c r="T773" s="22">
        <v>5</v>
      </c>
      <c r="U773" s="64">
        <f t="shared" si="158"/>
        <v>25862.7</v>
      </c>
      <c r="V773" s="22">
        <v>0.3</v>
      </c>
      <c r="W773" s="22">
        <v>543117</v>
      </c>
      <c r="X773" s="62" t="s">
        <v>1448</v>
      </c>
      <c r="Y773" s="62">
        <v>58164747163</v>
      </c>
      <c r="Z773" s="62" t="s">
        <v>1112</v>
      </c>
      <c r="AA773" s="65">
        <v>4</v>
      </c>
      <c r="AB773" s="66"/>
      <c r="AC773" s="1" t="s">
        <v>1435</v>
      </c>
      <c r="AD773" s="62" t="str">
        <f>VLOOKUP(X773,'Customer List'!B:C,2,)</f>
        <v>Hyderabad</v>
      </c>
      <c r="AE773" s="67"/>
      <c r="AF773" s="6">
        <v>46139</v>
      </c>
      <c r="AG773" s="62">
        <f t="shared" si="159"/>
        <v>2</v>
      </c>
      <c r="AH773" s="62" t="str">
        <f t="shared" si="160"/>
        <v>Tuesday</v>
      </c>
      <c r="AI773" s="62" t="str">
        <f t="shared" si="162"/>
        <v>Monday</v>
      </c>
      <c r="AJ773" s="62" t="str">
        <f>VLOOKUP(AC773,'Currency Sheet'!A:C,3,)</f>
        <v>DOLLAR</v>
      </c>
      <c r="AK773" s="62" t="str">
        <f>VLOOKUP(X773,'Customer List'!B:D,3,)</f>
        <v>OutStation</v>
      </c>
    </row>
    <row r="774" spans="1:37" hidden="1" x14ac:dyDescent="0.25">
      <c r="A774" s="62">
        <f t="shared" si="161"/>
        <v>759</v>
      </c>
      <c r="B774" s="62" t="s">
        <v>1940</v>
      </c>
      <c r="C774" s="62">
        <v>926405</v>
      </c>
      <c r="D774" s="6">
        <v>46132</v>
      </c>
      <c r="E774" s="6">
        <v>46137</v>
      </c>
      <c r="F774" s="63">
        <v>480.25</v>
      </c>
      <c r="G774" s="64">
        <f t="shared" si="155"/>
        <v>42262</v>
      </c>
      <c r="H774" s="64">
        <f t="shared" si="156"/>
        <v>42262</v>
      </c>
      <c r="I774" s="70" t="s">
        <v>1941</v>
      </c>
      <c r="J774" s="62"/>
      <c r="K774" s="8"/>
      <c r="L774" s="10"/>
      <c r="M774" s="62">
        <v>1</v>
      </c>
      <c r="N774" s="8">
        <v>1</v>
      </c>
      <c r="O774" s="62">
        <f t="shared" si="157"/>
        <v>0</v>
      </c>
      <c r="P774" s="70">
        <v>202</v>
      </c>
      <c r="Q774" s="71">
        <v>46139</v>
      </c>
      <c r="R774" s="6">
        <v>46139</v>
      </c>
      <c r="S774" s="64">
        <v>57206.25</v>
      </c>
      <c r="T774" s="22">
        <v>5</v>
      </c>
      <c r="U774" s="64">
        <f t="shared" si="158"/>
        <v>2860.3125</v>
      </c>
      <c r="V774" s="22">
        <v>0.44</v>
      </c>
      <c r="W774" s="22">
        <v>60067</v>
      </c>
      <c r="X774" s="62" t="s">
        <v>240</v>
      </c>
      <c r="Y774" s="62">
        <v>58164800411</v>
      </c>
      <c r="Z774" s="62" t="s">
        <v>1112</v>
      </c>
      <c r="AA774" s="65">
        <v>-20</v>
      </c>
      <c r="AB774" s="66"/>
      <c r="AC774" s="1" t="s">
        <v>1943</v>
      </c>
      <c r="AD774" s="62" t="str">
        <f>VLOOKUP(X774,'Customer List'!B:C,2,)</f>
        <v>Kolkata</v>
      </c>
      <c r="AE774" s="67"/>
      <c r="AF774" s="6">
        <v>46141</v>
      </c>
      <c r="AG774" s="62">
        <f t="shared" si="159"/>
        <v>2</v>
      </c>
      <c r="AH774" s="62" t="str">
        <f t="shared" si="160"/>
        <v>Monday</v>
      </c>
      <c r="AI774" s="62" t="str">
        <f t="shared" si="162"/>
        <v>Wednesday</v>
      </c>
      <c r="AJ774" s="62" t="str">
        <f>VLOOKUP(AC774,'Currency Sheet'!A:C,3,)</f>
        <v>DOLLAR</v>
      </c>
      <c r="AK774" s="62" t="str">
        <f>VLOOKUP(X774,'Customer List'!B:D,3,)</f>
        <v>OutStation</v>
      </c>
    </row>
    <row r="775" spans="1:37" hidden="1" x14ac:dyDescent="0.25">
      <c r="A775" s="62">
        <f t="shared" si="161"/>
        <v>760</v>
      </c>
      <c r="B775" s="62" t="s">
        <v>1940</v>
      </c>
      <c r="C775" s="62">
        <v>926566</v>
      </c>
      <c r="D775" s="6">
        <v>46132</v>
      </c>
      <c r="E775" s="6">
        <v>46137</v>
      </c>
      <c r="F775" s="63">
        <v>323</v>
      </c>
      <c r="G775" s="64">
        <f t="shared" si="155"/>
        <v>28424</v>
      </c>
      <c r="H775" s="64">
        <f t="shared" si="156"/>
        <v>28424</v>
      </c>
      <c r="I775" s="70" t="s">
        <v>1942</v>
      </c>
      <c r="J775" s="62"/>
      <c r="K775" s="8"/>
      <c r="L775" s="10"/>
      <c r="M775" s="62">
        <v>1</v>
      </c>
      <c r="N775" s="8">
        <v>1</v>
      </c>
      <c r="O775" s="62">
        <f t="shared" si="157"/>
        <v>0</v>
      </c>
      <c r="P775" s="70" t="s">
        <v>2009</v>
      </c>
      <c r="Q775" s="71">
        <v>46139</v>
      </c>
      <c r="R775" s="6">
        <v>46139</v>
      </c>
      <c r="S775" s="64">
        <v>38475</v>
      </c>
      <c r="T775" s="22">
        <v>0</v>
      </c>
      <c r="U775" s="64">
        <f t="shared" si="158"/>
        <v>0</v>
      </c>
      <c r="V775" s="22">
        <v>0</v>
      </c>
      <c r="W775" s="22">
        <v>38475</v>
      </c>
      <c r="X775" s="62" t="s">
        <v>1594</v>
      </c>
      <c r="Y775" s="62">
        <v>58164796152</v>
      </c>
      <c r="Z775" s="62" t="s">
        <v>1112</v>
      </c>
      <c r="AA775" s="65">
        <v>-20</v>
      </c>
      <c r="AB775" s="66"/>
      <c r="AC775" s="1" t="s">
        <v>1943</v>
      </c>
      <c r="AD775" s="62" t="str">
        <f>VLOOKUP(X775,'Customer List'!B:C,2,)</f>
        <v>Banglore</v>
      </c>
      <c r="AE775" s="67"/>
      <c r="AF775" s="6">
        <v>46140</v>
      </c>
      <c r="AG775" s="62">
        <f t="shared" si="159"/>
        <v>1</v>
      </c>
      <c r="AH775" s="62" t="str">
        <f t="shared" si="160"/>
        <v>Tuesday</v>
      </c>
      <c r="AI775" s="62" t="str">
        <f t="shared" si="162"/>
        <v>Tuesday</v>
      </c>
      <c r="AJ775" s="62" t="str">
        <f>VLOOKUP(AC775,'Currency Sheet'!A:C,3,)</f>
        <v>DOLLAR</v>
      </c>
      <c r="AK775" s="62" t="str">
        <f>VLOOKUP(X775,'Customer List'!B:D,3,)</f>
        <v>OutStation</v>
      </c>
    </row>
    <row r="776" spans="1:37" hidden="1" x14ac:dyDescent="0.25">
      <c r="A776" s="62">
        <f t="shared" si="161"/>
        <v>761</v>
      </c>
      <c r="B776" s="62" t="s">
        <v>1663</v>
      </c>
      <c r="C776" s="62" t="s">
        <v>1944</v>
      </c>
      <c r="D776" s="6">
        <v>46133</v>
      </c>
      <c r="E776" s="6">
        <v>46137</v>
      </c>
      <c r="F776" s="63">
        <v>38.4</v>
      </c>
      <c r="G776" s="64">
        <f t="shared" si="155"/>
        <v>3379.2</v>
      </c>
      <c r="H776" s="64">
        <f t="shared" si="156"/>
        <v>3379.2</v>
      </c>
      <c r="I776" s="70" t="s">
        <v>1945</v>
      </c>
      <c r="J776" s="62"/>
      <c r="K776" s="8"/>
      <c r="L776" s="10"/>
      <c r="M776" s="62">
        <v>1</v>
      </c>
      <c r="N776" s="8">
        <v>1</v>
      </c>
      <c r="O776" s="62">
        <f t="shared" si="157"/>
        <v>0</v>
      </c>
      <c r="P776" s="70">
        <v>203</v>
      </c>
      <c r="Q776" s="71">
        <v>46139</v>
      </c>
      <c r="R776" s="6">
        <v>46139</v>
      </c>
      <c r="S776" s="64">
        <v>6496</v>
      </c>
      <c r="T776" s="22">
        <v>5</v>
      </c>
      <c r="U776" s="64">
        <f t="shared" si="158"/>
        <v>324.8</v>
      </c>
      <c r="V776" s="22">
        <v>0.2</v>
      </c>
      <c r="W776" s="22">
        <v>6821</v>
      </c>
      <c r="X776" s="62" t="s">
        <v>1596</v>
      </c>
      <c r="Y776" s="62">
        <v>58164800901</v>
      </c>
      <c r="Z776" s="62" t="s">
        <v>1112</v>
      </c>
      <c r="AA776" s="65">
        <v>-20</v>
      </c>
      <c r="AB776" s="66"/>
      <c r="AC776" s="1" t="s">
        <v>1663</v>
      </c>
      <c r="AD776" s="62" t="str">
        <f>VLOOKUP(X776,'Customer List'!B:C,2,)</f>
        <v>Gujrat</v>
      </c>
      <c r="AE776" s="67"/>
      <c r="AF776" s="6">
        <v>46140</v>
      </c>
      <c r="AG776" s="62">
        <f t="shared" si="159"/>
        <v>1</v>
      </c>
      <c r="AH776" s="62" t="str">
        <f t="shared" si="160"/>
        <v>Saturday</v>
      </c>
      <c r="AI776" s="62" t="str">
        <f t="shared" si="162"/>
        <v>Tuesday</v>
      </c>
      <c r="AJ776" s="62" t="str">
        <f>VLOOKUP(AC776,'Currency Sheet'!A:C,3,)</f>
        <v>DOLLAR</v>
      </c>
      <c r="AK776" s="62" t="str">
        <f>VLOOKUP(X776,'Customer List'!B:D,3,)</f>
        <v>OutStation</v>
      </c>
    </row>
    <row r="777" spans="1:37" hidden="1" x14ac:dyDescent="0.25">
      <c r="A777" s="62">
        <f t="shared" si="161"/>
        <v>762</v>
      </c>
      <c r="B777" s="62" t="s">
        <v>1663</v>
      </c>
      <c r="C777" s="62" t="s">
        <v>1946</v>
      </c>
      <c r="D777" s="6">
        <v>46133</v>
      </c>
      <c r="E777" s="6">
        <v>46137</v>
      </c>
      <c r="F777" s="63">
        <v>43.2</v>
      </c>
      <c r="G777" s="64">
        <f t="shared" si="155"/>
        <v>3801.6000000000004</v>
      </c>
      <c r="H777" s="64">
        <f t="shared" si="156"/>
        <v>3801.6000000000004</v>
      </c>
      <c r="I777" s="70" t="s">
        <v>1947</v>
      </c>
      <c r="J777" s="62"/>
      <c r="K777" s="8"/>
      <c r="L777" s="10"/>
      <c r="M777" s="62">
        <v>1</v>
      </c>
      <c r="N777" s="8">
        <v>1</v>
      </c>
      <c r="O777" s="62">
        <f t="shared" si="157"/>
        <v>0</v>
      </c>
      <c r="P777" s="70">
        <v>206</v>
      </c>
      <c r="Q777" s="71">
        <v>46139</v>
      </c>
      <c r="R777" s="6">
        <v>46139</v>
      </c>
      <c r="S777" s="64">
        <v>7308</v>
      </c>
      <c r="T777" s="22">
        <v>5</v>
      </c>
      <c r="U777" s="64">
        <f t="shared" si="158"/>
        <v>365.40000000000003</v>
      </c>
      <c r="V777" s="22">
        <v>1800</v>
      </c>
      <c r="W777" s="22">
        <v>9563</v>
      </c>
      <c r="X777" s="62" t="s">
        <v>1948</v>
      </c>
      <c r="Y777" s="62">
        <v>58164796723</v>
      </c>
      <c r="Z777" s="62" t="s">
        <v>1112</v>
      </c>
      <c r="AA777" s="65">
        <v>-20</v>
      </c>
      <c r="AB777" s="66"/>
      <c r="AC777" s="1" t="s">
        <v>1663</v>
      </c>
      <c r="AD777" s="62" t="str">
        <f>VLOOKUP(X777,'Customer List'!B:C,2,)</f>
        <v>Chennai</v>
      </c>
      <c r="AE777" s="67"/>
      <c r="AF777" s="6">
        <v>46141</v>
      </c>
      <c r="AG777" s="62">
        <f t="shared" si="159"/>
        <v>2</v>
      </c>
      <c r="AH777" s="62" t="str">
        <f t="shared" si="160"/>
        <v>Saturday</v>
      </c>
      <c r="AI777" s="62" t="str">
        <f t="shared" si="162"/>
        <v>Wednesday</v>
      </c>
      <c r="AJ777" s="62" t="str">
        <f>VLOOKUP(AC777,'Currency Sheet'!A:C,3,)</f>
        <v>DOLLAR</v>
      </c>
      <c r="AK777" s="62" t="str">
        <f>VLOOKUP(X777,'Customer List'!B:D,3,)</f>
        <v>OutStation</v>
      </c>
    </row>
    <row r="778" spans="1:37" hidden="1" x14ac:dyDescent="0.25">
      <c r="A778" s="62">
        <f t="shared" si="161"/>
        <v>763</v>
      </c>
      <c r="B778" s="62" t="s">
        <v>1663</v>
      </c>
      <c r="C778" s="62" t="s">
        <v>1949</v>
      </c>
      <c r="D778" s="6">
        <v>46133</v>
      </c>
      <c r="E778" s="6">
        <v>46137</v>
      </c>
      <c r="F778" s="63">
        <v>147.6</v>
      </c>
      <c r="G778" s="64">
        <f t="shared" ref="G778:G841" si="163">IF(AJ778="DOLLAR",F778*88,F778)</f>
        <v>12988.8</v>
      </c>
      <c r="H778" s="64">
        <f t="shared" ref="H778:H841" si="164">G778*M778</f>
        <v>12988.8</v>
      </c>
      <c r="I778" s="70" t="s">
        <v>1950</v>
      </c>
      <c r="J778" s="62"/>
      <c r="K778" s="8"/>
      <c r="L778" s="10"/>
      <c r="M778" s="62">
        <v>1</v>
      </c>
      <c r="N778" s="8">
        <v>1</v>
      </c>
      <c r="O778" s="62">
        <f t="shared" ref="O778:O841" si="165">M778-N778</f>
        <v>0</v>
      </c>
      <c r="P778" s="70" t="s">
        <v>2010</v>
      </c>
      <c r="Q778" s="71">
        <v>46139</v>
      </c>
      <c r="R778" s="6">
        <v>46139</v>
      </c>
      <c r="S778" s="64">
        <v>32103</v>
      </c>
      <c r="T778" s="22">
        <v>5</v>
      </c>
      <c r="U778" s="64">
        <f t="shared" ref="U778:U841" si="166">S778*T778%</f>
        <v>1605.15</v>
      </c>
      <c r="V778" s="22">
        <v>0.08</v>
      </c>
      <c r="W778" s="22">
        <v>399565</v>
      </c>
      <c r="X778" s="62" t="s">
        <v>792</v>
      </c>
      <c r="Y778" s="62" t="s">
        <v>1120</v>
      </c>
      <c r="Z778" s="62" t="s">
        <v>1863</v>
      </c>
      <c r="AA778" s="65">
        <v>-20</v>
      </c>
      <c r="AB778" s="66"/>
      <c r="AC778" s="1" t="s">
        <v>1663</v>
      </c>
      <c r="AD778" s="62" t="str">
        <f>VLOOKUP(X778,'Customer List'!B:C,2,)</f>
        <v>Delhi</v>
      </c>
      <c r="AE778" s="67"/>
      <c r="AF778" s="6"/>
      <c r="AG778" s="62" t="str">
        <f t="shared" ref="AG778:AG841" si="167">IF(AF778="", "", AF778-R778)</f>
        <v/>
      </c>
      <c r="AH778" s="62" t="str">
        <f t="shared" ref="AH778:AH841" si="168">IF(S778="", "", TEXT(S778, "dddd"))</f>
        <v>Sunday</v>
      </c>
      <c r="AI778" s="62" t="str">
        <f t="shared" si="162"/>
        <v/>
      </c>
      <c r="AJ778" s="62" t="str">
        <f>VLOOKUP(AC778,'Currency Sheet'!A:C,3,)</f>
        <v>DOLLAR</v>
      </c>
      <c r="AK778" s="62" t="str">
        <f>VLOOKUP(X778,'Customer List'!B:D,3,)</f>
        <v>Local</v>
      </c>
    </row>
    <row r="779" spans="1:37" hidden="1" x14ac:dyDescent="0.25">
      <c r="A779" s="62">
        <f t="shared" si="161"/>
        <v>764</v>
      </c>
      <c r="B779" s="62" t="s">
        <v>1663</v>
      </c>
      <c r="C779" s="62" t="s">
        <v>1949</v>
      </c>
      <c r="D779" s="6">
        <v>46133</v>
      </c>
      <c r="E779" s="6">
        <v>46137</v>
      </c>
      <c r="F779" s="63">
        <v>1602</v>
      </c>
      <c r="G779" s="64">
        <f t="shared" si="163"/>
        <v>140976</v>
      </c>
      <c r="H779" s="64">
        <f t="shared" si="164"/>
        <v>140976</v>
      </c>
      <c r="I779" s="70" t="s">
        <v>1951</v>
      </c>
      <c r="J779" s="62"/>
      <c r="K779" s="8"/>
      <c r="L779" s="10"/>
      <c r="M779" s="62">
        <v>1</v>
      </c>
      <c r="N779" s="8">
        <v>1</v>
      </c>
      <c r="O779" s="62">
        <f t="shared" si="165"/>
        <v>0</v>
      </c>
      <c r="P779" s="70" t="s">
        <v>2010</v>
      </c>
      <c r="Q779" s="71">
        <v>46139</v>
      </c>
      <c r="R779" s="6">
        <v>46139</v>
      </c>
      <c r="S779" s="64">
        <v>348538</v>
      </c>
      <c r="T779" s="22">
        <v>5</v>
      </c>
      <c r="U779" s="64">
        <f t="shared" si="166"/>
        <v>17426.900000000001</v>
      </c>
      <c r="V779" s="22">
        <v>0</v>
      </c>
      <c r="W779" s="22">
        <v>399565</v>
      </c>
      <c r="X779" s="62" t="s">
        <v>792</v>
      </c>
      <c r="Y779" s="62" t="s">
        <v>1120</v>
      </c>
      <c r="Z779" s="62" t="s">
        <v>1863</v>
      </c>
      <c r="AA779" s="65">
        <v>-20</v>
      </c>
      <c r="AB779" s="66"/>
      <c r="AC779" s="1" t="s">
        <v>1663</v>
      </c>
      <c r="AD779" s="62" t="str">
        <f>VLOOKUP(X779,'Customer List'!B:C,2,)</f>
        <v>Delhi</v>
      </c>
      <c r="AE779" s="67"/>
      <c r="AF779" s="6"/>
      <c r="AG779" s="62" t="str">
        <f t="shared" si="167"/>
        <v/>
      </c>
      <c r="AH779" s="62" t="str">
        <f t="shared" si="168"/>
        <v>Sunday</v>
      </c>
      <c r="AI779" s="62" t="str">
        <f t="shared" si="162"/>
        <v/>
      </c>
      <c r="AJ779" s="62" t="str">
        <f>VLOOKUP(AC779,'Currency Sheet'!A:C,3,)</f>
        <v>DOLLAR</v>
      </c>
      <c r="AK779" s="62" t="str">
        <f>VLOOKUP(X779,'Customer List'!B:D,3,)</f>
        <v>Local</v>
      </c>
    </row>
    <row r="780" spans="1:37" hidden="1" x14ac:dyDescent="0.25">
      <c r="A780" s="62">
        <f t="shared" si="161"/>
        <v>765</v>
      </c>
      <c r="B780" s="62" t="s">
        <v>1954</v>
      </c>
      <c r="C780" s="62" t="s">
        <v>1952</v>
      </c>
      <c r="D780" s="6">
        <v>46134</v>
      </c>
      <c r="E780" s="6">
        <v>46137</v>
      </c>
      <c r="F780" s="63">
        <v>1428.7</v>
      </c>
      <c r="G780" s="64">
        <f t="shared" si="163"/>
        <v>125725.6</v>
      </c>
      <c r="H780" s="64">
        <f t="shared" si="164"/>
        <v>251451.2</v>
      </c>
      <c r="I780" s="70" t="s">
        <v>1953</v>
      </c>
      <c r="J780" s="62"/>
      <c r="K780" s="8"/>
      <c r="L780" s="10"/>
      <c r="M780" s="62">
        <v>2</v>
      </c>
      <c r="N780" s="8">
        <v>2</v>
      </c>
      <c r="O780" s="62">
        <f t="shared" si="165"/>
        <v>0</v>
      </c>
      <c r="P780" s="70">
        <v>201</v>
      </c>
      <c r="Q780" s="71">
        <v>46139</v>
      </c>
      <c r="R780" s="6">
        <v>46139</v>
      </c>
      <c r="S780" s="64">
        <v>240681</v>
      </c>
      <c r="T780" s="22">
        <v>5</v>
      </c>
      <c r="U780" s="64">
        <f t="shared" si="166"/>
        <v>12034.050000000001</v>
      </c>
      <c r="V780" s="22">
        <v>-0.05</v>
      </c>
      <c r="W780" s="22">
        <v>252715</v>
      </c>
      <c r="X780" s="62" t="s">
        <v>1835</v>
      </c>
      <c r="Y780" s="62">
        <v>58164798344</v>
      </c>
      <c r="Z780" s="62" t="s">
        <v>1112</v>
      </c>
      <c r="AA780" s="65" t="s">
        <v>808</v>
      </c>
      <c r="AB780" s="66"/>
      <c r="AC780" s="1" t="s">
        <v>329</v>
      </c>
      <c r="AD780" s="62" t="str">
        <f>VLOOKUP(X780,'Customer List'!B:C,2,)</f>
        <v>Lucknow</v>
      </c>
      <c r="AE780" s="67"/>
      <c r="AF780" s="6">
        <v>46141</v>
      </c>
      <c r="AG780" s="62">
        <f t="shared" si="167"/>
        <v>2</v>
      </c>
      <c r="AH780" s="62" t="str">
        <f t="shared" si="168"/>
        <v>Saturday</v>
      </c>
      <c r="AI780" s="62" t="str">
        <f t="shared" si="162"/>
        <v>Wednesday</v>
      </c>
      <c r="AJ780" s="62" t="str">
        <f>VLOOKUP(AC780,'Currency Sheet'!A:C,3,)</f>
        <v>DOLLAR</v>
      </c>
      <c r="AK780" s="62" t="str">
        <f>VLOOKUP(X780,'Customer List'!B:D,3,)</f>
        <v>OutStation</v>
      </c>
    </row>
    <row r="781" spans="1:37" hidden="1" x14ac:dyDescent="0.25">
      <c r="A781" s="62">
        <f t="shared" si="161"/>
        <v>766</v>
      </c>
      <c r="B781" s="62" t="s">
        <v>27</v>
      </c>
      <c r="C781" s="62" t="s">
        <v>1955</v>
      </c>
      <c r="D781" s="6">
        <v>46127</v>
      </c>
      <c r="E781" s="6">
        <v>46137</v>
      </c>
      <c r="F781" s="63">
        <v>1142.4000000000001</v>
      </c>
      <c r="G781" s="64">
        <f t="shared" si="163"/>
        <v>100531.20000000001</v>
      </c>
      <c r="H781" s="64">
        <f t="shared" si="164"/>
        <v>100531.20000000001</v>
      </c>
      <c r="I781" s="70" t="s">
        <v>1996</v>
      </c>
      <c r="J781" s="62" t="s">
        <v>1956</v>
      </c>
      <c r="K781" s="8"/>
      <c r="L781" s="10"/>
      <c r="M781" s="62">
        <v>1</v>
      </c>
      <c r="N781" s="8">
        <v>1</v>
      </c>
      <c r="O781" s="62">
        <f t="shared" si="165"/>
        <v>0</v>
      </c>
      <c r="P781" s="70">
        <v>186</v>
      </c>
      <c r="Q781" s="71">
        <v>46137</v>
      </c>
      <c r="R781" s="6">
        <v>46137</v>
      </c>
      <c r="S781" s="64">
        <v>166464</v>
      </c>
      <c r="T781" s="22">
        <v>18</v>
      </c>
      <c r="U781" s="64">
        <f t="shared" si="166"/>
        <v>29963.52</v>
      </c>
      <c r="V781" s="22">
        <v>0.48</v>
      </c>
      <c r="W781" s="22">
        <v>196428</v>
      </c>
      <c r="X781" s="62" t="s">
        <v>1365</v>
      </c>
      <c r="Y781" s="62" t="s">
        <v>2012</v>
      </c>
      <c r="Z781" s="62" t="s">
        <v>1112</v>
      </c>
      <c r="AA781" s="65">
        <v>-20</v>
      </c>
      <c r="AB781" s="66"/>
      <c r="AC781" s="1" t="s">
        <v>1418</v>
      </c>
      <c r="AD781" s="62" t="str">
        <f>VLOOKUP(X781,'Customer List'!B:C,2,)</f>
        <v>Punjab</v>
      </c>
      <c r="AE781" s="67"/>
      <c r="AF781" s="6">
        <v>46141</v>
      </c>
      <c r="AG781" s="62">
        <f t="shared" si="167"/>
        <v>4</v>
      </c>
      <c r="AH781" s="62" t="str">
        <f t="shared" si="168"/>
        <v>Wednesday</v>
      </c>
      <c r="AI781" s="62" t="str">
        <f t="shared" si="162"/>
        <v>Wednesday</v>
      </c>
      <c r="AJ781" s="62" t="str">
        <f>VLOOKUP(AC781,'Currency Sheet'!A:C,3,)</f>
        <v>DOLLAR</v>
      </c>
      <c r="AK781" s="62" t="str">
        <f>VLOOKUP(X781,'Customer List'!B:D,3,)</f>
        <v>OutStation</v>
      </c>
    </row>
    <row r="782" spans="1:37" hidden="1" x14ac:dyDescent="0.25">
      <c r="A782" s="62">
        <f t="shared" si="161"/>
        <v>767</v>
      </c>
      <c r="B782" s="62" t="s">
        <v>27</v>
      </c>
      <c r="C782" s="62" t="s">
        <v>1955</v>
      </c>
      <c r="D782" s="6">
        <v>46127</v>
      </c>
      <c r="E782" s="6">
        <v>46137</v>
      </c>
      <c r="F782" s="63">
        <v>373.8</v>
      </c>
      <c r="G782" s="64">
        <f t="shared" si="163"/>
        <v>32894.400000000001</v>
      </c>
      <c r="H782" s="64">
        <f t="shared" si="164"/>
        <v>32894.400000000001</v>
      </c>
      <c r="I782" s="70" t="s">
        <v>1957</v>
      </c>
      <c r="J782" s="62" t="s">
        <v>1958</v>
      </c>
      <c r="K782" s="8"/>
      <c r="L782" s="10"/>
      <c r="M782" s="62">
        <v>1</v>
      </c>
      <c r="N782" s="8">
        <v>1</v>
      </c>
      <c r="O782" s="62">
        <f t="shared" si="165"/>
        <v>0</v>
      </c>
      <c r="P782" s="70">
        <v>187</v>
      </c>
      <c r="Q782" s="71">
        <v>46137</v>
      </c>
      <c r="R782" s="6">
        <v>46137</v>
      </c>
      <c r="S782" s="64">
        <v>56070</v>
      </c>
      <c r="T782" s="22">
        <v>18</v>
      </c>
      <c r="U782" s="64">
        <f t="shared" si="166"/>
        <v>10092.6</v>
      </c>
      <c r="V782" s="22">
        <v>0.2</v>
      </c>
      <c r="W782" s="22">
        <v>132821</v>
      </c>
      <c r="X782" s="62" t="s">
        <v>1367</v>
      </c>
      <c r="Y782" s="62">
        <v>58164749440</v>
      </c>
      <c r="Z782" s="62" t="s">
        <v>1112</v>
      </c>
      <c r="AA782" s="65">
        <v>-20</v>
      </c>
      <c r="AB782" s="66"/>
      <c r="AC782" s="1" t="s">
        <v>1418</v>
      </c>
      <c r="AD782" s="62" t="str">
        <f>VLOOKUP(X782,'Customer List'!B:C,2,)</f>
        <v>Banglore</v>
      </c>
      <c r="AE782" s="67"/>
      <c r="AF782" s="6">
        <v>46139</v>
      </c>
      <c r="AG782" s="62">
        <f t="shared" si="167"/>
        <v>2</v>
      </c>
      <c r="AH782" s="62" t="str">
        <f t="shared" si="168"/>
        <v>Saturday</v>
      </c>
      <c r="AI782" s="62" t="str">
        <f t="shared" si="162"/>
        <v>Monday</v>
      </c>
      <c r="AJ782" s="62" t="str">
        <f>VLOOKUP(AC782,'Currency Sheet'!A:C,3,)</f>
        <v>DOLLAR</v>
      </c>
      <c r="AK782" s="62" t="str">
        <f>VLOOKUP(X782,'Customer List'!B:D,3,)</f>
        <v>OutStation</v>
      </c>
    </row>
    <row r="783" spans="1:37" hidden="1" x14ac:dyDescent="0.25">
      <c r="A783" s="62">
        <f t="shared" si="161"/>
        <v>768</v>
      </c>
      <c r="B783" s="62" t="s">
        <v>27</v>
      </c>
      <c r="C783" s="62" t="s">
        <v>1955</v>
      </c>
      <c r="D783" s="6">
        <v>46127</v>
      </c>
      <c r="E783" s="6">
        <v>46137</v>
      </c>
      <c r="F783" s="63">
        <v>188.3</v>
      </c>
      <c r="G783" s="64">
        <f t="shared" si="163"/>
        <v>16570.400000000001</v>
      </c>
      <c r="H783" s="64">
        <f t="shared" si="164"/>
        <v>33140.800000000003</v>
      </c>
      <c r="I783" s="70" t="s">
        <v>1959</v>
      </c>
      <c r="J783" s="62" t="s">
        <v>1960</v>
      </c>
      <c r="K783" s="8"/>
      <c r="L783" s="10"/>
      <c r="M783" s="62">
        <v>2</v>
      </c>
      <c r="N783" s="8">
        <v>2</v>
      </c>
      <c r="O783" s="62">
        <f t="shared" si="165"/>
        <v>0</v>
      </c>
      <c r="P783" s="70">
        <v>187</v>
      </c>
      <c r="Q783" s="71">
        <v>46137</v>
      </c>
      <c r="R783" s="6">
        <v>46137</v>
      </c>
      <c r="S783" s="64">
        <v>56490</v>
      </c>
      <c r="T783" s="22">
        <v>18</v>
      </c>
      <c r="U783" s="64">
        <f t="shared" si="166"/>
        <v>10168.199999999999</v>
      </c>
      <c r="V783" s="22">
        <v>0</v>
      </c>
      <c r="W783" s="22">
        <v>132821</v>
      </c>
      <c r="X783" s="62" t="s">
        <v>1367</v>
      </c>
      <c r="Y783" s="62">
        <v>58164749440</v>
      </c>
      <c r="Z783" s="62" t="s">
        <v>1112</v>
      </c>
      <c r="AA783" s="65">
        <v>-20</v>
      </c>
      <c r="AB783" s="66"/>
      <c r="AC783" s="1" t="s">
        <v>1418</v>
      </c>
      <c r="AD783" s="62" t="str">
        <f>VLOOKUP(X783,'Customer List'!B:C,2,)</f>
        <v>Banglore</v>
      </c>
      <c r="AE783" s="67"/>
      <c r="AF783" s="6">
        <v>46139</v>
      </c>
      <c r="AG783" s="62">
        <f t="shared" si="167"/>
        <v>2</v>
      </c>
      <c r="AH783" s="62" t="str">
        <f t="shared" si="168"/>
        <v>Saturday</v>
      </c>
      <c r="AI783" s="62" t="str">
        <f t="shared" si="162"/>
        <v>Monday</v>
      </c>
      <c r="AJ783" s="62" t="str">
        <f>VLOOKUP(AC783,'Currency Sheet'!A:C,3,)</f>
        <v>DOLLAR</v>
      </c>
      <c r="AK783" s="62" t="str">
        <f>VLOOKUP(X783,'Customer List'!B:D,3,)</f>
        <v>OutStation</v>
      </c>
    </row>
    <row r="784" spans="1:37" hidden="1" x14ac:dyDescent="0.25">
      <c r="A784" s="62">
        <f t="shared" si="161"/>
        <v>769</v>
      </c>
      <c r="B784" s="62" t="s">
        <v>27</v>
      </c>
      <c r="C784" s="62" t="s">
        <v>1955</v>
      </c>
      <c r="D784" s="6">
        <v>46127</v>
      </c>
      <c r="E784" s="6">
        <v>46137</v>
      </c>
      <c r="F784" s="63">
        <v>587.29999999999995</v>
      </c>
      <c r="G784" s="64">
        <f t="shared" si="163"/>
        <v>51682.399999999994</v>
      </c>
      <c r="H784" s="64">
        <f t="shared" si="164"/>
        <v>51682.399999999994</v>
      </c>
      <c r="I784" s="70" t="s">
        <v>2005</v>
      </c>
      <c r="J784" s="62" t="s">
        <v>1961</v>
      </c>
      <c r="K784" s="8"/>
      <c r="L784" s="10"/>
      <c r="M784" s="62">
        <v>1</v>
      </c>
      <c r="N784" s="8">
        <v>1</v>
      </c>
      <c r="O784" s="62">
        <f t="shared" si="165"/>
        <v>0</v>
      </c>
      <c r="P784" s="70">
        <v>205</v>
      </c>
      <c r="Q784" s="71">
        <v>46139</v>
      </c>
      <c r="R784" s="6">
        <v>46139</v>
      </c>
      <c r="S784" s="64">
        <v>88074</v>
      </c>
      <c r="T784" s="22">
        <v>18</v>
      </c>
      <c r="U784" s="64">
        <f t="shared" si="166"/>
        <v>15853.32</v>
      </c>
      <c r="V784" s="22">
        <v>-0.32</v>
      </c>
      <c r="W784" s="22">
        <v>103927</v>
      </c>
      <c r="X784" s="62" t="s">
        <v>2006</v>
      </c>
      <c r="Y784" s="62" t="s">
        <v>1120</v>
      </c>
      <c r="Z784" s="62" t="s">
        <v>1863</v>
      </c>
      <c r="AA784" s="65">
        <v>-20</v>
      </c>
      <c r="AB784" s="66"/>
      <c r="AC784" s="1" t="s">
        <v>1418</v>
      </c>
      <c r="AD784" s="62" t="str">
        <f>VLOOKUP(X784,'Customer List'!B:C,2,)</f>
        <v>Delhi</v>
      </c>
      <c r="AE784" s="67"/>
      <c r="AF784" s="6"/>
      <c r="AG784" s="62" t="str">
        <f t="shared" si="167"/>
        <v/>
      </c>
      <c r="AH784" s="62" t="str">
        <f t="shared" si="168"/>
        <v>Saturday</v>
      </c>
      <c r="AI784" s="62" t="str">
        <f t="shared" si="162"/>
        <v/>
      </c>
      <c r="AJ784" s="62" t="str">
        <f>VLOOKUP(AC784,'Currency Sheet'!A:C,3,)</f>
        <v>DOLLAR</v>
      </c>
      <c r="AK784" s="62" t="str">
        <f>VLOOKUP(X784,'Customer List'!B:D,3,)</f>
        <v>Local</v>
      </c>
    </row>
    <row r="785" spans="1:37" hidden="1" x14ac:dyDescent="0.25">
      <c r="A785" s="62">
        <f t="shared" si="161"/>
        <v>770</v>
      </c>
      <c r="B785" s="62" t="s">
        <v>27</v>
      </c>
      <c r="C785" s="62" t="s">
        <v>1955</v>
      </c>
      <c r="D785" s="6">
        <v>46127</v>
      </c>
      <c r="E785" s="6">
        <v>46137</v>
      </c>
      <c r="F785" s="63">
        <v>290.5</v>
      </c>
      <c r="G785" s="64">
        <f t="shared" si="163"/>
        <v>25564</v>
      </c>
      <c r="H785" s="64">
        <f t="shared" si="164"/>
        <v>25564</v>
      </c>
      <c r="I785" s="70" t="s">
        <v>1962</v>
      </c>
      <c r="J785" s="62" t="s">
        <v>1963</v>
      </c>
      <c r="K785" s="8"/>
      <c r="L785" s="10"/>
      <c r="M785" s="62">
        <v>1</v>
      </c>
      <c r="N785" s="8">
        <v>1</v>
      </c>
      <c r="O785" s="62">
        <f t="shared" si="165"/>
        <v>0</v>
      </c>
      <c r="P785" s="70" t="s">
        <v>2240</v>
      </c>
      <c r="Q785" s="71">
        <v>46142</v>
      </c>
      <c r="R785" s="6">
        <v>46142</v>
      </c>
      <c r="S785" s="64">
        <v>42330</v>
      </c>
      <c r="T785" s="22">
        <v>18</v>
      </c>
      <c r="U785" s="64">
        <f t="shared" si="166"/>
        <v>7619.4</v>
      </c>
      <c r="V785" s="22">
        <v>-0.4</v>
      </c>
      <c r="W785" s="22">
        <v>49949</v>
      </c>
      <c r="X785" s="62" t="s">
        <v>326</v>
      </c>
      <c r="Y785" s="62" t="s">
        <v>1120</v>
      </c>
      <c r="Z785" s="62" t="s">
        <v>1116</v>
      </c>
      <c r="AA785" s="65">
        <v>-20</v>
      </c>
      <c r="AB785" s="66" t="s">
        <v>2241</v>
      </c>
      <c r="AC785" s="1" t="s">
        <v>1418</v>
      </c>
      <c r="AD785" s="62" t="str">
        <f>VLOOKUP(X785,'Customer List'!B:C,2,)</f>
        <v>DELHI</v>
      </c>
      <c r="AE785" s="67"/>
      <c r="AF785" s="6"/>
      <c r="AG785" s="62" t="str">
        <f t="shared" si="167"/>
        <v/>
      </c>
      <c r="AH785" s="62" t="str">
        <f t="shared" si="168"/>
        <v>Sunday</v>
      </c>
      <c r="AI785" s="62" t="str">
        <f t="shared" si="162"/>
        <v/>
      </c>
      <c r="AJ785" s="62" t="str">
        <f>VLOOKUP(AC785,'Currency Sheet'!A:C,3,)</f>
        <v>DOLLAR</v>
      </c>
      <c r="AK785" s="62" t="str">
        <f>VLOOKUP(X785,'Customer List'!B:D,3,)</f>
        <v>Local</v>
      </c>
    </row>
    <row r="786" spans="1:37" hidden="1" x14ac:dyDescent="0.25">
      <c r="A786" s="62">
        <f t="shared" si="161"/>
        <v>771</v>
      </c>
      <c r="B786" s="62" t="s">
        <v>27</v>
      </c>
      <c r="C786" s="62" t="s">
        <v>1955</v>
      </c>
      <c r="D786" s="6">
        <v>46127</v>
      </c>
      <c r="E786" s="6">
        <v>46137</v>
      </c>
      <c r="F786" s="63">
        <v>373.8</v>
      </c>
      <c r="G786" s="64">
        <f t="shared" si="163"/>
        <v>32894.400000000001</v>
      </c>
      <c r="H786" s="64">
        <f t="shared" si="164"/>
        <v>32894.400000000001</v>
      </c>
      <c r="I786" s="70" t="s">
        <v>1964</v>
      </c>
      <c r="J786" s="62" t="s">
        <v>1965</v>
      </c>
      <c r="K786" s="8"/>
      <c r="L786" s="10"/>
      <c r="M786" s="62">
        <v>1</v>
      </c>
      <c r="N786" s="8">
        <v>1</v>
      </c>
      <c r="O786" s="62">
        <f t="shared" si="165"/>
        <v>0</v>
      </c>
      <c r="P786" s="70">
        <v>185</v>
      </c>
      <c r="Q786" s="71">
        <v>46137</v>
      </c>
      <c r="R786" s="6">
        <v>46137</v>
      </c>
      <c r="S786" s="64">
        <v>56070</v>
      </c>
      <c r="T786" s="22">
        <v>18</v>
      </c>
      <c r="U786" s="64">
        <f t="shared" si="166"/>
        <v>10092.6</v>
      </c>
      <c r="V786" s="22">
        <v>0.2</v>
      </c>
      <c r="W786" s="22">
        <v>198488</v>
      </c>
      <c r="X786" s="62" t="s">
        <v>1834</v>
      </c>
      <c r="Y786" s="62">
        <v>58164749311</v>
      </c>
      <c r="Z786" s="62" t="s">
        <v>1112</v>
      </c>
      <c r="AA786" s="65">
        <v>-20</v>
      </c>
      <c r="AB786" s="66"/>
      <c r="AC786" s="1" t="s">
        <v>1418</v>
      </c>
      <c r="AD786" s="62" t="str">
        <f>VLOOKUP(X786,'Customer List'!B:C,2,)</f>
        <v>Kolkata</v>
      </c>
      <c r="AE786" s="67"/>
      <c r="AF786" s="6">
        <v>46139</v>
      </c>
      <c r="AG786" s="62">
        <f t="shared" si="167"/>
        <v>2</v>
      </c>
      <c r="AH786" s="62" t="str">
        <f t="shared" si="168"/>
        <v>Saturday</v>
      </c>
      <c r="AI786" s="62" t="str">
        <f t="shared" si="162"/>
        <v>Monday</v>
      </c>
      <c r="AJ786" s="62" t="str">
        <f>VLOOKUP(AC786,'Currency Sheet'!A:C,3,)</f>
        <v>DOLLAR</v>
      </c>
      <c r="AK786" s="62" t="str">
        <f>VLOOKUP(X786,'Customer List'!B:D,3,)</f>
        <v>OutStation</v>
      </c>
    </row>
    <row r="787" spans="1:37" hidden="1" x14ac:dyDescent="0.25">
      <c r="A787" s="62">
        <f t="shared" si="161"/>
        <v>772</v>
      </c>
      <c r="B787" s="62" t="s">
        <v>27</v>
      </c>
      <c r="C787" s="62" t="s">
        <v>1955</v>
      </c>
      <c r="D787" s="6">
        <v>46127</v>
      </c>
      <c r="E787" s="6">
        <v>46137</v>
      </c>
      <c r="F787" s="63">
        <v>373.8</v>
      </c>
      <c r="G787" s="64">
        <f t="shared" si="163"/>
        <v>32894.400000000001</v>
      </c>
      <c r="H787" s="64">
        <f t="shared" si="164"/>
        <v>32894.400000000001</v>
      </c>
      <c r="I787" s="70" t="s">
        <v>1966</v>
      </c>
      <c r="J787" s="62" t="s">
        <v>1967</v>
      </c>
      <c r="K787" s="8"/>
      <c r="L787" s="10"/>
      <c r="M787" s="62">
        <v>1</v>
      </c>
      <c r="N787" s="8">
        <v>1</v>
      </c>
      <c r="O787" s="62">
        <f t="shared" si="165"/>
        <v>0</v>
      </c>
      <c r="P787" s="70">
        <v>185</v>
      </c>
      <c r="Q787" s="71">
        <v>46137</v>
      </c>
      <c r="R787" s="6">
        <v>46137</v>
      </c>
      <c r="S787" s="64">
        <v>56070</v>
      </c>
      <c r="T787" s="22">
        <v>18</v>
      </c>
      <c r="U787" s="64">
        <f t="shared" si="166"/>
        <v>10092.6</v>
      </c>
      <c r="V787" s="22">
        <v>0</v>
      </c>
      <c r="W787" s="22">
        <v>198488</v>
      </c>
      <c r="X787" s="62" t="s">
        <v>1834</v>
      </c>
      <c r="Y787" s="62">
        <v>58164749311</v>
      </c>
      <c r="Z787" s="62" t="s">
        <v>1112</v>
      </c>
      <c r="AA787" s="65">
        <v>-20</v>
      </c>
      <c r="AB787" s="66"/>
      <c r="AC787" s="1" t="s">
        <v>1418</v>
      </c>
      <c r="AD787" s="62" t="str">
        <f>VLOOKUP(X787,'Customer List'!B:C,2,)</f>
        <v>Kolkata</v>
      </c>
      <c r="AE787" s="67"/>
      <c r="AF787" s="6">
        <v>46139</v>
      </c>
      <c r="AG787" s="62">
        <f t="shared" si="167"/>
        <v>2</v>
      </c>
      <c r="AH787" s="62" t="str">
        <f t="shared" si="168"/>
        <v>Saturday</v>
      </c>
      <c r="AI787" s="62" t="str">
        <f t="shared" si="162"/>
        <v>Monday</v>
      </c>
      <c r="AJ787" s="62" t="str">
        <f>VLOOKUP(AC787,'Currency Sheet'!A:C,3,)</f>
        <v>DOLLAR</v>
      </c>
      <c r="AK787" s="62" t="str">
        <f>VLOOKUP(X787,'Customer List'!B:D,3,)</f>
        <v>OutStation</v>
      </c>
    </row>
    <row r="788" spans="1:37" hidden="1" x14ac:dyDescent="0.25">
      <c r="A788" s="62">
        <f t="shared" si="161"/>
        <v>773</v>
      </c>
      <c r="B788" s="62" t="s">
        <v>27</v>
      </c>
      <c r="C788" s="62" t="s">
        <v>1955</v>
      </c>
      <c r="D788" s="6">
        <v>46127</v>
      </c>
      <c r="E788" s="6">
        <v>46137</v>
      </c>
      <c r="F788" s="63">
        <v>373.8</v>
      </c>
      <c r="G788" s="64">
        <f t="shared" si="163"/>
        <v>32894.400000000001</v>
      </c>
      <c r="H788" s="64">
        <f t="shared" si="164"/>
        <v>32894.400000000001</v>
      </c>
      <c r="I788" s="70" t="s">
        <v>1968</v>
      </c>
      <c r="J788" s="62" t="s">
        <v>1969</v>
      </c>
      <c r="K788" s="8"/>
      <c r="L788" s="10"/>
      <c r="M788" s="62">
        <v>1</v>
      </c>
      <c r="N788" s="8">
        <v>1</v>
      </c>
      <c r="O788" s="62">
        <f t="shared" si="165"/>
        <v>0</v>
      </c>
      <c r="P788" s="70">
        <v>185</v>
      </c>
      <c r="Q788" s="71">
        <v>46137</v>
      </c>
      <c r="R788" s="6">
        <v>46137</v>
      </c>
      <c r="S788" s="64">
        <v>56070</v>
      </c>
      <c r="T788" s="22">
        <v>18</v>
      </c>
      <c r="U788" s="64">
        <f t="shared" si="166"/>
        <v>10092.6</v>
      </c>
      <c r="V788" s="22">
        <v>0</v>
      </c>
      <c r="W788" s="22">
        <v>198488</v>
      </c>
      <c r="X788" s="62" t="s">
        <v>1834</v>
      </c>
      <c r="Y788" s="62">
        <v>58164749311</v>
      </c>
      <c r="Z788" s="62" t="s">
        <v>1112</v>
      </c>
      <c r="AA788" s="65">
        <v>-20</v>
      </c>
      <c r="AB788" s="66"/>
      <c r="AC788" s="1" t="s">
        <v>1418</v>
      </c>
      <c r="AD788" s="62" t="str">
        <f>VLOOKUP(X788,'Customer List'!B:C,2,)</f>
        <v>Kolkata</v>
      </c>
      <c r="AE788" s="67"/>
      <c r="AF788" s="6">
        <v>46139</v>
      </c>
      <c r="AG788" s="62">
        <f t="shared" si="167"/>
        <v>2</v>
      </c>
      <c r="AH788" s="62" t="str">
        <f t="shared" si="168"/>
        <v>Saturday</v>
      </c>
      <c r="AI788" s="62" t="str">
        <f t="shared" si="162"/>
        <v>Monday</v>
      </c>
      <c r="AJ788" s="62" t="str">
        <f>VLOOKUP(AC788,'Currency Sheet'!A:C,3,)</f>
        <v>DOLLAR</v>
      </c>
      <c r="AK788" s="62" t="str">
        <f>VLOOKUP(X788,'Customer List'!B:D,3,)</f>
        <v>OutStation</v>
      </c>
    </row>
    <row r="789" spans="1:37" hidden="1" x14ac:dyDescent="0.25">
      <c r="A789" s="62">
        <f t="shared" si="161"/>
        <v>774</v>
      </c>
      <c r="B789" s="62" t="s">
        <v>27</v>
      </c>
      <c r="C789" s="62" t="s">
        <v>1955</v>
      </c>
      <c r="D789" s="6">
        <v>46127</v>
      </c>
      <c r="E789" s="6">
        <v>46137</v>
      </c>
      <c r="F789" s="63">
        <v>4424</v>
      </c>
      <c r="G789" s="64">
        <f t="shared" si="163"/>
        <v>389312</v>
      </c>
      <c r="H789" s="64">
        <f t="shared" si="164"/>
        <v>389312</v>
      </c>
      <c r="I789" s="70" t="s">
        <v>1970</v>
      </c>
      <c r="J789" s="62" t="s">
        <v>1971</v>
      </c>
      <c r="K789" s="8"/>
      <c r="L789" s="10"/>
      <c r="M789" s="62">
        <v>1</v>
      </c>
      <c r="N789" s="8">
        <v>1</v>
      </c>
      <c r="O789" s="62">
        <f t="shared" si="165"/>
        <v>0</v>
      </c>
      <c r="P789" s="70">
        <v>184</v>
      </c>
      <c r="Q789" s="71">
        <v>46137</v>
      </c>
      <c r="R789" s="6">
        <v>46137</v>
      </c>
      <c r="S789" s="64">
        <v>549840</v>
      </c>
      <c r="T789" s="22">
        <v>5</v>
      </c>
      <c r="U789" s="64">
        <f t="shared" si="166"/>
        <v>27492</v>
      </c>
      <c r="V789" s="22">
        <v>0</v>
      </c>
      <c r="W789" s="22">
        <v>577332</v>
      </c>
      <c r="X789" s="62" t="s">
        <v>1991</v>
      </c>
      <c r="Y789" s="62" t="s">
        <v>2011</v>
      </c>
      <c r="Z789" s="62" t="s">
        <v>1112</v>
      </c>
      <c r="AA789" s="65">
        <v>-20</v>
      </c>
      <c r="AB789" s="66"/>
      <c r="AC789" s="1" t="s">
        <v>1418</v>
      </c>
      <c r="AD789" s="62" t="str">
        <f>VLOOKUP(X789,'Customer List'!B:C,2,)</f>
        <v>Chandigarh</v>
      </c>
      <c r="AE789" s="67"/>
      <c r="AF789" s="6">
        <v>46140</v>
      </c>
      <c r="AG789" s="62">
        <f t="shared" si="167"/>
        <v>3</v>
      </c>
      <c r="AH789" s="62" t="str">
        <f t="shared" si="168"/>
        <v>Wednesday</v>
      </c>
      <c r="AI789" s="62" t="str">
        <f t="shared" si="162"/>
        <v>Tuesday</v>
      </c>
      <c r="AJ789" s="62" t="str">
        <f>VLOOKUP(AC789,'Currency Sheet'!A:C,3,)</f>
        <v>DOLLAR</v>
      </c>
      <c r="AK789" s="62" t="str">
        <f>VLOOKUP(X789,'Customer List'!B:D,3,)</f>
        <v>OutStation</v>
      </c>
    </row>
    <row r="790" spans="1:37" hidden="1" x14ac:dyDescent="0.25">
      <c r="A790" s="62">
        <f t="shared" si="161"/>
        <v>775</v>
      </c>
      <c r="B790" s="62" t="s">
        <v>27</v>
      </c>
      <c r="C790" s="62" t="s">
        <v>1955</v>
      </c>
      <c r="D790" s="6">
        <v>46127</v>
      </c>
      <c r="E790" s="6">
        <v>46137</v>
      </c>
      <c r="F790" s="63">
        <v>54.6</v>
      </c>
      <c r="G790" s="64">
        <f t="shared" si="163"/>
        <v>4804.8</v>
      </c>
      <c r="H790" s="64">
        <f t="shared" si="164"/>
        <v>4804.8</v>
      </c>
      <c r="I790" s="70" t="s">
        <v>1972</v>
      </c>
      <c r="J790" s="62" t="s">
        <v>1973</v>
      </c>
      <c r="K790" s="8"/>
      <c r="L790" s="10"/>
      <c r="M790" s="62">
        <v>1</v>
      </c>
      <c r="N790" s="8">
        <v>1</v>
      </c>
      <c r="O790" s="62">
        <f t="shared" si="165"/>
        <v>0</v>
      </c>
      <c r="P790" s="70">
        <v>188</v>
      </c>
      <c r="Q790" s="71">
        <v>46137</v>
      </c>
      <c r="R790" s="6">
        <v>46137</v>
      </c>
      <c r="S790" s="64">
        <v>8190</v>
      </c>
      <c r="T790" s="22">
        <v>5</v>
      </c>
      <c r="U790" s="64">
        <f t="shared" si="166"/>
        <v>409.5</v>
      </c>
      <c r="V790" s="22">
        <v>0.5</v>
      </c>
      <c r="W790" s="22">
        <v>8600</v>
      </c>
      <c r="X790" s="62" t="s">
        <v>902</v>
      </c>
      <c r="Y790" s="62">
        <v>58164749005</v>
      </c>
      <c r="Z790" s="62" t="s">
        <v>1112</v>
      </c>
      <c r="AA790" s="65">
        <v>-20</v>
      </c>
      <c r="AB790" s="66"/>
      <c r="AC790" s="1" t="s">
        <v>1418</v>
      </c>
      <c r="AD790" s="62" t="str">
        <f>VLOOKUP(X790,'Customer List'!B:C,2,)</f>
        <v>Hyderabad</v>
      </c>
      <c r="AE790" s="67"/>
      <c r="AF790" s="6">
        <v>46140</v>
      </c>
      <c r="AG790" s="62">
        <f t="shared" si="167"/>
        <v>3</v>
      </c>
      <c r="AH790" s="62" t="str">
        <f t="shared" si="168"/>
        <v>Saturday</v>
      </c>
      <c r="AI790" s="62" t="str">
        <f t="shared" si="162"/>
        <v>Tuesday</v>
      </c>
      <c r="AJ790" s="62" t="str">
        <f>VLOOKUP(AC790,'Currency Sheet'!A:C,3,)</f>
        <v>DOLLAR</v>
      </c>
      <c r="AK790" s="62" t="str">
        <f>VLOOKUP(X790,'Customer List'!B:D,3,)</f>
        <v>OutStation</v>
      </c>
    </row>
    <row r="791" spans="1:37" hidden="1" x14ac:dyDescent="0.25">
      <c r="A791" s="62">
        <f t="shared" si="161"/>
        <v>776</v>
      </c>
      <c r="B791" s="62" t="s">
        <v>27</v>
      </c>
      <c r="C791" s="62" t="s">
        <v>1955</v>
      </c>
      <c r="D791" s="6">
        <v>46127</v>
      </c>
      <c r="E791" s="6">
        <v>46137</v>
      </c>
      <c r="F791" s="63">
        <v>988.4</v>
      </c>
      <c r="G791" s="64">
        <f t="shared" si="163"/>
        <v>86979.199999999997</v>
      </c>
      <c r="H791" s="64">
        <f t="shared" si="164"/>
        <v>86979.199999999997</v>
      </c>
      <c r="I791" s="70" t="s">
        <v>1974</v>
      </c>
      <c r="J791" s="62" t="s">
        <v>1975</v>
      </c>
      <c r="K791" s="8"/>
      <c r="L791" s="10"/>
      <c r="M791" s="62">
        <v>1</v>
      </c>
      <c r="N791" s="8">
        <v>1</v>
      </c>
      <c r="O791" s="62">
        <f t="shared" si="165"/>
        <v>0</v>
      </c>
      <c r="P791" s="70">
        <v>183</v>
      </c>
      <c r="Q791" s="71">
        <v>46137</v>
      </c>
      <c r="R791" s="6">
        <v>46137</v>
      </c>
      <c r="S791" s="64">
        <v>148260</v>
      </c>
      <c r="T791" s="22">
        <v>5</v>
      </c>
      <c r="U791" s="64">
        <f t="shared" si="166"/>
        <v>7413</v>
      </c>
      <c r="V791" s="22">
        <v>0</v>
      </c>
      <c r="W791" s="22">
        <v>155673</v>
      </c>
      <c r="X791" s="62" t="s">
        <v>1992</v>
      </c>
      <c r="Y791" s="62">
        <v>58164749182</v>
      </c>
      <c r="Z791" s="62" t="s">
        <v>1112</v>
      </c>
      <c r="AA791" s="65">
        <v>-20</v>
      </c>
      <c r="AB791" s="66"/>
      <c r="AC791" s="1" t="s">
        <v>1418</v>
      </c>
      <c r="AD791" s="62" t="str">
        <f>VLOOKUP(X791,'Customer List'!B:C,2,)</f>
        <v>Mumbai</v>
      </c>
      <c r="AE791" s="67"/>
      <c r="AF791" s="6">
        <v>46139</v>
      </c>
      <c r="AG791" s="62">
        <f t="shared" si="167"/>
        <v>2</v>
      </c>
      <c r="AH791" s="62" t="str">
        <f t="shared" si="168"/>
        <v>Saturday</v>
      </c>
      <c r="AI791" s="62" t="str">
        <f t="shared" si="162"/>
        <v>Monday</v>
      </c>
      <c r="AJ791" s="62" t="str">
        <f>VLOOKUP(AC791,'Currency Sheet'!A:C,3,)</f>
        <v>DOLLAR</v>
      </c>
      <c r="AK791" s="62" t="str">
        <f>VLOOKUP(X791,'Customer List'!B:D,3,)</f>
        <v>OutStation</v>
      </c>
    </row>
    <row r="792" spans="1:37" hidden="1" x14ac:dyDescent="0.25">
      <c r="A792" s="62">
        <f t="shared" si="161"/>
        <v>777</v>
      </c>
      <c r="B792" s="62" t="s">
        <v>27</v>
      </c>
      <c r="C792" s="62" t="s">
        <v>1955</v>
      </c>
      <c r="D792" s="6">
        <v>46127</v>
      </c>
      <c r="E792" s="6">
        <v>46137</v>
      </c>
      <c r="F792" s="63">
        <v>372.4</v>
      </c>
      <c r="G792" s="64">
        <f t="shared" si="163"/>
        <v>32771.199999999997</v>
      </c>
      <c r="H792" s="64">
        <f t="shared" si="164"/>
        <v>32771.199999999997</v>
      </c>
      <c r="I792" s="70" t="s">
        <v>1976</v>
      </c>
      <c r="J792" s="62" t="s">
        <v>1977</v>
      </c>
      <c r="K792" s="8"/>
      <c r="L792" s="10"/>
      <c r="M792" s="62">
        <v>1</v>
      </c>
      <c r="N792" s="8">
        <v>1</v>
      </c>
      <c r="O792" s="62">
        <f t="shared" si="165"/>
        <v>0</v>
      </c>
      <c r="P792" s="70">
        <v>37</v>
      </c>
      <c r="Q792" s="71">
        <v>46140</v>
      </c>
      <c r="R792" s="6">
        <v>46137</v>
      </c>
      <c r="S792" s="64">
        <v>0</v>
      </c>
      <c r="T792" s="22">
        <v>5</v>
      </c>
      <c r="U792" s="64">
        <f t="shared" si="166"/>
        <v>0</v>
      </c>
      <c r="V792" s="22">
        <v>0</v>
      </c>
      <c r="W792" s="22">
        <v>0</v>
      </c>
      <c r="X792" s="62" t="s">
        <v>1993</v>
      </c>
      <c r="Y792" s="62">
        <v>58164749694</v>
      </c>
      <c r="Z792" s="62" t="s">
        <v>1112</v>
      </c>
      <c r="AA792" s="65">
        <v>-20</v>
      </c>
      <c r="AB792" s="66"/>
      <c r="AC792" s="1" t="s">
        <v>1418</v>
      </c>
      <c r="AD792" s="62" t="str">
        <f>VLOOKUP(X792,'Customer List'!B:C,2,)</f>
        <v>Bhopal</v>
      </c>
      <c r="AE792" s="67"/>
      <c r="AF792" s="6">
        <v>46140</v>
      </c>
      <c r="AG792" s="62">
        <f t="shared" si="167"/>
        <v>3</v>
      </c>
      <c r="AH792" s="62" t="str">
        <f t="shared" si="168"/>
        <v>Saturday</v>
      </c>
      <c r="AI792" s="62" t="str">
        <f t="shared" si="162"/>
        <v>Tuesday</v>
      </c>
      <c r="AJ792" s="62" t="str">
        <f>VLOOKUP(AC792,'Currency Sheet'!A:C,3,)</f>
        <v>DOLLAR</v>
      </c>
      <c r="AK792" s="62" t="str">
        <f>VLOOKUP(X792,'Customer List'!B:D,3,)</f>
        <v>OutStation</v>
      </c>
    </row>
    <row r="793" spans="1:37" hidden="1" x14ac:dyDescent="0.25">
      <c r="A793" s="62">
        <f t="shared" si="161"/>
        <v>778</v>
      </c>
      <c r="B793" s="62" t="s">
        <v>27</v>
      </c>
      <c r="C793" s="62" t="s">
        <v>1955</v>
      </c>
      <c r="D793" s="6">
        <v>46127</v>
      </c>
      <c r="E793" s="6">
        <v>46137</v>
      </c>
      <c r="F793" s="63">
        <v>9356.9</v>
      </c>
      <c r="G793" s="64">
        <f t="shared" si="163"/>
        <v>823407.2</v>
      </c>
      <c r="H793" s="64">
        <f t="shared" si="164"/>
        <v>823407.2</v>
      </c>
      <c r="I793" s="70" t="s">
        <v>1978</v>
      </c>
      <c r="J793" s="62" t="s">
        <v>1979</v>
      </c>
      <c r="K793" s="8"/>
      <c r="L793" s="10"/>
      <c r="M793" s="62">
        <v>1</v>
      </c>
      <c r="N793" s="8">
        <v>1</v>
      </c>
      <c r="O793" s="62">
        <f t="shared" si="165"/>
        <v>0</v>
      </c>
      <c r="P793" s="70" t="s">
        <v>2008</v>
      </c>
      <c r="Q793" s="71">
        <v>46137</v>
      </c>
      <c r="R793" s="6">
        <v>46137</v>
      </c>
      <c r="S793" s="64">
        <v>1162929</v>
      </c>
      <c r="T793" s="22">
        <v>5</v>
      </c>
      <c r="U793" s="64">
        <f t="shared" si="166"/>
        <v>58146.450000000004</v>
      </c>
      <c r="V793" s="22">
        <v>-0.45</v>
      </c>
      <c r="W793" s="22">
        <v>1221075</v>
      </c>
      <c r="X793" s="62" t="s">
        <v>1994</v>
      </c>
      <c r="Y793" s="62">
        <v>58164749941</v>
      </c>
      <c r="Z793" s="62" t="s">
        <v>1112</v>
      </c>
      <c r="AA793" s="65">
        <v>-20</v>
      </c>
      <c r="AB793" s="66"/>
      <c r="AC793" s="1" t="s">
        <v>1418</v>
      </c>
      <c r="AD793" s="62" t="str">
        <f>VLOOKUP(X793,'Customer List'!B:C,2,)</f>
        <v>Kolkata</v>
      </c>
      <c r="AE793" s="67"/>
      <c r="AF793" s="6">
        <v>46139</v>
      </c>
      <c r="AG793" s="62">
        <f t="shared" si="167"/>
        <v>2</v>
      </c>
      <c r="AH793" s="62" t="str">
        <f t="shared" si="168"/>
        <v>Thursday</v>
      </c>
      <c r="AI793" s="62" t="str">
        <f t="shared" si="162"/>
        <v>Monday</v>
      </c>
      <c r="AJ793" s="62" t="str">
        <f>VLOOKUP(AC793,'Currency Sheet'!A:C,3,)</f>
        <v>DOLLAR</v>
      </c>
      <c r="AK793" s="62" t="str">
        <f>VLOOKUP(X793,'Customer List'!B:D,3,)</f>
        <v>OutStation</v>
      </c>
    </row>
    <row r="794" spans="1:37" hidden="1" x14ac:dyDescent="0.25">
      <c r="A794" s="62">
        <f t="shared" si="161"/>
        <v>779</v>
      </c>
      <c r="B794" s="62" t="s">
        <v>27</v>
      </c>
      <c r="C794" s="62" t="s">
        <v>1955</v>
      </c>
      <c r="D794" s="6">
        <v>46127</v>
      </c>
      <c r="E794" s="6">
        <v>46137</v>
      </c>
      <c r="F794" s="63">
        <v>54.6</v>
      </c>
      <c r="G794" s="64">
        <f t="shared" si="163"/>
        <v>4804.8</v>
      </c>
      <c r="H794" s="64">
        <f t="shared" si="164"/>
        <v>4804.8</v>
      </c>
      <c r="I794" s="70" t="s">
        <v>1980</v>
      </c>
      <c r="J794" s="62" t="s">
        <v>1981</v>
      </c>
      <c r="K794" s="8"/>
      <c r="L794" s="10"/>
      <c r="M794" s="62">
        <v>1</v>
      </c>
      <c r="N794" s="8">
        <v>1</v>
      </c>
      <c r="O794" s="62">
        <f t="shared" si="165"/>
        <v>0</v>
      </c>
      <c r="P794" s="70">
        <v>191</v>
      </c>
      <c r="Q794" s="71">
        <v>46139</v>
      </c>
      <c r="R794" s="6">
        <v>46139</v>
      </c>
      <c r="S794" s="64">
        <v>10920</v>
      </c>
      <c r="T794" s="22">
        <v>5</v>
      </c>
      <c r="U794" s="64">
        <f t="shared" si="166"/>
        <v>546</v>
      </c>
      <c r="V794" s="22">
        <v>0</v>
      </c>
      <c r="W794" s="22">
        <v>34398</v>
      </c>
      <c r="X794" s="62" t="s">
        <v>1995</v>
      </c>
      <c r="Y794" s="62" t="s">
        <v>1120</v>
      </c>
      <c r="Z794" s="62" t="s">
        <v>1116</v>
      </c>
      <c r="AA794" s="65">
        <v>-80</v>
      </c>
      <c r="AB794" s="66"/>
      <c r="AC794" s="1" t="s">
        <v>1418</v>
      </c>
      <c r="AD794" s="62" t="str">
        <f>VLOOKUP(X794,'Customer List'!B:C,2,)</f>
        <v>DELHI</v>
      </c>
      <c r="AE794" s="67"/>
      <c r="AF794" s="6"/>
      <c r="AG794" s="62" t="str">
        <f t="shared" si="167"/>
        <v/>
      </c>
      <c r="AH794" s="62" t="str">
        <f t="shared" si="168"/>
        <v>Saturday</v>
      </c>
      <c r="AI794" s="62" t="str">
        <f t="shared" si="162"/>
        <v/>
      </c>
      <c r="AJ794" s="62" t="str">
        <f>VLOOKUP(AC794,'Currency Sheet'!A:C,3,)</f>
        <v>DOLLAR</v>
      </c>
      <c r="AK794" s="62" t="str">
        <f>VLOOKUP(X794,'Customer List'!B:D,3,)</f>
        <v>Local</v>
      </c>
    </row>
    <row r="795" spans="1:37" hidden="1" x14ac:dyDescent="0.25">
      <c r="A795" s="62">
        <f t="shared" si="161"/>
        <v>780</v>
      </c>
      <c r="B795" s="62" t="s">
        <v>27</v>
      </c>
      <c r="C795" s="62" t="s">
        <v>1955</v>
      </c>
      <c r="D795" s="6">
        <v>46127</v>
      </c>
      <c r="E795" s="6">
        <v>46137</v>
      </c>
      <c r="F795" s="63">
        <v>54.6</v>
      </c>
      <c r="G795" s="64">
        <f t="shared" si="163"/>
        <v>4804.8</v>
      </c>
      <c r="H795" s="64">
        <f t="shared" si="164"/>
        <v>4804.8</v>
      </c>
      <c r="I795" s="70" t="s">
        <v>1982</v>
      </c>
      <c r="J795" s="62" t="s">
        <v>1983</v>
      </c>
      <c r="K795" s="8"/>
      <c r="L795" s="10"/>
      <c r="M795" s="62">
        <v>1</v>
      </c>
      <c r="N795" s="8">
        <v>1</v>
      </c>
      <c r="O795" s="62">
        <f t="shared" si="165"/>
        <v>0</v>
      </c>
      <c r="P795" s="70">
        <v>191</v>
      </c>
      <c r="Q795" s="71">
        <v>46139</v>
      </c>
      <c r="R795" s="6">
        <v>46139</v>
      </c>
      <c r="S795" s="64">
        <v>10920</v>
      </c>
      <c r="T795" s="22">
        <v>5</v>
      </c>
      <c r="U795" s="64">
        <f t="shared" si="166"/>
        <v>546</v>
      </c>
      <c r="V795" s="22">
        <v>0</v>
      </c>
      <c r="W795" s="22">
        <v>34398</v>
      </c>
      <c r="X795" s="62" t="s">
        <v>1995</v>
      </c>
      <c r="Y795" s="62" t="s">
        <v>1120</v>
      </c>
      <c r="Z795" s="62" t="s">
        <v>1116</v>
      </c>
      <c r="AA795" s="65">
        <v>-80</v>
      </c>
      <c r="AB795" s="66"/>
      <c r="AC795" s="1" t="s">
        <v>1418</v>
      </c>
      <c r="AD795" s="62" t="str">
        <f>VLOOKUP(X795,'Customer List'!B:C,2,)</f>
        <v>DELHI</v>
      </c>
      <c r="AE795" s="67"/>
      <c r="AF795" s="6"/>
      <c r="AG795" s="62" t="str">
        <f t="shared" si="167"/>
        <v/>
      </c>
      <c r="AH795" s="62" t="str">
        <f t="shared" si="168"/>
        <v>Saturday</v>
      </c>
      <c r="AI795" s="62" t="str">
        <f t="shared" si="162"/>
        <v/>
      </c>
      <c r="AJ795" s="62" t="str">
        <f>VLOOKUP(AC795,'Currency Sheet'!A:C,3,)</f>
        <v>DOLLAR</v>
      </c>
      <c r="AK795" s="62" t="str">
        <f>VLOOKUP(X795,'Customer List'!B:D,3,)</f>
        <v>Local</v>
      </c>
    </row>
    <row r="796" spans="1:37" hidden="1" x14ac:dyDescent="0.25">
      <c r="A796" s="62">
        <f t="shared" si="161"/>
        <v>781</v>
      </c>
      <c r="B796" s="62" t="s">
        <v>27</v>
      </c>
      <c r="C796" s="62" t="s">
        <v>1955</v>
      </c>
      <c r="D796" s="6">
        <v>46127</v>
      </c>
      <c r="E796" s="6">
        <v>46137</v>
      </c>
      <c r="F796" s="63">
        <v>54.6</v>
      </c>
      <c r="G796" s="64">
        <f t="shared" si="163"/>
        <v>4804.8</v>
      </c>
      <c r="H796" s="64">
        <f t="shared" si="164"/>
        <v>4804.8</v>
      </c>
      <c r="I796" s="70" t="s">
        <v>1980</v>
      </c>
      <c r="J796" s="62" t="s">
        <v>1984</v>
      </c>
      <c r="K796" s="8"/>
      <c r="L796" s="10"/>
      <c r="M796" s="62">
        <v>1</v>
      </c>
      <c r="N796" s="8">
        <v>1</v>
      </c>
      <c r="O796" s="62">
        <f t="shared" si="165"/>
        <v>0</v>
      </c>
      <c r="P796" s="70">
        <v>191</v>
      </c>
      <c r="Q796" s="71">
        <v>46139</v>
      </c>
      <c r="R796" s="6">
        <v>46139</v>
      </c>
      <c r="S796" s="64">
        <v>10920</v>
      </c>
      <c r="T796" s="22">
        <v>5</v>
      </c>
      <c r="U796" s="64">
        <f t="shared" si="166"/>
        <v>546</v>
      </c>
      <c r="V796" s="22">
        <v>0</v>
      </c>
      <c r="W796" s="22">
        <v>34398</v>
      </c>
      <c r="X796" s="62" t="s">
        <v>1995</v>
      </c>
      <c r="Y796" s="62" t="s">
        <v>1120</v>
      </c>
      <c r="Z796" s="62" t="s">
        <v>1116</v>
      </c>
      <c r="AA796" s="65">
        <v>-80</v>
      </c>
      <c r="AB796" s="66"/>
      <c r="AC796" s="1" t="s">
        <v>1418</v>
      </c>
      <c r="AD796" s="62" t="str">
        <f>VLOOKUP(X796,'Customer List'!B:C,2,)</f>
        <v>DELHI</v>
      </c>
      <c r="AE796" s="67"/>
      <c r="AF796" s="6"/>
      <c r="AG796" s="62" t="str">
        <f t="shared" si="167"/>
        <v/>
      </c>
      <c r="AH796" s="62" t="str">
        <f t="shared" si="168"/>
        <v>Saturday</v>
      </c>
      <c r="AI796" s="62" t="str">
        <f t="shared" si="162"/>
        <v/>
      </c>
      <c r="AJ796" s="62" t="str">
        <f>VLOOKUP(AC796,'Currency Sheet'!A:C,3,)</f>
        <v>DOLLAR</v>
      </c>
      <c r="AK796" s="62" t="str">
        <f>VLOOKUP(X796,'Customer List'!B:D,3,)</f>
        <v>Local</v>
      </c>
    </row>
    <row r="797" spans="1:37" hidden="1" x14ac:dyDescent="0.25">
      <c r="A797" s="62">
        <f t="shared" si="161"/>
        <v>782</v>
      </c>
      <c r="B797" s="62" t="s">
        <v>27</v>
      </c>
      <c r="C797" s="62" t="s">
        <v>1955</v>
      </c>
      <c r="D797" s="6">
        <v>46127</v>
      </c>
      <c r="E797" s="6">
        <v>46137</v>
      </c>
      <c r="F797" s="63">
        <v>310.8</v>
      </c>
      <c r="G797" s="64">
        <f t="shared" si="163"/>
        <v>27350.400000000001</v>
      </c>
      <c r="H797" s="64">
        <f t="shared" si="164"/>
        <v>27350.400000000001</v>
      </c>
      <c r="I797" s="70" t="s">
        <v>1985</v>
      </c>
      <c r="J797" s="62" t="s">
        <v>1986</v>
      </c>
      <c r="K797" s="8"/>
      <c r="L797" s="10"/>
      <c r="M797" s="62">
        <v>1</v>
      </c>
      <c r="N797" s="8">
        <v>1</v>
      </c>
      <c r="O797" s="62">
        <f t="shared" si="165"/>
        <v>0</v>
      </c>
      <c r="P797" s="70">
        <v>190</v>
      </c>
      <c r="Q797" s="71">
        <v>46137</v>
      </c>
      <c r="R797" s="6">
        <v>46137</v>
      </c>
      <c r="S797" s="64">
        <v>45288</v>
      </c>
      <c r="T797" s="22">
        <v>5</v>
      </c>
      <c r="U797" s="64">
        <f t="shared" si="166"/>
        <v>2264.4</v>
      </c>
      <c r="V797" s="22">
        <v>-0.4</v>
      </c>
      <c r="W797" s="22">
        <v>47552</v>
      </c>
      <c r="X797" s="62" t="s">
        <v>1993</v>
      </c>
      <c r="Y797" s="62">
        <v>58164749694</v>
      </c>
      <c r="Z797" s="62" t="s">
        <v>1112</v>
      </c>
      <c r="AA797" s="65">
        <v>-20</v>
      </c>
      <c r="AB797" s="66"/>
      <c r="AC797" s="1" t="s">
        <v>1418</v>
      </c>
      <c r="AD797" s="62" t="str">
        <f>VLOOKUP(X797,'Customer List'!B:C,2,)</f>
        <v>Bhopal</v>
      </c>
      <c r="AE797" s="67"/>
      <c r="AF797" s="6">
        <v>46140</v>
      </c>
      <c r="AG797" s="62">
        <f t="shared" si="167"/>
        <v>3</v>
      </c>
      <c r="AH797" s="62" t="str">
        <f t="shared" si="168"/>
        <v>Thursday</v>
      </c>
      <c r="AI797" s="62" t="str">
        <f t="shared" si="162"/>
        <v>Tuesday</v>
      </c>
      <c r="AJ797" s="62" t="str">
        <f>VLOOKUP(AC797,'Currency Sheet'!A:C,3,)</f>
        <v>DOLLAR</v>
      </c>
      <c r="AK797" s="62" t="str">
        <f>VLOOKUP(X797,'Customer List'!B:D,3,)</f>
        <v>OutStation</v>
      </c>
    </row>
    <row r="798" spans="1:37" hidden="1" x14ac:dyDescent="0.25">
      <c r="A798" s="62">
        <f t="shared" ref="A798:A861" si="169">A797+1</f>
        <v>783</v>
      </c>
      <c r="B798" s="62" t="s">
        <v>27</v>
      </c>
      <c r="C798" s="62" t="s">
        <v>1955</v>
      </c>
      <c r="D798" s="6">
        <v>46127</v>
      </c>
      <c r="E798" s="6">
        <v>46137</v>
      </c>
      <c r="F798" s="63">
        <v>192.5</v>
      </c>
      <c r="G798" s="64">
        <f t="shared" si="163"/>
        <v>16940</v>
      </c>
      <c r="H798" s="64">
        <f t="shared" si="164"/>
        <v>16940</v>
      </c>
      <c r="I798" s="70" t="s">
        <v>1987</v>
      </c>
      <c r="J798" s="62" t="s">
        <v>1988</v>
      </c>
      <c r="K798" s="8"/>
      <c r="L798" s="10"/>
      <c r="M798" s="62">
        <v>1</v>
      </c>
      <c r="N798" s="8">
        <v>1</v>
      </c>
      <c r="O798" s="62">
        <f t="shared" si="165"/>
        <v>0</v>
      </c>
      <c r="P798" s="70">
        <v>189</v>
      </c>
      <c r="Q798" s="71">
        <v>46137</v>
      </c>
      <c r="R798" s="6">
        <v>46137</v>
      </c>
      <c r="S798" s="64">
        <v>37125</v>
      </c>
      <c r="T798" s="22">
        <v>18</v>
      </c>
      <c r="U798" s="64">
        <f t="shared" si="166"/>
        <v>6682.5</v>
      </c>
      <c r="V798" s="22">
        <v>0.5</v>
      </c>
      <c r="W798" s="22">
        <v>43808</v>
      </c>
      <c r="X798" s="62" t="s">
        <v>1111</v>
      </c>
      <c r="Y798" s="62">
        <v>58164749086</v>
      </c>
      <c r="Z798" s="62" t="s">
        <v>1112</v>
      </c>
      <c r="AA798" s="65">
        <v>-20</v>
      </c>
      <c r="AB798" s="66"/>
      <c r="AC798" s="1" t="s">
        <v>1418</v>
      </c>
      <c r="AD798" s="62" t="str">
        <f>VLOOKUP(X798,'Customer List'!B:C,2,)</f>
        <v>Kanpur</v>
      </c>
      <c r="AE798" s="67"/>
      <c r="AF798" s="6">
        <v>46139</v>
      </c>
      <c r="AG798" s="62">
        <f t="shared" si="167"/>
        <v>2</v>
      </c>
      <c r="AH798" s="62" t="str">
        <f t="shared" si="168"/>
        <v>Wednesday</v>
      </c>
      <c r="AI798" s="62" t="str">
        <f t="shared" si="162"/>
        <v>Monday</v>
      </c>
      <c r="AJ798" s="62" t="str">
        <f>VLOOKUP(AC798,'Currency Sheet'!A:C,3,)</f>
        <v>DOLLAR</v>
      </c>
      <c r="AK798" s="62" t="str">
        <f>VLOOKUP(X798,'Customer List'!B:D,3,)</f>
        <v>OutStation</v>
      </c>
    </row>
    <row r="799" spans="1:37" hidden="1" x14ac:dyDescent="0.25">
      <c r="A799" s="62">
        <f t="shared" si="169"/>
        <v>784</v>
      </c>
      <c r="B799" s="62" t="s">
        <v>27</v>
      </c>
      <c r="C799" s="62" t="s">
        <v>1955</v>
      </c>
      <c r="D799" s="6">
        <v>46127</v>
      </c>
      <c r="E799" s="6">
        <v>46137</v>
      </c>
      <c r="F799" s="63">
        <v>2.08</v>
      </c>
      <c r="G799" s="64">
        <f t="shared" si="163"/>
        <v>183.04000000000002</v>
      </c>
      <c r="H799" s="64">
        <f t="shared" si="164"/>
        <v>183.04000000000002</v>
      </c>
      <c r="I799" s="70" t="s">
        <v>1989</v>
      </c>
      <c r="J799" s="62" t="s">
        <v>1990</v>
      </c>
      <c r="K799" s="8"/>
      <c r="L799" s="10"/>
      <c r="M799" s="62">
        <v>1</v>
      </c>
      <c r="N799" s="8">
        <v>1</v>
      </c>
      <c r="O799" s="62">
        <f t="shared" si="165"/>
        <v>0</v>
      </c>
      <c r="P799" s="70" t="s">
        <v>2008</v>
      </c>
      <c r="Q799" s="71">
        <v>46137</v>
      </c>
      <c r="R799" s="6">
        <v>46137</v>
      </c>
      <c r="S799" s="64">
        <v>0</v>
      </c>
      <c r="T799" s="22">
        <v>5</v>
      </c>
      <c r="U799" s="64">
        <f t="shared" si="166"/>
        <v>0</v>
      </c>
      <c r="V799" s="22">
        <v>0</v>
      </c>
      <c r="W799" s="22">
        <v>1221075</v>
      </c>
      <c r="X799" s="62" t="s">
        <v>1994</v>
      </c>
      <c r="Y799" s="62">
        <v>58164749941</v>
      </c>
      <c r="Z799" s="62" t="s">
        <v>1112</v>
      </c>
      <c r="AA799" s="65">
        <v>-20</v>
      </c>
      <c r="AB799" s="66"/>
      <c r="AC799" s="1" t="s">
        <v>1418</v>
      </c>
      <c r="AD799" s="62" t="str">
        <f>VLOOKUP(X799,'Customer List'!B:C,2,)</f>
        <v>Kolkata</v>
      </c>
      <c r="AE799" s="67"/>
      <c r="AF799" s="6">
        <v>46139</v>
      </c>
      <c r="AG799" s="62">
        <f t="shared" si="167"/>
        <v>2</v>
      </c>
      <c r="AH799" s="62" t="str">
        <f t="shared" si="168"/>
        <v>Saturday</v>
      </c>
      <c r="AI799" s="62" t="str">
        <f t="shared" si="162"/>
        <v>Monday</v>
      </c>
      <c r="AJ799" s="62" t="str">
        <f>VLOOKUP(AC799,'Currency Sheet'!A:C,3,)</f>
        <v>DOLLAR</v>
      </c>
      <c r="AK799" s="62" t="str">
        <f>VLOOKUP(X799,'Customer List'!B:D,3,)</f>
        <v>OutStation</v>
      </c>
    </row>
    <row r="800" spans="1:37" hidden="1" x14ac:dyDescent="0.25">
      <c r="A800" s="62">
        <f t="shared" si="169"/>
        <v>785</v>
      </c>
      <c r="B800" s="62" t="s">
        <v>1369</v>
      </c>
      <c r="C800" s="62" t="s">
        <v>1997</v>
      </c>
      <c r="D800" s="6">
        <v>46136</v>
      </c>
      <c r="E800" s="6">
        <v>46139</v>
      </c>
      <c r="F800" s="63">
        <v>7008.75</v>
      </c>
      <c r="G800" s="64">
        <f t="shared" si="163"/>
        <v>7008.75</v>
      </c>
      <c r="H800" s="64">
        <f t="shared" si="164"/>
        <v>7008.75</v>
      </c>
      <c r="I800" s="70">
        <v>116913100</v>
      </c>
      <c r="J800" s="62" t="s">
        <v>1998</v>
      </c>
      <c r="K800" s="8"/>
      <c r="L800" s="10"/>
      <c r="M800" s="62">
        <v>1</v>
      </c>
      <c r="N800" s="8">
        <v>1</v>
      </c>
      <c r="O800" s="62">
        <f t="shared" si="165"/>
        <v>0</v>
      </c>
      <c r="P800" s="70">
        <v>209</v>
      </c>
      <c r="Q800" s="71">
        <v>46139</v>
      </c>
      <c r="R800" s="6">
        <v>46140</v>
      </c>
      <c r="S800" s="64">
        <v>7476</v>
      </c>
      <c r="T800" s="22">
        <v>5</v>
      </c>
      <c r="U800" s="64">
        <f t="shared" si="166"/>
        <v>373.8</v>
      </c>
      <c r="V800" s="22">
        <v>0.2</v>
      </c>
      <c r="W800" s="22">
        <v>7850</v>
      </c>
      <c r="X800" s="62" t="s">
        <v>1836</v>
      </c>
      <c r="Y800" s="62">
        <v>58164837021</v>
      </c>
      <c r="Z800" s="62" t="s">
        <v>1112</v>
      </c>
      <c r="AA800" s="65" t="s">
        <v>808</v>
      </c>
      <c r="AB800" s="66"/>
      <c r="AC800" s="1" t="s">
        <v>1369</v>
      </c>
      <c r="AD800" s="62" t="str">
        <f>VLOOKUP(X800,'Customer List'!B:C,2,)</f>
        <v>Chennai</v>
      </c>
      <c r="AE800" s="67"/>
      <c r="AF800" s="6">
        <v>46141</v>
      </c>
      <c r="AG800" s="62">
        <f t="shared" si="167"/>
        <v>1</v>
      </c>
      <c r="AH800" s="62" t="str">
        <f t="shared" si="168"/>
        <v>Saturday</v>
      </c>
      <c r="AI800" s="62" t="str">
        <f t="shared" si="162"/>
        <v>Wednesday</v>
      </c>
      <c r="AJ800" s="62" t="str">
        <f>VLOOKUP(AC800,'Currency Sheet'!A:C,3,)</f>
        <v>INR</v>
      </c>
      <c r="AK800" s="62" t="str">
        <f>VLOOKUP(X800,'Customer List'!B:D,3,)</f>
        <v>OutStation</v>
      </c>
    </row>
    <row r="801" spans="1:37" hidden="1" x14ac:dyDescent="0.25">
      <c r="A801" s="62">
        <f t="shared" si="169"/>
        <v>786</v>
      </c>
      <c r="B801" s="62" t="s">
        <v>31</v>
      </c>
      <c r="C801" s="62">
        <v>189154</v>
      </c>
      <c r="D801" s="6">
        <v>46136</v>
      </c>
      <c r="E801" s="6">
        <v>46139</v>
      </c>
      <c r="F801" s="63"/>
      <c r="G801" s="64">
        <f t="shared" si="163"/>
        <v>0</v>
      </c>
      <c r="H801" s="64">
        <f t="shared" si="164"/>
        <v>0</v>
      </c>
      <c r="I801" s="70" t="s">
        <v>1431</v>
      </c>
      <c r="J801" s="62"/>
      <c r="K801" s="8"/>
      <c r="L801" s="10"/>
      <c r="M801" s="62">
        <v>1</v>
      </c>
      <c r="N801" s="8">
        <v>1</v>
      </c>
      <c r="O801" s="62">
        <f t="shared" si="165"/>
        <v>0</v>
      </c>
      <c r="P801" s="70">
        <v>211</v>
      </c>
      <c r="Q801" s="71">
        <v>46139</v>
      </c>
      <c r="R801" s="6">
        <v>46140</v>
      </c>
      <c r="S801" s="64">
        <v>13519</v>
      </c>
      <c r="T801" s="22">
        <v>5</v>
      </c>
      <c r="U801" s="64">
        <f t="shared" si="166"/>
        <v>675.95</v>
      </c>
      <c r="V801" s="22">
        <v>0.1</v>
      </c>
      <c r="W801" s="22">
        <v>28390</v>
      </c>
      <c r="X801" s="62" t="s">
        <v>801</v>
      </c>
      <c r="Y801" s="62">
        <v>58164836354</v>
      </c>
      <c r="Z801" s="62" t="s">
        <v>1112</v>
      </c>
      <c r="AA801" s="65">
        <v>4</v>
      </c>
      <c r="AB801" s="66"/>
      <c r="AC801" s="1" t="s">
        <v>1435</v>
      </c>
      <c r="AD801" s="62" t="str">
        <f>VLOOKUP(X801,'Customer List'!B:C,2,)</f>
        <v>Mumbai</v>
      </c>
      <c r="AE801" s="67"/>
      <c r="AF801" s="6">
        <v>46141</v>
      </c>
      <c r="AG801" s="62">
        <f t="shared" si="167"/>
        <v>1</v>
      </c>
      <c r="AH801" s="62" t="str">
        <f t="shared" si="168"/>
        <v>Monday</v>
      </c>
      <c r="AI801" s="62" t="str">
        <f t="shared" si="162"/>
        <v>Wednesday</v>
      </c>
      <c r="AJ801" s="62" t="str">
        <f>VLOOKUP(AC801,'Currency Sheet'!A:C,3,)</f>
        <v>DOLLAR</v>
      </c>
      <c r="AK801" s="62" t="str">
        <f>VLOOKUP(X801,'Customer List'!B:D,3,)</f>
        <v>OutStation</v>
      </c>
    </row>
    <row r="802" spans="1:37" hidden="1" x14ac:dyDescent="0.25">
      <c r="A802" s="62">
        <f t="shared" si="169"/>
        <v>787</v>
      </c>
      <c r="B802" s="62" t="s">
        <v>31</v>
      </c>
      <c r="C802" s="62">
        <v>189154</v>
      </c>
      <c r="D802" s="6">
        <v>46136</v>
      </c>
      <c r="E802" s="6">
        <v>46139</v>
      </c>
      <c r="F802" s="63"/>
      <c r="G802" s="64">
        <f t="shared" si="163"/>
        <v>0</v>
      </c>
      <c r="H802" s="64">
        <f t="shared" si="164"/>
        <v>0</v>
      </c>
      <c r="I802" s="70" t="s">
        <v>1432</v>
      </c>
      <c r="J802" s="62"/>
      <c r="K802" s="8"/>
      <c r="L802" s="10"/>
      <c r="M802" s="62">
        <v>1</v>
      </c>
      <c r="N802" s="8">
        <v>1</v>
      </c>
      <c r="O802" s="62">
        <f t="shared" si="165"/>
        <v>0</v>
      </c>
      <c r="P802" s="70">
        <v>211</v>
      </c>
      <c r="Q802" s="71">
        <v>46139</v>
      </c>
      <c r="R802" s="6">
        <v>46140</v>
      </c>
      <c r="S802" s="64">
        <v>13519</v>
      </c>
      <c r="T802" s="22">
        <v>5</v>
      </c>
      <c r="U802" s="64">
        <f t="shared" si="166"/>
        <v>675.95</v>
      </c>
      <c r="V802" s="22">
        <v>0</v>
      </c>
      <c r="W802" s="22">
        <v>28390</v>
      </c>
      <c r="X802" s="62" t="s">
        <v>801</v>
      </c>
      <c r="Y802" s="62">
        <v>58164836354</v>
      </c>
      <c r="Z802" s="62" t="s">
        <v>1112</v>
      </c>
      <c r="AA802" s="65">
        <v>4</v>
      </c>
      <c r="AB802" s="66"/>
      <c r="AC802" s="1" t="s">
        <v>1435</v>
      </c>
      <c r="AD802" s="62" t="str">
        <f>VLOOKUP(X802,'Customer List'!B:C,2,)</f>
        <v>Mumbai</v>
      </c>
      <c r="AE802" s="67"/>
      <c r="AF802" s="6">
        <v>46141</v>
      </c>
      <c r="AG802" s="62">
        <f t="shared" si="167"/>
        <v>1</v>
      </c>
      <c r="AH802" s="62" t="str">
        <f t="shared" si="168"/>
        <v>Monday</v>
      </c>
      <c r="AI802" s="62" t="str">
        <f t="shared" si="162"/>
        <v>Wednesday</v>
      </c>
      <c r="AJ802" s="62" t="str">
        <f>VLOOKUP(AC802,'Currency Sheet'!A:C,3,)</f>
        <v>DOLLAR</v>
      </c>
      <c r="AK802" s="62" t="str">
        <f>VLOOKUP(X802,'Customer List'!B:D,3,)</f>
        <v>OutStation</v>
      </c>
    </row>
    <row r="803" spans="1:37" hidden="1" x14ac:dyDescent="0.25">
      <c r="A803" s="62">
        <f t="shared" si="169"/>
        <v>788</v>
      </c>
      <c r="B803" s="62" t="s">
        <v>31</v>
      </c>
      <c r="C803" s="62">
        <v>189154</v>
      </c>
      <c r="D803" s="6">
        <v>46136</v>
      </c>
      <c r="E803" s="6">
        <v>46139</v>
      </c>
      <c r="F803" s="63"/>
      <c r="G803" s="64">
        <f t="shared" si="163"/>
        <v>0</v>
      </c>
      <c r="H803" s="64">
        <f t="shared" si="164"/>
        <v>0</v>
      </c>
      <c r="I803" s="70" t="s">
        <v>1999</v>
      </c>
      <c r="J803" s="62"/>
      <c r="K803" s="8"/>
      <c r="L803" s="10"/>
      <c r="M803" s="62">
        <v>1</v>
      </c>
      <c r="N803" s="8">
        <v>1</v>
      </c>
      <c r="O803" s="62">
        <f t="shared" si="165"/>
        <v>0</v>
      </c>
      <c r="P803" s="70">
        <v>212</v>
      </c>
      <c r="Q803" s="71">
        <v>46139</v>
      </c>
      <c r="R803" s="6">
        <v>46140</v>
      </c>
      <c r="S803" s="64">
        <v>278852</v>
      </c>
      <c r="T803" s="22">
        <v>5</v>
      </c>
      <c r="U803" s="64">
        <f t="shared" si="166"/>
        <v>13942.6</v>
      </c>
      <c r="V803" s="22">
        <v>0.4</v>
      </c>
      <c r="W803" s="22">
        <v>292795</v>
      </c>
      <c r="X803" s="62" t="s">
        <v>37</v>
      </c>
      <c r="Y803" s="62">
        <v>58164836520</v>
      </c>
      <c r="Z803" s="62" t="s">
        <v>1112</v>
      </c>
      <c r="AA803" s="65">
        <v>4</v>
      </c>
      <c r="AB803" s="66"/>
      <c r="AC803" s="1" t="s">
        <v>1435</v>
      </c>
      <c r="AD803" s="62" t="str">
        <f>VLOOKUP(X803,'Customer List'!B:C,2,)</f>
        <v>Hyderabad</v>
      </c>
      <c r="AE803" s="67"/>
      <c r="AF803" s="6">
        <v>46141</v>
      </c>
      <c r="AG803" s="62">
        <f t="shared" si="167"/>
        <v>1</v>
      </c>
      <c r="AH803" s="62" t="str">
        <f t="shared" si="168"/>
        <v>Saturday</v>
      </c>
      <c r="AI803" s="62" t="str">
        <f t="shared" si="162"/>
        <v>Wednesday</v>
      </c>
      <c r="AJ803" s="62" t="str">
        <f>VLOOKUP(AC803,'Currency Sheet'!A:C,3,)</f>
        <v>DOLLAR</v>
      </c>
      <c r="AK803" s="62" t="str">
        <f>VLOOKUP(X803,'Customer List'!B:D,3,)</f>
        <v>OutStation</v>
      </c>
    </row>
    <row r="804" spans="1:37" hidden="1" x14ac:dyDescent="0.25">
      <c r="A804" s="62">
        <f t="shared" si="169"/>
        <v>789</v>
      </c>
      <c r="B804" s="62" t="s">
        <v>31</v>
      </c>
      <c r="C804" s="62">
        <v>188945</v>
      </c>
      <c r="D804" s="6">
        <v>46133</v>
      </c>
      <c r="E804" s="6">
        <v>46139</v>
      </c>
      <c r="F804" s="63">
        <v>391.2</v>
      </c>
      <c r="G804" s="64">
        <f t="shared" si="163"/>
        <v>34425.599999999999</v>
      </c>
      <c r="H804" s="64">
        <f t="shared" si="164"/>
        <v>68851.199999999997</v>
      </c>
      <c r="I804" s="70" t="s">
        <v>2000</v>
      </c>
      <c r="J804" s="62"/>
      <c r="K804" s="8"/>
      <c r="L804" s="10"/>
      <c r="M804" s="62">
        <v>2</v>
      </c>
      <c r="N804" s="8">
        <v>2</v>
      </c>
      <c r="O804" s="62">
        <f t="shared" si="165"/>
        <v>0</v>
      </c>
      <c r="P804" s="70">
        <v>36</v>
      </c>
      <c r="Q804" s="71">
        <v>46140</v>
      </c>
      <c r="R804" s="6">
        <v>46140</v>
      </c>
      <c r="S804" s="64">
        <v>119120.4</v>
      </c>
      <c r="T804" s="22">
        <v>5</v>
      </c>
      <c r="U804" s="64">
        <f t="shared" si="166"/>
        <v>5956.02</v>
      </c>
      <c r="V804" s="22">
        <v>-0.16</v>
      </c>
      <c r="W804" s="22">
        <v>267226</v>
      </c>
      <c r="X804" s="62" t="s">
        <v>793</v>
      </c>
      <c r="Y804" s="62" t="s">
        <v>1120</v>
      </c>
      <c r="Z804" s="62" t="s">
        <v>1863</v>
      </c>
      <c r="AA804" s="65">
        <v>4</v>
      </c>
      <c r="AB804" s="66"/>
      <c r="AC804" s="1" t="s">
        <v>1435</v>
      </c>
      <c r="AD804" s="62" t="str">
        <f>VLOOKUP(X804,'Customer List'!B:C,2,)</f>
        <v>Delhi</v>
      </c>
      <c r="AE804" s="67"/>
      <c r="AF804" s="6"/>
      <c r="AG804" s="62" t="str">
        <f t="shared" si="167"/>
        <v/>
      </c>
      <c r="AH804" s="62" t="str">
        <f t="shared" si="168"/>
        <v>Sunday</v>
      </c>
      <c r="AI804" s="62" t="str">
        <f t="shared" si="162"/>
        <v/>
      </c>
      <c r="AJ804" s="62" t="str">
        <f>VLOOKUP(AC804,'Currency Sheet'!A:C,3,)</f>
        <v>DOLLAR</v>
      </c>
      <c r="AK804" s="62" t="str">
        <f>VLOOKUP(X804,'Customer List'!B:D,3,)</f>
        <v>Local</v>
      </c>
    </row>
    <row r="805" spans="1:37" hidden="1" x14ac:dyDescent="0.25">
      <c r="A805" s="62">
        <f t="shared" si="169"/>
        <v>790</v>
      </c>
      <c r="B805" s="62" t="s">
        <v>31</v>
      </c>
      <c r="C805" s="62">
        <v>188945</v>
      </c>
      <c r="D805" s="6">
        <v>46133</v>
      </c>
      <c r="E805" s="6">
        <v>46139</v>
      </c>
      <c r="F805" s="63">
        <v>106.8</v>
      </c>
      <c r="G805" s="64">
        <f t="shared" si="163"/>
        <v>9398.4</v>
      </c>
      <c r="H805" s="64">
        <f t="shared" si="164"/>
        <v>9398.4</v>
      </c>
      <c r="I805" s="70" t="s">
        <v>2001</v>
      </c>
      <c r="J805" s="62"/>
      <c r="K805" s="8"/>
      <c r="L805" s="10"/>
      <c r="M805" s="62">
        <v>1</v>
      </c>
      <c r="N805" s="8">
        <v>1</v>
      </c>
      <c r="O805" s="62">
        <f t="shared" si="165"/>
        <v>0</v>
      </c>
      <c r="P805" s="70">
        <v>36</v>
      </c>
      <c r="Q805" s="71">
        <v>46140</v>
      </c>
      <c r="R805" s="6">
        <v>46140</v>
      </c>
      <c r="S805" s="64">
        <v>16260.3</v>
      </c>
      <c r="T805" s="22">
        <v>5</v>
      </c>
      <c r="U805" s="64">
        <f t="shared" si="166"/>
        <v>813.01499999999999</v>
      </c>
      <c r="V805" s="22">
        <v>0</v>
      </c>
      <c r="W805" s="22">
        <v>267226</v>
      </c>
      <c r="X805" s="62" t="s">
        <v>793</v>
      </c>
      <c r="Y805" s="62" t="s">
        <v>1120</v>
      </c>
      <c r="Z805" s="62" t="s">
        <v>1863</v>
      </c>
      <c r="AA805" s="65">
        <v>4</v>
      </c>
      <c r="AB805" s="66"/>
      <c r="AC805" s="1" t="s">
        <v>1435</v>
      </c>
      <c r="AD805" s="62" t="str">
        <f>VLOOKUP(X805,'Customer List'!B:C,2,)</f>
        <v>Delhi</v>
      </c>
      <c r="AE805" s="67"/>
      <c r="AF805" s="6"/>
      <c r="AG805" s="62" t="str">
        <f t="shared" si="167"/>
        <v/>
      </c>
      <c r="AH805" s="62" t="str">
        <f t="shared" si="168"/>
        <v>Friday</v>
      </c>
      <c r="AI805" s="62" t="str">
        <f t="shared" si="162"/>
        <v/>
      </c>
      <c r="AJ805" s="62" t="str">
        <f>VLOOKUP(AC805,'Currency Sheet'!A:C,3,)</f>
        <v>DOLLAR</v>
      </c>
      <c r="AK805" s="62" t="str">
        <f>VLOOKUP(X805,'Customer List'!B:D,3,)</f>
        <v>Local</v>
      </c>
    </row>
    <row r="806" spans="1:37" hidden="1" x14ac:dyDescent="0.25">
      <c r="A806" s="62">
        <f t="shared" si="169"/>
        <v>791</v>
      </c>
      <c r="B806" s="62" t="s">
        <v>31</v>
      </c>
      <c r="C806" s="62">
        <v>188945</v>
      </c>
      <c r="D806" s="6">
        <v>46133</v>
      </c>
      <c r="E806" s="6">
        <v>46139</v>
      </c>
      <c r="F806" s="63">
        <v>391.2</v>
      </c>
      <c r="G806" s="64">
        <f t="shared" si="163"/>
        <v>34425.599999999999</v>
      </c>
      <c r="H806" s="64">
        <f t="shared" si="164"/>
        <v>68851.199999999997</v>
      </c>
      <c r="I806" s="70" t="s">
        <v>1436</v>
      </c>
      <c r="J806" s="62"/>
      <c r="K806" s="8"/>
      <c r="L806" s="10"/>
      <c r="M806" s="62">
        <v>2</v>
      </c>
      <c r="N806" s="8">
        <v>2</v>
      </c>
      <c r="O806" s="62">
        <f t="shared" si="165"/>
        <v>0</v>
      </c>
      <c r="P806" s="70">
        <v>36</v>
      </c>
      <c r="Q806" s="71">
        <v>46140</v>
      </c>
      <c r="R806" s="6">
        <v>46140</v>
      </c>
      <c r="S806" s="64">
        <v>119120.4</v>
      </c>
      <c r="T806" s="22">
        <v>5</v>
      </c>
      <c r="U806" s="64">
        <f t="shared" si="166"/>
        <v>5956.02</v>
      </c>
      <c r="V806" s="22">
        <v>0</v>
      </c>
      <c r="W806" s="22">
        <v>267226</v>
      </c>
      <c r="X806" s="62" t="s">
        <v>793</v>
      </c>
      <c r="Y806" s="62" t="s">
        <v>1120</v>
      </c>
      <c r="Z806" s="62" t="s">
        <v>1863</v>
      </c>
      <c r="AA806" s="65">
        <v>4</v>
      </c>
      <c r="AB806" s="66"/>
      <c r="AC806" s="1" t="s">
        <v>1435</v>
      </c>
      <c r="AD806" s="62" t="str">
        <f>VLOOKUP(X806,'Customer List'!B:C,2,)</f>
        <v>Delhi</v>
      </c>
      <c r="AE806" s="67"/>
      <c r="AF806" s="6"/>
      <c r="AG806" s="62" t="str">
        <f t="shared" si="167"/>
        <v/>
      </c>
      <c r="AH806" s="62" t="str">
        <f t="shared" si="168"/>
        <v>Sunday</v>
      </c>
      <c r="AI806" s="62" t="str">
        <f t="shared" si="162"/>
        <v/>
      </c>
      <c r="AJ806" s="62" t="str">
        <f>VLOOKUP(AC806,'Currency Sheet'!A:C,3,)</f>
        <v>DOLLAR</v>
      </c>
      <c r="AK806" s="62" t="str">
        <f>VLOOKUP(X806,'Customer List'!B:D,3,)</f>
        <v>Local</v>
      </c>
    </row>
    <row r="807" spans="1:37" hidden="1" x14ac:dyDescent="0.25">
      <c r="A807" s="62">
        <f t="shared" si="169"/>
        <v>792</v>
      </c>
      <c r="B807" s="62" t="s">
        <v>31</v>
      </c>
      <c r="C807" s="62">
        <v>188945</v>
      </c>
      <c r="D807" s="6">
        <v>46133</v>
      </c>
      <c r="E807" s="6">
        <v>46139</v>
      </c>
      <c r="F807" s="63">
        <v>106.8</v>
      </c>
      <c r="G807" s="64">
        <f t="shared" si="163"/>
        <v>9398.4</v>
      </c>
      <c r="H807" s="64">
        <f t="shared" si="164"/>
        <v>9398.4</v>
      </c>
      <c r="I807" s="70" t="s">
        <v>2002</v>
      </c>
      <c r="J807" s="62"/>
      <c r="K807" s="8"/>
      <c r="L807" s="10"/>
      <c r="M807" s="62">
        <v>1</v>
      </c>
      <c r="N807" s="8">
        <v>1</v>
      </c>
      <c r="O807" s="62">
        <f t="shared" si="165"/>
        <v>0</v>
      </c>
      <c r="P807" s="70">
        <v>210</v>
      </c>
      <c r="Q807" s="71">
        <v>46139</v>
      </c>
      <c r="R807" s="6">
        <v>46140</v>
      </c>
      <c r="S807" s="64">
        <v>13519</v>
      </c>
      <c r="T807" s="22">
        <v>5</v>
      </c>
      <c r="U807" s="64">
        <f t="shared" si="166"/>
        <v>675.95</v>
      </c>
      <c r="V807" s="22">
        <v>0.05</v>
      </c>
      <c r="W807" s="22">
        <v>14195</v>
      </c>
      <c r="X807" s="62" t="s">
        <v>801</v>
      </c>
      <c r="Y807" s="62">
        <v>58164836354</v>
      </c>
      <c r="Z807" s="62" t="s">
        <v>1112</v>
      </c>
      <c r="AA807" s="65">
        <v>4</v>
      </c>
      <c r="AB807" s="66"/>
      <c r="AC807" s="1" t="s">
        <v>1435</v>
      </c>
      <c r="AD807" s="62" t="str">
        <f>VLOOKUP(X807,'Customer List'!B:C,2,)</f>
        <v>Mumbai</v>
      </c>
      <c r="AE807" s="67"/>
      <c r="AF807" s="6">
        <v>46141</v>
      </c>
      <c r="AG807" s="62">
        <f t="shared" si="167"/>
        <v>1</v>
      </c>
      <c r="AH807" s="62" t="str">
        <f t="shared" si="168"/>
        <v>Monday</v>
      </c>
      <c r="AI807" s="62" t="str">
        <f t="shared" si="162"/>
        <v>Wednesday</v>
      </c>
      <c r="AJ807" s="62" t="str">
        <f>VLOOKUP(AC807,'Currency Sheet'!A:C,3,)</f>
        <v>DOLLAR</v>
      </c>
      <c r="AK807" s="62" t="str">
        <f>VLOOKUP(X807,'Customer List'!B:D,3,)</f>
        <v>OutStation</v>
      </c>
    </row>
    <row r="808" spans="1:37" hidden="1" x14ac:dyDescent="0.25">
      <c r="A808" s="62">
        <f t="shared" si="169"/>
        <v>793</v>
      </c>
      <c r="B808" s="62" t="s">
        <v>2003</v>
      </c>
      <c r="C808" s="62">
        <v>346959</v>
      </c>
      <c r="D808" s="6">
        <v>46136</v>
      </c>
      <c r="E808" s="6">
        <v>46139</v>
      </c>
      <c r="F808" s="63">
        <v>146.25</v>
      </c>
      <c r="G808" s="64">
        <f t="shared" si="163"/>
        <v>12870</v>
      </c>
      <c r="H808" s="64">
        <f t="shared" si="164"/>
        <v>12870</v>
      </c>
      <c r="I808" s="70" t="s">
        <v>2004</v>
      </c>
      <c r="J808" s="62"/>
      <c r="K808" s="8"/>
      <c r="L808" s="10"/>
      <c r="M808" s="62">
        <v>1</v>
      </c>
      <c r="N808" s="8">
        <v>1</v>
      </c>
      <c r="O808" s="62">
        <f t="shared" si="165"/>
        <v>0</v>
      </c>
      <c r="P808" s="70" t="s">
        <v>2189</v>
      </c>
      <c r="Q808" s="71">
        <v>46139</v>
      </c>
      <c r="R808" s="6">
        <v>46140</v>
      </c>
      <c r="S808" s="64">
        <v>21206.25</v>
      </c>
      <c r="T808" s="22">
        <v>0</v>
      </c>
      <c r="U808" s="64">
        <f t="shared" si="166"/>
        <v>0</v>
      </c>
      <c r="V808" s="22">
        <v>-0.25</v>
      </c>
      <c r="W808" s="22">
        <v>21206</v>
      </c>
      <c r="X808" s="62" t="s">
        <v>1594</v>
      </c>
      <c r="Y808" s="62">
        <v>58164836004</v>
      </c>
      <c r="Z808" s="62" t="s">
        <v>1112</v>
      </c>
      <c r="AA808" s="65">
        <v>4</v>
      </c>
      <c r="AB808" s="66"/>
      <c r="AC808" s="1" t="s">
        <v>2003</v>
      </c>
      <c r="AD808" s="62" t="str">
        <f>VLOOKUP(X808,'Customer List'!B:C,2,)</f>
        <v>Banglore</v>
      </c>
      <c r="AE808" s="67"/>
      <c r="AF808" s="6">
        <v>46141</v>
      </c>
      <c r="AG808" s="62">
        <f t="shared" si="167"/>
        <v>1</v>
      </c>
      <c r="AH808" s="62" t="str">
        <f t="shared" si="168"/>
        <v>Tuesday</v>
      </c>
      <c r="AI808" s="62" t="str">
        <f t="shared" si="162"/>
        <v>Wednesday</v>
      </c>
      <c r="AJ808" s="62" t="str">
        <f>VLOOKUP(AC808,'Currency Sheet'!A:C,3,)</f>
        <v>DOLLAR</v>
      </c>
      <c r="AK808" s="62" t="str">
        <f>VLOOKUP(X808,'Customer List'!B:D,3,)</f>
        <v>OutStation</v>
      </c>
    </row>
    <row r="809" spans="1:37" hidden="1" x14ac:dyDescent="0.25">
      <c r="A809" s="62">
        <f t="shared" si="169"/>
        <v>794</v>
      </c>
      <c r="B809" s="62" t="s">
        <v>824</v>
      </c>
      <c r="C809" s="62" t="s">
        <v>2015</v>
      </c>
      <c r="D809" s="6">
        <v>46129</v>
      </c>
      <c r="E809" s="6">
        <v>46139</v>
      </c>
      <c r="F809" s="63">
        <v>17.5</v>
      </c>
      <c r="G809" s="64">
        <f t="shared" si="163"/>
        <v>1540</v>
      </c>
      <c r="H809" s="64">
        <f t="shared" si="164"/>
        <v>1540</v>
      </c>
      <c r="I809" s="70">
        <v>100511</v>
      </c>
      <c r="J809" s="62" t="s">
        <v>1675</v>
      </c>
      <c r="K809" s="8" t="s">
        <v>2016</v>
      </c>
      <c r="L809" s="10" t="s">
        <v>2017</v>
      </c>
      <c r="M809" s="62">
        <v>1</v>
      </c>
      <c r="N809" s="8">
        <v>1</v>
      </c>
      <c r="O809" s="62">
        <f t="shared" si="165"/>
        <v>0</v>
      </c>
      <c r="P809" s="70">
        <v>263</v>
      </c>
      <c r="Q809" s="71">
        <v>46148</v>
      </c>
      <c r="R809" s="6">
        <v>46148</v>
      </c>
      <c r="S809" s="64">
        <v>2906.25</v>
      </c>
      <c r="T809" s="22">
        <v>5</v>
      </c>
      <c r="U809" s="64">
        <f t="shared" si="166"/>
        <v>145.3125</v>
      </c>
      <c r="V809" s="22">
        <v>0</v>
      </c>
      <c r="W809" s="22">
        <v>18187</v>
      </c>
      <c r="X809" s="62" t="s">
        <v>344</v>
      </c>
      <c r="Y809" s="62" t="s">
        <v>1120</v>
      </c>
      <c r="Z809" s="62" t="s">
        <v>1863</v>
      </c>
      <c r="AA809" s="65">
        <v>4</v>
      </c>
      <c r="AB809" s="66"/>
      <c r="AC809" s="1" t="s">
        <v>1842</v>
      </c>
      <c r="AD809" s="62" t="str">
        <f>VLOOKUP(X809,'Customer List'!B:C,2,)</f>
        <v>DELHI</v>
      </c>
      <c r="AE809" s="67"/>
      <c r="AF809" s="6"/>
      <c r="AG809" s="62" t="str">
        <f t="shared" si="167"/>
        <v/>
      </c>
      <c r="AH809" s="62" t="str">
        <f t="shared" si="168"/>
        <v>Sunday</v>
      </c>
      <c r="AI809" s="62" t="str">
        <f t="shared" si="162"/>
        <v/>
      </c>
      <c r="AJ809" s="62" t="str">
        <f>VLOOKUP(AC809,'Currency Sheet'!A:C,3,)</f>
        <v>DOLLAR</v>
      </c>
      <c r="AK809" s="62" t="str">
        <f>VLOOKUP(X809,'Customer List'!B:D,3,)</f>
        <v>Local</v>
      </c>
    </row>
    <row r="810" spans="1:37" hidden="1" x14ac:dyDescent="0.25">
      <c r="A810" s="62">
        <f t="shared" si="169"/>
        <v>795</v>
      </c>
      <c r="B810" s="62" t="s">
        <v>824</v>
      </c>
      <c r="C810" s="62" t="s">
        <v>2015</v>
      </c>
      <c r="D810" s="6">
        <v>46129</v>
      </c>
      <c r="E810" s="6">
        <v>46139</v>
      </c>
      <c r="F810" s="63">
        <v>69.3</v>
      </c>
      <c r="G810" s="64">
        <f t="shared" si="163"/>
        <v>6098.4</v>
      </c>
      <c r="H810" s="64">
        <f t="shared" si="164"/>
        <v>6098.4</v>
      </c>
      <c r="I810" s="70">
        <v>100706</v>
      </c>
      <c r="J810" s="62" t="s">
        <v>2018</v>
      </c>
      <c r="K810" s="8" t="s">
        <v>2019</v>
      </c>
      <c r="L810" s="10" t="s">
        <v>2020</v>
      </c>
      <c r="M810" s="62">
        <v>1</v>
      </c>
      <c r="N810" s="8">
        <v>1</v>
      </c>
      <c r="O810" s="62">
        <f t="shared" si="165"/>
        <v>0</v>
      </c>
      <c r="P810" s="70">
        <v>217</v>
      </c>
      <c r="Q810" s="71">
        <v>46140</v>
      </c>
      <c r="R810" s="6">
        <v>46140</v>
      </c>
      <c r="S810" s="64">
        <v>10741.5</v>
      </c>
      <c r="T810" s="22">
        <v>5</v>
      </c>
      <c r="U810" s="64">
        <f t="shared" si="166"/>
        <v>537.07500000000005</v>
      </c>
      <c r="V810" s="22">
        <v>0.42</v>
      </c>
      <c r="W810" s="22">
        <v>11279</v>
      </c>
      <c r="X810" s="62" t="s">
        <v>806</v>
      </c>
      <c r="Y810" s="62">
        <v>58164837135</v>
      </c>
      <c r="Z810" s="62" t="s">
        <v>1112</v>
      </c>
      <c r="AA810" s="65">
        <v>4</v>
      </c>
      <c r="AB810" s="66"/>
      <c r="AC810" s="1" t="s">
        <v>1842</v>
      </c>
      <c r="AD810" s="62" t="str">
        <f>VLOOKUP(X810,'Customer List'!B:C,2,)</f>
        <v>Kerala</v>
      </c>
      <c r="AE810" s="67"/>
      <c r="AF810" s="6">
        <v>46144</v>
      </c>
      <c r="AG810" s="62">
        <f t="shared" si="167"/>
        <v>4</v>
      </c>
      <c r="AH810" s="62" t="str">
        <f t="shared" si="168"/>
        <v>Tuesday</v>
      </c>
      <c r="AI810" s="62" t="str">
        <f t="shared" si="162"/>
        <v>Saturday</v>
      </c>
      <c r="AJ810" s="62" t="str">
        <f>VLOOKUP(AC810,'Currency Sheet'!A:C,3,)</f>
        <v>DOLLAR</v>
      </c>
      <c r="AK810" s="62" t="str">
        <f>VLOOKUP(X810,'Customer List'!B:D,3,)</f>
        <v>OutStation</v>
      </c>
    </row>
    <row r="811" spans="1:37" hidden="1" x14ac:dyDescent="0.25">
      <c r="A811" s="62">
        <f t="shared" si="169"/>
        <v>796</v>
      </c>
      <c r="B811" s="62" t="s">
        <v>824</v>
      </c>
      <c r="C811" s="62" t="s">
        <v>2015</v>
      </c>
      <c r="D811" s="6">
        <v>46129</v>
      </c>
      <c r="E811" s="6">
        <v>46139</v>
      </c>
      <c r="F811" s="63">
        <v>160.30000000000001</v>
      </c>
      <c r="G811" s="64">
        <f t="shared" si="163"/>
        <v>14106.400000000001</v>
      </c>
      <c r="H811" s="64">
        <f t="shared" si="164"/>
        <v>14106.400000000001</v>
      </c>
      <c r="I811" s="70">
        <v>102608</v>
      </c>
      <c r="J811" s="62" t="s">
        <v>2021</v>
      </c>
      <c r="K811" s="8" t="s">
        <v>2022</v>
      </c>
      <c r="L811" s="10" t="s">
        <v>2023</v>
      </c>
      <c r="M811" s="62">
        <v>1</v>
      </c>
      <c r="N811" s="8">
        <v>1</v>
      </c>
      <c r="O811" s="62">
        <f t="shared" si="165"/>
        <v>0</v>
      </c>
      <c r="P811" s="70">
        <v>218</v>
      </c>
      <c r="Q811" s="71">
        <v>46140</v>
      </c>
      <c r="R811" s="6">
        <v>46141</v>
      </c>
      <c r="S811" s="64">
        <v>23358</v>
      </c>
      <c r="T811" s="22">
        <v>5</v>
      </c>
      <c r="U811" s="64">
        <f t="shared" si="166"/>
        <v>1167.9000000000001</v>
      </c>
      <c r="V811" s="22">
        <v>0.1</v>
      </c>
      <c r="W811" s="22">
        <v>24526</v>
      </c>
      <c r="X811" s="62" t="s">
        <v>902</v>
      </c>
      <c r="Y811" s="62">
        <v>58164890523</v>
      </c>
      <c r="Z811" s="62" t="s">
        <v>1112</v>
      </c>
      <c r="AA811" s="65">
        <v>4</v>
      </c>
      <c r="AB811" s="66"/>
      <c r="AC811" s="1" t="s">
        <v>1842</v>
      </c>
      <c r="AD811" s="62" t="str">
        <f>VLOOKUP(X811,'Customer List'!B:C,2,)</f>
        <v>Hyderabad</v>
      </c>
      <c r="AE811" s="67"/>
      <c r="AF811" s="6">
        <v>46142</v>
      </c>
      <c r="AG811" s="62">
        <f t="shared" si="167"/>
        <v>1</v>
      </c>
      <c r="AH811" s="62" t="str">
        <f t="shared" si="168"/>
        <v>Friday</v>
      </c>
      <c r="AI811" s="62" t="str">
        <f t="shared" si="162"/>
        <v>Thursday</v>
      </c>
      <c r="AJ811" s="62" t="str">
        <f>VLOOKUP(AC811,'Currency Sheet'!A:C,3,)</f>
        <v>DOLLAR</v>
      </c>
      <c r="AK811" s="62" t="str">
        <f>VLOOKUP(X811,'Customer List'!B:D,3,)</f>
        <v>OutStation</v>
      </c>
    </row>
    <row r="812" spans="1:37" hidden="1" x14ac:dyDescent="0.25">
      <c r="A812" s="62">
        <f t="shared" si="169"/>
        <v>797</v>
      </c>
      <c r="B812" s="62" t="s">
        <v>824</v>
      </c>
      <c r="C812" s="62" t="s">
        <v>2015</v>
      </c>
      <c r="D812" s="6">
        <v>46129</v>
      </c>
      <c r="E812" s="6">
        <v>46139</v>
      </c>
      <c r="F812" s="63">
        <v>216.3</v>
      </c>
      <c r="G812" s="64">
        <f t="shared" si="163"/>
        <v>19034.400000000001</v>
      </c>
      <c r="H812" s="64">
        <f t="shared" si="164"/>
        <v>19034.400000000001</v>
      </c>
      <c r="I812" s="70">
        <v>133904</v>
      </c>
      <c r="J812" s="62" t="s">
        <v>2024</v>
      </c>
      <c r="K812" s="8" t="s">
        <v>2025</v>
      </c>
      <c r="L812" s="10" t="s">
        <v>2026</v>
      </c>
      <c r="M812" s="62">
        <v>1</v>
      </c>
      <c r="N812" s="8">
        <v>1</v>
      </c>
      <c r="O812" s="62">
        <f t="shared" si="165"/>
        <v>0</v>
      </c>
      <c r="P812" s="70">
        <v>222</v>
      </c>
      <c r="Q812" s="71">
        <v>46140</v>
      </c>
      <c r="R812" s="6">
        <v>46140</v>
      </c>
      <c r="S812" s="64">
        <v>29200.5</v>
      </c>
      <c r="T812" s="22">
        <v>5</v>
      </c>
      <c r="U812" s="64">
        <f t="shared" si="166"/>
        <v>1460.0250000000001</v>
      </c>
      <c r="V812" s="22">
        <v>0.48</v>
      </c>
      <c r="W812" s="22">
        <v>30661</v>
      </c>
      <c r="X812" s="62" t="s">
        <v>793</v>
      </c>
      <c r="Y812" s="62" t="s">
        <v>1120</v>
      </c>
      <c r="Z812" s="62" t="s">
        <v>1863</v>
      </c>
      <c r="AA812" s="65">
        <v>4</v>
      </c>
      <c r="AB812" s="66"/>
      <c r="AC812" s="1" t="s">
        <v>1842</v>
      </c>
      <c r="AD812" s="62" t="str">
        <f>VLOOKUP(X812,'Customer List'!B:C,2,)</f>
        <v>Delhi</v>
      </c>
      <c r="AE812" s="67"/>
      <c r="AF812" s="6"/>
      <c r="AG812" s="62" t="str">
        <f t="shared" si="167"/>
        <v/>
      </c>
      <c r="AH812" s="62" t="str">
        <f t="shared" si="168"/>
        <v>Tuesday</v>
      </c>
      <c r="AI812" s="62" t="str">
        <f t="shared" si="162"/>
        <v/>
      </c>
      <c r="AJ812" s="62" t="str">
        <f>VLOOKUP(AC812,'Currency Sheet'!A:C,3,)</f>
        <v>DOLLAR</v>
      </c>
      <c r="AK812" s="62" t="str">
        <f>VLOOKUP(X812,'Customer List'!B:D,3,)</f>
        <v>Local</v>
      </c>
    </row>
    <row r="813" spans="1:37" hidden="1" x14ac:dyDescent="0.25">
      <c r="A813" s="62">
        <f t="shared" si="169"/>
        <v>798</v>
      </c>
      <c r="B813" s="62" t="s">
        <v>824</v>
      </c>
      <c r="C813" s="62" t="s">
        <v>2015</v>
      </c>
      <c r="D813" s="6">
        <v>46129</v>
      </c>
      <c r="E813" s="6">
        <v>46139</v>
      </c>
      <c r="F813" s="63">
        <v>207.2</v>
      </c>
      <c r="G813" s="64">
        <f t="shared" si="163"/>
        <v>18233.599999999999</v>
      </c>
      <c r="H813" s="64">
        <f t="shared" si="164"/>
        <v>18233.599999999999</v>
      </c>
      <c r="I813" s="70">
        <v>141708</v>
      </c>
      <c r="J813" s="62" t="s">
        <v>2027</v>
      </c>
      <c r="K813" s="8" t="s">
        <v>1496</v>
      </c>
      <c r="L813" s="10" t="s">
        <v>2028</v>
      </c>
      <c r="M813" s="62">
        <v>1</v>
      </c>
      <c r="N813" s="8">
        <v>1</v>
      </c>
      <c r="O813" s="62">
        <f t="shared" si="165"/>
        <v>0</v>
      </c>
      <c r="P813" s="70">
        <v>243</v>
      </c>
      <c r="Q813" s="71">
        <v>46141</v>
      </c>
      <c r="R813" s="6">
        <v>46141</v>
      </c>
      <c r="S813" s="64">
        <v>32116</v>
      </c>
      <c r="T813" s="22">
        <v>5</v>
      </c>
      <c r="U813" s="64">
        <f t="shared" si="166"/>
        <v>1605.8000000000002</v>
      </c>
      <c r="V813" s="22">
        <v>1800</v>
      </c>
      <c r="W813" s="22">
        <v>35612</v>
      </c>
      <c r="X813" s="62" t="s">
        <v>385</v>
      </c>
      <c r="Y813" s="62">
        <v>58164889311</v>
      </c>
      <c r="Z813" s="62" t="s">
        <v>1112</v>
      </c>
      <c r="AA813" s="65">
        <v>4</v>
      </c>
      <c r="AB813" s="66"/>
      <c r="AC813" s="1" t="s">
        <v>1842</v>
      </c>
      <c r="AD813" s="62" t="str">
        <f>VLOOKUP(X813,'Customer List'!B:C,2,)</f>
        <v>Mumbai</v>
      </c>
      <c r="AE813" s="67"/>
      <c r="AF813" s="6">
        <v>46142</v>
      </c>
      <c r="AG813" s="62">
        <f t="shared" si="167"/>
        <v>1</v>
      </c>
      <c r="AH813" s="62" t="str">
        <f t="shared" si="168"/>
        <v>Saturday</v>
      </c>
      <c r="AI813" s="62" t="str">
        <f t="shared" si="162"/>
        <v>Thursday</v>
      </c>
      <c r="AJ813" s="62" t="str">
        <f>VLOOKUP(AC813,'Currency Sheet'!A:C,3,)</f>
        <v>DOLLAR</v>
      </c>
      <c r="AK813" s="62" t="str">
        <f>VLOOKUP(X813,'Customer List'!B:D,3,)</f>
        <v>OutStation</v>
      </c>
    </row>
    <row r="814" spans="1:37" hidden="1" x14ac:dyDescent="0.25">
      <c r="A814" s="62">
        <f t="shared" si="169"/>
        <v>799</v>
      </c>
      <c r="B814" s="62" t="s">
        <v>824</v>
      </c>
      <c r="C814" s="62" t="s">
        <v>2015</v>
      </c>
      <c r="D814" s="6">
        <v>46129</v>
      </c>
      <c r="E814" s="6">
        <v>46139</v>
      </c>
      <c r="F814" s="63">
        <v>213.5</v>
      </c>
      <c r="G814" s="64">
        <f t="shared" si="163"/>
        <v>18788</v>
      </c>
      <c r="H814" s="64">
        <f t="shared" si="164"/>
        <v>18788</v>
      </c>
      <c r="I814" s="70">
        <v>300228</v>
      </c>
      <c r="J814" s="62" t="s">
        <v>1718</v>
      </c>
      <c r="K814" s="8" t="s">
        <v>2029</v>
      </c>
      <c r="L814" s="10" t="s">
        <v>2030</v>
      </c>
      <c r="M814" s="62">
        <v>1</v>
      </c>
      <c r="N814" s="8">
        <v>1</v>
      </c>
      <c r="O814" s="62">
        <f t="shared" si="165"/>
        <v>0</v>
      </c>
      <c r="P814" s="70">
        <v>224</v>
      </c>
      <c r="Q814" s="71">
        <v>46141</v>
      </c>
      <c r="R814" s="6">
        <v>46141</v>
      </c>
      <c r="S814" s="64">
        <v>33092.5</v>
      </c>
      <c r="T814" s="22">
        <v>5</v>
      </c>
      <c r="U814" s="64">
        <f t="shared" si="166"/>
        <v>1654.625</v>
      </c>
      <c r="V814" s="22">
        <v>-0.37</v>
      </c>
      <c r="W814" s="22">
        <v>266812</v>
      </c>
      <c r="X814" s="62" t="s">
        <v>1366</v>
      </c>
      <c r="Y814" s="62">
        <v>58164887756</v>
      </c>
      <c r="Z814" s="62" t="s">
        <v>1112</v>
      </c>
      <c r="AA814" s="65">
        <v>4</v>
      </c>
      <c r="AB814" s="66"/>
      <c r="AC814" s="1" t="s">
        <v>1842</v>
      </c>
      <c r="AD814" s="62" t="str">
        <f>VLOOKUP(X814,'Customer List'!B:C,2,)</f>
        <v>Lucknow</v>
      </c>
      <c r="AE814" s="67"/>
      <c r="AF814" s="6">
        <v>46143</v>
      </c>
      <c r="AG814" s="62">
        <f t="shared" si="167"/>
        <v>2</v>
      </c>
      <c r="AH814" s="62" t="str">
        <f t="shared" si="168"/>
        <v>Tuesday</v>
      </c>
      <c r="AI814" s="62" t="str">
        <f t="shared" si="162"/>
        <v>Friday</v>
      </c>
      <c r="AJ814" s="62" t="str">
        <f>VLOOKUP(AC814,'Currency Sheet'!A:C,3,)</f>
        <v>DOLLAR</v>
      </c>
      <c r="AK814" s="62" t="str">
        <f>VLOOKUP(X814,'Customer List'!B:D,3,)</f>
        <v>OutStation</v>
      </c>
    </row>
    <row r="815" spans="1:37" hidden="1" x14ac:dyDescent="0.25">
      <c r="A815" s="62">
        <f t="shared" si="169"/>
        <v>800</v>
      </c>
      <c r="B815" s="62" t="s">
        <v>824</v>
      </c>
      <c r="C815" s="62" t="s">
        <v>2015</v>
      </c>
      <c r="D815" s="6">
        <v>46129</v>
      </c>
      <c r="E815" s="6">
        <v>46139</v>
      </c>
      <c r="F815" s="63">
        <v>326.25</v>
      </c>
      <c r="G815" s="64">
        <f t="shared" si="163"/>
        <v>28710</v>
      </c>
      <c r="H815" s="64">
        <f t="shared" si="164"/>
        <v>28710</v>
      </c>
      <c r="I815" s="70">
        <v>301728</v>
      </c>
      <c r="J815" s="62" t="s">
        <v>2031</v>
      </c>
      <c r="K815" s="8" t="s">
        <v>2032</v>
      </c>
      <c r="L815" s="10" t="s">
        <v>2033</v>
      </c>
      <c r="M815" s="62">
        <v>1</v>
      </c>
      <c r="N815" s="8">
        <v>1</v>
      </c>
      <c r="O815" s="62">
        <f t="shared" si="165"/>
        <v>0</v>
      </c>
      <c r="P815" s="70">
        <v>284</v>
      </c>
      <c r="Q815" s="71">
        <v>46151</v>
      </c>
      <c r="R815" s="6">
        <v>46151</v>
      </c>
      <c r="S815" s="64">
        <v>45849</v>
      </c>
      <c r="T815" s="22">
        <v>5</v>
      </c>
      <c r="U815" s="64">
        <f t="shared" si="166"/>
        <v>2292.4500000000003</v>
      </c>
      <c r="V815" s="22">
        <v>-0.43</v>
      </c>
      <c r="W815" s="22">
        <v>153864</v>
      </c>
      <c r="X815" s="62" t="s">
        <v>2185</v>
      </c>
      <c r="Y815" s="62">
        <v>58165286830</v>
      </c>
      <c r="Z815" s="62" t="s">
        <v>1112</v>
      </c>
      <c r="AA815" s="65">
        <v>4</v>
      </c>
      <c r="AB815" s="66"/>
      <c r="AC815" s="1" t="s">
        <v>1842</v>
      </c>
      <c r="AD815" s="62" t="str">
        <f>VLOOKUP(X815,'Customer List'!B:C,2,)</f>
        <v>Mumbai</v>
      </c>
      <c r="AE815" s="67"/>
      <c r="AF815" s="6">
        <v>46153</v>
      </c>
      <c r="AG815" s="62">
        <f t="shared" si="167"/>
        <v>2</v>
      </c>
      <c r="AH815" s="62" t="str">
        <f t="shared" si="168"/>
        <v>Friday</v>
      </c>
      <c r="AI815" s="62" t="str">
        <f t="shared" si="162"/>
        <v>Monday</v>
      </c>
      <c r="AJ815" s="62" t="str">
        <f>VLOOKUP(AC815,'Currency Sheet'!A:C,3,)</f>
        <v>DOLLAR</v>
      </c>
      <c r="AK815" s="62" t="str">
        <f>VLOOKUP(X815,'Customer List'!B:D,3,)</f>
        <v>OutStation</v>
      </c>
    </row>
    <row r="816" spans="1:37" hidden="1" x14ac:dyDescent="0.25">
      <c r="A816" s="62">
        <f t="shared" si="169"/>
        <v>801</v>
      </c>
      <c r="B816" s="62" t="s">
        <v>824</v>
      </c>
      <c r="C816" s="62" t="s">
        <v>2015</v>
      </c>
      <c r="D816" s="6">
        <v>46129</v>
      </c>
      <c r="E816" s="6">
        <v>46139</v>
      </c>
      <c r="F816" s="63">
        <v>267.39999999999998</v>
      </c>
      <c r="G816" s="64">
        <f t="shared" si="163"/>
        <v>23531.199999999997</v>
      </c>
      <c r="H816" s="64">
        <f t="shared" si="164"/>
        <v>23531.199999999997</v>
      </c>
      <c r="I816" s="70">
        <v>302120</v>
      </c>
      <c r="J816" s="62" t="s">
        <v>2034</v>
      </c>
      <c r="K816" s="8" t="s">
        <v>2035</v>
      </c>
      <c r="L816" s="10" t="s">
        <v>2036</v>
      </c>
      <c r="M816" s="62">
        <v>1</v>
      </c>
      <c r="N816" s="8">
        <v>1</v>
      </c>
      <c r="O816" s="62">
        <f t="shared" si="165"/>
        <v>0</v>
      </c>
      <c r="P816" s="70">
        <v>227</v>
      </c>
      <c r="Q816" s="71">
        <v>46141</v>
      </c>
      <c r="R816" s="6">
        <v>46141</v>
      </c>
      <c r="S816" s="64">
        <v>32661</v>
      </c>
      <c r="T816" s="22">
        <v>5</v>
      </c>
      <c r="U816" s="64">
        <f t="shared" si="166"/>
        <v>1633.0500000000002</v>
      </c>
      <c r="V816" s="22">
        <v>-0.42</v>
      </c>
      <c r="W816" s="22">
        <v>2600503</v>
      </c>
      <c r="X816" s="62" t="s">
        <v>801</v>
      </c>
      <c r="Y816" s="62">
        <v>58164887480</v>
      </c>
      <c r="Z816" s="62" t="s">
        <v>1112</v>
      </c>
      <c r="AA816" s="65">
        <v>4</v>
      </c>
      <c r="AB816" s="66"/>
      <c r="AC816" s="1" t="s">
        <v>1842</v>
      </c>
      <c r="AD816" s="62" t="str">
        <f>VLOOKUP(X816,'Customer List'!B:C,2,)</f>
        <v>Mumbai</v>
      </c>
      <c r="AE816" s="67"/>
      <c r="AF816" s="6">
        <v>46142</v>
      </c>
      <c r="AG816" s="62">
        <f t="shared" si="167"/>
        <v>1</v>
      </c>
      <c r="AH816" s="62" t="str">
        <f t="shared" si="168"/>
        <v>Friday</v>
      </c>
      <c r="AI816" s="62" t="str">
        <f t="shared" si="162"/>
        <v>Thursday</v>
      </c>
      <c r="AJ816" s="62" t="str">
        <f>VLOOKUP(AC816,'Currency Sheet'!A:C,3,)</f>
        <v>DOLLAR</v>
      </c>
      <c r="AK816" s="62" t="str">
        <f>VLOOKUP(X816,'Customer List'!B:D,3,)</f>
        <v>OutStation</v>
      </c>
    </row>
    <row r="817" spans="1:37" hidden="1" x14ac:dyDescent="0.25">
      <c r="A817" s="62">
        <f t="shared" si="169"/>
        <v>802</v>
      </c>
      <c r="B817" s="62" t="s">
        <v>824</v>
      </c>
      <c r="C817" s="62" t="s">
        <v>2015</v>
      </c>
      <c r="D817" s="6">
        <v>46129</v>
      </c>
      <c r="E817" s="6">
        <v>46139</v>
      </c>
      <c r="F817" s="63">
        <v>318</v>
      </c>
      <c r="G817" s="64">
        <f t="shared" si="163"/>
        <v>27984</v>
      </c>
      <c r="H817" s="64">
        <f t="shared" si="164"/>
        <v>27984</v>
      </c>
      <c r="I817" s="70">
        <v>302238</v>
      </c>
      <c r="J817" s="62" t="s">
        <v>1706</v>
      </c>
      <c r="K817" s="8" t="s">
        <v>2037</v>
      </c>
      <c r="L817" s="10" t="s">
        <v>2038</v>
      </c>
      <c r="M817" s="62">
        <v>1</v>
      </c>
      <c r="N817" s="8">
        <v>1</v>
      </c>
      <c r="O817" s="62">
        <f t="shared" si="165"/>
        <v>0</v>
      </c>
      <c r="P817" s="70">
        <v>227</v>
      </c>
      <c r="Q817" s="71">
        <v>46141</v>
      </c>
      <c r="R817" s="6">
        <v>46141</v>
      </c>
      <c r="S817" s="64">
        <v>36252</v>
      </c>
      <c r="T817" s="22">
        <v>5</v>
      </c>
      <c r="U817" s="64">
        <f t="shared" si="166"/>
        <v>1812.6000000000001</v>
      </c>
      <c r="V817" s="22">
        <v>0</v>
      </c>
      <c r="W817" s="22">
        <v>2600503</v>
      </c>
      <c r="X817" s="62" t="s">
        <v>801</v>
      </c>
      <c r="Y817" s="62">
        <v>58164887480</v>
      </c>
      <c r="Z817" s="62" t="s">
        <v>1112</v>
      </c>
      <c r="AA817" s="65">
        <v>4</v>
      </c>
      <c r="AB817" s="66"/>
      <c r="AC817" s="1" t="s">
        <v>1842</v>
      </c>
      <c r="AD817" s="62" t="str">
        <f>VLOOKUP(X817,'Customer List'!B:C,2,)</f>
        <v>Mumbai</v>
      </c>
      <c r="AE817" s="67"/>
      <c r="AF817" s="6">
        <v>46142</v>
      </c>
      <c r="AG817" s="62">
        <f t="shared" si="167"/>
        <v>1</v>
      </c>
      <c r="AH817" s="62" t="str">
        <f t="shared" si="168"/>
        <v>Friday</v>
      </c>
      <c r="AI817" s="62" t="str">
        <f t="shared" si="162"/>
        <v>Thursday</v>
      </c>
      <c r="AJ817" s="62" t="str">
        <f>VLOOKUP(AC817,'Currency Sheet'!A:C,3,)</f>
        <v>DOLLAR</v>
      </c>
      <c r="AK817" s="62" t="str">
        <f>VLOOKUP(X817,'Customer List'!B:D,3,)</f>
        <v>OutStation</v>
      </c>
    </row>
    <row r="818" spans="1:37" hidden="1" x14ac:dyDescent="0.25">
      <c r="A818" s="62">
        <f t="shared" si="169"/>
        <v>803</v>
      </c>
      <c r="B818" s="62" t="s">
        <v>824</v>
      </c>
      <c r="C818" s="62" t="s">
        <v>2015</v>
      </c>
      <c r="D818" s="6">
        <v>46129</v>
      </c>
      <c r="E818" s="6">
        <v>46139</v>
      </c>
      <c r="F818" s="63">
        <v>77</v>
      </c>
      <c r="G818" s="64">
        <f t="shared" si="163"/>
        <v>6776</v>
      </c>
      <c r="H818" s="64">
        <f t="shared" si="164"/>
        <v>6776</v>
      </c>
      <c r="I818" s="70">
        <v>302610</v>
      </c>
      <c r="J818" s="62" t="s">
        <v>2039</v>
      </c>
      <c r="K818" s="8" t="s">
        <v>2040</v>
      </c>
      <c r="L818" s="10" t="s">
        <v>2041</v>
      </c>
      <c r="M818" s="62">
        <v>1</v>
      </c>
      <c r="N818" s="8">
        <v>1</v>
      </c>
      <c r="O818" s="62">
        <f t="shared" si="165"/>
        <v>0</v>
      </c>
      <c r="P818" s="70" t="s">
        <v>2531</v>
      </c>
      <c r="Q818" s="71">
        <v>46157</v>
      </c>
      <c r="R818" s="6">
        <v>46157</v>
      </c>
      <c r="S818" s="64">
        <v>15345</v>
      </c>
      <c r="T818" s="22">
        <v>5</v>
      </c>
      <c r="U818" s="64">
        <f t="shared" si="166"/>
        <v>767.25</v>
      </c>
      <c r="V818" s="22">
        <v>-0.34</v>
      </c>
      <c r="W818" s="22">
        <v>71333</v>
      </c>
      <c r="X818" s="62" t="s">
        <v>792</v>
      </c>
      <c r="Y818" s="62"/>
      <c r="Z818" s="62"/>
      <c r="AA818" s="65">
        <v>4</v>
      </c>
      <c r="AB818" s="66"/>
      <c r="AC818" s="1" t="s">
        <v>1842</v>
      </c>
      <c r="AD818" s="62" t="str">
        <f>VLOOKUP(X818,'Customer List'!B:C,2,)</f>
        <v>Delhi</v>
      </c>
      <c r="AE818" s="67"/>
      <c r="AF818" s="6"/>
      <c r="AG818" s="62" t="str">
        <f t="shared" si="167"/>
        <v/>
      </c>
      <c r="AH818" s="62" t="str">
        <f t="shared" si="168"/>
        <v>Sunday</v>
      </c>
      <c r="AI818" s="62" t="str">
        <f t="shared" si="162"/>
        <v/>
      </c>
      <c r="AJ818" s="62" t="str">
        <f>VLOOKUP(AC818,'Currency Sheet'!A:C,3,)</f>
        <v>DOLLAR</v>
      </c>
      <c r="AK818" s="62" t="str">
        <f>VLOOKUP(X818,'Customer List'!B:D,3,)</f>
        <v>Local</v>
      </c>
    </row>
    <row r="819" spans="1:37" hidden="1" x14ac:dyDescent="0.25">
      <c r="A819" s="62">
        <f t="shared" si="169"/>
        <v>804</v>
      </c>
      <c r="B819" s="62" t="s">
        <v>824</v>
      </c>
      <c r="C819" s="62" t="s">
        <v>2015</v>
      </c>
      <c r="D819" s="6">
        <v>46129</v>
      </c>
      <c r="E819" s="6">
        <v>46139</v>
      </c>
      <c r="F819" s="63">
        <v>267.39999999999998</v>
      </c>
      <c r="G819" s="64">
        <f t="shared" si="163"/>
        <v>23531.199999999997</v>
      </c>
      <c r="H819" s="64">
        <f t="shared" si="164"/>
        <v>23531.199999999997</v>
      </c>
      <c r="I819" s="70">
        <v>302922</v>
      </c>
      <c r="J819" s="62" t="s">
        <v>2042</v>
      </c>
      <c r="K819" s="8" t="s">
        <v>2043</v>
      </c>
      <c r="L819" s="10" t="s">
        <v>2044</v>
      </c>
      <c r="M819" s="62">
        <v>1</v>
      </c>
      <c r="N819" s="8">
        <v>1</v>
      </c>
      <c r="O819" s="62">
        <f t="shared" si="165"/>
        <v>0</v>
      </c>
      <c r="P819" s="70">
        <v>215</v>
      </c>
      <c r="Q819" s="71">
        <v>46140</v>
      </c>
      <c r="R819" s="6">
        <v>46140</v>
      </c>
      <c r="S819" s="64">
        <v>37436</v>
      </c>
      <c r="T819" s="22">
        <v>5</v>
      </c>
      <c r="U819" s="64">
        <f t="shared" si="166"/>
        <v>1871.8000000000002</v>
      </c>
      <c r="V819" s="22">
        <v>0.3</v>
      </c>
      <c r="W819" s="22">
        <v>294603</v>
      </c>
      <c r="X819" s="62" t="s">
        <v>445</v>
      </c>
      <c r="Y819" s="62" t="s">
        <v>1120</v>
      </c>
      <c r="Z819" s="62" t="s">
        <v>1863</v>
      </c>
      <c r="AA819" s="65">
        <v>4</v>
      </c>
      <c r="AB819" s="66"/>
      <c r="AC819" s="1" t="s">
        <v>1842</v>
      </c>
      <c r="AD819" s="62" t="str">
        <f>VLOOKUP(X819,'Customer List'!B:C,2,)</f>
        <v>DELHI</v>
      </c>
      <c r="AE819" s="67"/>
      <c r="AF819" s="6"/>
      <c r="AG819" s="62" t="str">
        <f t="shared" si="167"/>
        <v/>
      </c>
      <c r="AH819" s="62" t="str">
        <f t="shared" si="168"/>
        <v>Saturday</v>
      </c>
      <c r="AI819" s="62" t="str">
        <f t="shared" si="162"/>
        <v/>
      </c>
      <c r="AJ819" s="62" t="str">
        <f>VLOOKUP(AC819,'Currency Sheet'!A:C,3,)</f>
        <v>DOLLAR</v>
      </c>
      <c r="AK819" s="62" t="str">
        <f>VLOOKUP(X819,'Customer List'!B:D,3,)</f>
        <v>Local</v>
      </c>
    </row>
    <row r="820" spans="1:37" hidden="1" x14ac:dyDescent="0.25">
      <c r="A820" s="62">
        <f t="shared" si="169"/>
        <v>805</v>
      </c>
      <c r="B820" s="62" t="s">
        <v>824</v>
      </c>
      <c r="C820" s="62" t="s">
        <v>2015</v>
      </c>
      <c r="D820" s="6">
        <v>46129</v>
      </c>
      <c r="E820" s="6">
        <v>46139</v>
      </c>
      <c r="F820" s="63">
        <v>326.25</v>
      </c>
      <c r="G820" s="64">
        <f t="shared" si="163"/>
        <v>28710</v>
      </c>
      <c r="H820" s="64">
        <f t="shared" si="164"/>
        <v>28710</v>
      </c>
      <c r="I820" s="70">
        <v>302946</v>
      </c>
      <c r="J820" s="62" t="s">
        <v>2042</v>
      </c>
      <c r="K820" s="8" t="s">
        <v>2045</v>
      </c>
      <c r="L820" s="10" t="s">
        <v>2046</v>
      </c>
      <c r="M820" s="62">
        <v>1</v>
      </c>
      <c r="N820" s="8">
        <v>1</v>
      </c>
      <c r="O820" s="62">
        <f t="shared" si="165"/>
        <v>0</v>
      </c>
      <c r="P820" s="70">
        <v>224</v>
      </c>
      <c r="Q820" s="71">
        <v>46141</v>
      </c>
      <c r="R820" s="6">
        <v>46141</v>
      </c>
      <c r="S820" s="64">
        <v>47197.5</v>
      </c>
      <c r="T820" s="22">
        <v>5</v>
      </c>
      <c r="U820" s="64">
        <f t="shared" si="166"/>
        <v>2359.875</v>
      </c>
      <c r="V820" s="22">
        <v>0</v>
      </c>
      <c r="W820" s="22">
        <v>266812</v>
      </c>
      <c r="X820" s="62" t="s">
        <v>1366</v>
      </c>
      <c r="Y820" s="62">
        <v>58164887756</v>
      </c>
      <c r="Z820" s="62" t="s">
        <v>1112</v>
      </c>
      <c r="AA820" s="65">
        <v>4</v>
      </c>
      <c r="AB820" s="66"/>
      <c r="AC820" s="1" t="s">
        <v>1842</v>
      </c>
      <c r="AD820" s="62" t="str">
        <f>VLOOKUP(X820,'Customer List'!B:C,2,)</f>
        <v>Lucknow</v>
      </c>
      <c r="AE820" s="67"/>
      <c r="AF820" s="6">
        <v>46143</v>
      </c>
      <c r="AG820" s="62">
        <f t="shared" si="167"/>
        <v>2</v>
      </c>
      <c r="AH820" s="62" t="str">
        <f t="shared" si="168"/>
        <v>Tuesday</v>
      </c>
      <c r="AI820" s="62" t="str">
        <f t="shared" si="162"/>
        <v>Friday</v>
      </c>
      <c r="AJ820" s="62" t="str">
        <f>VLOOKUP(AC820,'Currency Sheet'!A:C,3,)</f>
        <v>DOLLAR</v>
      </c>
      <c r="AK820" s="62" t="str">
        <f>VLOOKUP(X820,'Customer List'!B:D,3,)</f>
        <v>OutStation</v>
      </c>
    </row>
    <row r="821" spans="1:37" hidden="1" x14ac:dyDescent="0.25">
      <c r="A821" s="62">
        <f t="shared" si="169"/>
        <v>806</v>
      </c>
      <c r="B821" s="62" t="s">
        <v>824</v>
      </c>
      <c r="C821" s="62" t="s">
        <v>2015</v>
      </c>
      <c r="D821" s="6">
        <v>46129</v>
      </c>
      <c r="E821" s="6">
        <v>46139</v>
      </c>
      <c r="F821" s="63">
        <v>166.6</v>
      </c>
      <c r="G821" s="64">
        <f t="shared" si="163"/>
        <v>14660.8</v>
      </c>
      <c r="H821" s="64">
        <f t="shared" si="164"/>
        <v>14660.8</v>
      </c>
      <c r="I821" s="70">
        <v>303106</v>
      </c>
      <c r="J821" s="62" t="s">
        <v>2047</v>
      </c>
      <c r="K821" s="8" t="s">
        <v>2048</v>
      </c>
      <c r="L821" s="10" t="s">
        <v>2049</v>
      </c>
      <c r="M821" s="62">
        <v>1</v>
      </c>
      <c r="N821" s="8">
        <v>1</v>
      </c>
      <c r="O821" s="62">
        <f t="shared" si="165"/>
        <v>0</v>
      </c>
      <c r="P821" s="70">
        <v>224</v>
      </c>
      <c r="Q821" s="71">
        <v>46141</v>
      </c>
      <c r="R821" s="6">
        <v>46141</v>
      </c>
      <c r="S821" s="64">
        <v>25823</v>
      </c>
      <c r="T821" s="22">
        <v>5</v>
      </c>
      <c r="U821" s="64">
        <f t="shared" si="166"/>
        <v>1291.1500000000001</v>
      </c>
      <c r="V821" s="22">
        <v>0</v>
      </c>
      <c r="W821" s="22">
        <v>266812</v>
      </c>
      <c r="X821" s="62" t="s">
        <v>1366</v>
      </c>
      <c r="Y821" s="62">
        <v>58164887756</v>
      </c>
      <c r="Z821" s="62" t="s">
        <v>1112</v>
      </c>
      <c r="AA821" s="65">
        <v>4</v>
      </c>
      <c r="AB821" s="66"/>
      <c r="AC821" s="1" t="s">
        <v>1842</v>
      </c>
      <c r="AD821" s="62" t="str">
        <f>VLOOKUP(X821,'Customer List'!B:C,2,)</f>
        <v>Lucknow</v>
      </c>
      <c r="AE821" s="67"/>
      <c r="AF821" s="6">
        <v>46143</v>
      </c>
      <c r="AG821" s="62">
        <f t="shared" si="167"/>
        <v>2</v>
      </c>
      <c r="AH821" s="62" t="str">
        <f t="shared" si="168"/>
        <v>Saturday</v>
      </c>
      <c r="AI821" s="62" t="str">
        <f t="shared" si="162"/>
        <v>Friday</v>
      </c>
      <c r="AJ821" s="62" t="str">
        <f>VLOOKUP(AC821,'Currency Sheet'!A:C,3,)</f>
        <v>DOLLAR</v>
      </c>
      <c r="AK821" s="62" t="str">
        <f>VLOOKUP(X821,'Customer List'!B:D,3,)</f>
        <v>OutStation</v>
      </c>
    </row>
    <row r="822" spans="1:37" hidden="1" x14ac:dyDescent="0.25">
      <c r="A822" s="62">
        <f t="shared" si="169"/>
        <v>807</v>
      </c>
      <c r="B822" s="62" t="s">
        <v>824</v>
      </c>
      <c r="C822" s="62" t="s">
        <v>2015</v>
      </c>
      <c r="D822" s="6">
        <v>46129</v>
      </c>
      <c r="E822" s="6">
        <v>46139</v>
      </c>
      <c r="F822" s="63">
        <v>19.600000000000001</v>
      </c>
      <c r="G822" s="64">
        <f t="shared" si="163"/>
        <v>1724.8000000000002</v>
      </c>
      <c r="H822" s="64">
        <f t="shared" si="164"/>
        <v>1724.8000000000002</v>
      </c>
      <c r="I822" s="70">
        <v>304007</v>
      </c>
      <c r="J822" s="62" t="s">
        <v>2050</v>
      </c>
      <c r="K822" s="8" t="s">
        <v>2051</v>
      </c>
      <c r="L822" s="10" t="s">
        <v>2052</v>
      </c>
      <c r="M822" s="62">
        <v>1</v>
      </c>
      <c r="N822" s="8">
        <v>1</v>
      </c>
      <c r="O822" s="62">
        <f t="shared" si="165"/>
        <v>0</v>
      </c>
      <c r="P822" s="70">
        <v>221</v>
      </c>
      <c r="Q822" s="71">
        <v>46140</v>
      </c>
      <c r="R822" s="6">
        <v>46140</v>
      </c>
      <c r="S822" s="64">
        <v>3255</v>
      </c>
      <c r="T822" s="22">
        <v>5</v>
      </c>
      <c r="U822" s="64">
        <f t="shared" si="166"/>
        <v>162.75</v>
      </c>
      <c r="V822" s="22">
        <v>1800</v>
      </c>
      <c r="W822" s="22">
        <v>47419</v>
      </c>
      <c r="X822" s="62" t="s">
        <v>2014</v>
      </c>
      <c r="Y822" s="62">
        <v>58164836682</v>
      </c>
      <c r="Z822" s="62" t="s">
        <v>1112</v>
      </c>
      <c r="AA822" s="65">
        <v>4</v>
      </c>
      <c r="AB822" s="66"/>
      <c r="AC822" s="1" t="s">
        <v>1842</v>
      </c>
      <c r="AD822" s="62" t="str">
        <f>VLOOKUP(X822,'Customer List'!B:C,2,)</f>
        <v>Banglore</v>
      </c>
      <c r="AE822" s="67"/>
      <c r="AF822" s="6">
        <v>46141</v>
      </c>
      <c r="AG822" s="62">
        <f t="shared" si="167"/>
        <v>1</v>
      </c>
      <c r="AH822" s="62" t="str">
        <f t="shared" si="168"/>
        <v>Saturday</v>
      </c>
      <c r="AI822" s="62" t="str">
        <f t="shared" si="162"/>
        <v>Wednesday</v>
      </c>
      <c r="AJ822" s="62" t="str">
        <f>VLOOKUP(AC822,'Currency Sheet'!A:C,3,)</f>
        <v>DOLLAR</v>
      </c>
      <c r="AK822" s="62" t="str">
        <f>VLOOKUP(X822,'Customer List'!B:D,3,)</f>
        <v>OutStation</v>
      </c>
    </row>
    <row r="823" spans="1:37" hidden="1" x14ac:dyDescent="0.25">
      <c r="A823" s="62">
        <f t="shared" si="169"/>
        <v>808</v>
      </c>
      <c r="B823" s="62" t="s">
        <v>824</v>
      </c>
      <c r="C823" s="62" t="s">
        <v>2015</v>
      </c>
      <c r="D823" s="6">
        <v>46129</v>
      </c>
      <c r="E823" s="6">
        <v>46139</v>
      </c>
      <c r="F823" s="63">
        <v>289.5</v>
      </c>
      <c r="G823" s="64">
        <f t="shared" si="163"/>
        <v>25476</v>
      </c>
      <c r="H823" s="64">
        <f t="shared" si="164"/>
        <v>25476</v>
      </c>
      <c r="I823" s="70">
        <v>304036</v>
      </c>
      <c r="J823" s="62" t="s">
        <v>1710</v>
      </c>
      <c r="K823" s="8" t="s">
        <v>2053</v>
      </c>
      <c r="L823" s="10" t="s">
        <v>2054</v>
      </c>
      <c r="M823" s="62">
        <v>1</v>
      </c>
      <c r="N823" s="8">
        <v>1</v>
      </c>
      <c r="O823" s="62">
        <f t="shared" si="165"/>
        <v>0</v>
      </c>
      <c r="P823" s="70">
        <v>219</v>
      </c>
      <c r="Q823" s="71">
        <v>46140</v>
      </c>
      <c r="R823" s="6">
        <v>46140</v>
      </c>
      <c r="S823" s="64">
        <v>40530</v>
      </c>
      <c r="T823" s="22">
        <v>5</v>
      </c>
      <c r="U823" s="64">
        <f t="shared" si="166"/>
        <v>2026.5</v>
      </c>
      <c r="V823" s="22">
        <v>0</v>
      </c>
      <c r="W823" s="22">
        <v>198450</v>
      </c>
      <c r="X823" s="62" t="s">
        <v>2186</v>
      </c>
      <c r="Y823" s="62">
        <v>58164837452</v>
      </c>
      <c r="Z823" s="62" t="s">
        <v>1112</v>
      </c>
      <c r="AA823" s="65">
        <v>4</v>
      </c>
      <c r="AB823" s="66"/>
      <c r="AC823" s="1" t="s">
        <v>1842</v>
      </c>
      <c r="AD823" s="62" t="str">
        <f>VLOOKUP(X823,'Customer List'!B:C,2,)</f>
        <v>Banglore</v>
      </c>
      <c r="AE823" s="67"/>
      <c r="AF823" s="6">
        <v>46141</v>
      </c>
      <c r="AG823" s="62">
        <f t="shared" si="167"/>
        <v>1</v>
      </c>
      <c r="AH823" s="62" t="str">
        <f t="shared" si="168"/>
        <v>Saturday</v>
      </c>
      <c r="AI823" s="62" t="str">
        <f t="shared" si="162"/>
        <v>Wednesday</v>
      </c>
      <c r="AJ823" s="62" t="str">
        <f>VLOOKUP(AC823,'Currency Sheet'!A:C,3,)</f>
        <v>DOLLAR</v>
      </c>
      <c r="AK823" s="62" t="str">
        <f>VLOOKUP(X823,'Customer List'!B:D,3,)</f>
        <v>OutStation</v>
      </c>
    </row>
    <row r="824" spans="1:37" hidden="1" x14ac:dyDescent="0.25">
      <c r="A824" s="62">
        <f t="shared" si="169"/>
        <v>809</v>
      </c>
      <c r="B824" s="62" t="s">
        <v>824</v>
      </c>
      <c r="C824" s="62" t="s">
        <v>2015</v>
      </c>
      <c r="D824" s="6">
        <v>46129</v>
      </c>
      <c r="E824" s="6">
        <v>46139</v>
      </c>
      <c r="F824" s="63">
        <v>326.25</v>
      </c>
      <c r="G824" s="64">
        <f t="shared" si="163"/>
        <v>28710</v>
      </c>
      <c r="H824" s="64">
        <f t="shared" si="164"/>
        <v>57420</v>
      </c>
      <c r="I824" s="70">
        <v>304134</v>
      </c>
      <c r="J824" s="62" t="s">
        <v>2055</v>
      </c>
      <c r="K824" s="8" t="s">
        <v>2056</v>
      </c>
      <c r="L824" s="10" t="s">
        <v>2057</v>
      </c>
      <c r="M824" s="62">
        <v>2</v>
      </c>
      <c r="N824" s="8">
        <v>2</v>
      </c>
      <c r="O824" s="62">
        <f t="shared" si="165"/>
        <v>0</v>
      </c>
      <c r="P824" s="70">
        <v>227</v>
      </c>
      <c r="Q824" s="71">
        <v>46141</v>
      </c>
      <c r="R824" s="6">
        <v>46141</v>
      </c>
      <c r="S824" s="64">
        <v>74385</v>
      </c>
      <c r="T824" s="22">
        <v>5</v>
      </c>
      <c r="U824" s="64">
        <f t="shared" si="166"/>
        <v>3719.25</v>
      </c>
      <c r="V824" s="22">
        <v>0</v>
      </c>
      <c r="W824" s="22">
        <v>2600503</v>
      </c>
      <c r="X824" s="62" t="s">
        <v>801</v>
      </c>
      <c r="Y824" s="62">
        <v>58164887480</v>
      </c>
      <c r="Z824" s="62" t="s">
        <v>1112</v>
      </c>
      <c r="AA824" s="65">
        <v>4</v>
      </c>
      <c r="AB824" s="66"/>
      <c r="AC824" s="1" t="s">
        <v>1842</v>
      </c>
      <c r="AD824" s="62" t="str">
        <f>VLOOKUP(X824,'Customer List'!B:C,2,)</f>
        <v>Mumbai</v>
      </c>
      <c r="AE824" s="67"/>
      <c r="AF824" s="6">
        <v>46142</v>
      </c>
      <c r="AG824" s="62">
        <f t="shared" si="167"/>
        <v>1</v>
      </c>
      <c r="AH824" s="62" t="str">
        <f t="shared" si="168"/>
        <v>Tuesday</v>
      </c>
      <c r="AI824" s="62" t="str">
        <f t="shared" si="162"/>
        <v>Thursday</v>
      </c>
      <c r="AJ824" s="62" t="str">
        <f>VLOOKUP(AC824,'Currency Sheet'!A:C,3,)</f>
        <v>DOLLAR</v>
      </c>
      <c r="AK824" s="62" t="str">
        <f>VLOOKUP(X824,'Customer List'!B:D,3,)</f>
        <v>OutStation</v>
      </c>
    </row>
    <row r="825" spans="1:37" hidden="1" x14ac:dyDescent="0.25">
      <c r="A825" s="62">
        <f t="shared" si="169"/>
        <v>810</v>
      </c>
      <c r="B825" s="62" t="s">
        <v>824</v>
      </c>
      <c r="C825" s="62" t="s">
        <v>2015</v>
      </c>
      <c r="D825" s="6">
        <v>46129</v>
      </c>
      <c r="E825" s="6">
        <v>46139</v>
      </c>
      <c r="F825" s="63">
        <v>100.1</v>
      </c>
      <c r="G825" s="64">
        <f t="shared" si="163"/>
        <v>8808.7999999999993</v>
      </c>
      <c r="H825" s="64">
        <f t="shared" si="164"/>
        <v>8808.7999999999993</v>
      </c>
      <c r="I825" s="70">
        <v>304145</v>
      </c>
      <c r="J825" s="62" t="s">
        <v>1712</v>
      </c>
      <c r="K825" s="8" t="s">
        <v>2058</v>
      </c>
      <c r="L825" s="10" t="s">
        <v>2059</v>
      </c>
      <c r="M825" s="62">
        <v>1</v>
      </c>
      <c r="N825" s="8">
        <v>1</v>
      </c>
      <c r="O825" s="62">
        <f t="shared" si="165"/>
        <v>0</v>
      </c>
      <c r="P825" s="70" t="s">
        <v>2481</v>
      </c>
      <c r="Q825" s="71">
        <v>46153</v>
      </c>
      <c r="R825" s="6">
        <v>46153</v>
      </c>
      <c r="S825" s="64">
        <v>0</v>
      </c>
      <c r="T825" s="22">
        <v>5</v>
      </c>
      <c r="U825" s="64">
        <f t="shared" si="166"/>
        <v>0</v>
      </c>
      <c r="V825" s="22">
        <v>0</v>
      </c>
      <c r="W825" s="22">
        <v>0</v>
      </c>
      <c r="X825" s="62" t="s">
        <v>797</v>
      </c>
      <c r="Y825" s="62" t="s">
        <v>1120</v>
      </c>
      <c r="Z825" s="62" t="s">
        <v>1863</v>
      </c>
      <c r="AA825" s="65">
        <v>4</v>
      </c>
      <c r="AB825" s="66" t="s">
        <v>2482</v>
      </c>
      <c r="AC825" s="1" t="s">
        <v>1842</v>
      </c>
      <c r="AD825" s="62" t="str">
        <f>VLOOKUP(X825,'Customer List'!B:C,2,)</f>
        <v>Delhi</v>
      </c>
      <c r="AE825" s="67" t="s">
        <v>2187</v>
      </c>
      <c r="AF825" s="6"/>
      <c r="AG825" s="62" t="str">
        <f t="shared" si="167"/>
        <v/>
      </c>
      <c r="AH825" s="62" t="str">
        <f t="shared" si="168"/>
        <v>Saturday</v>
      </c>
      <c r="AI825" s="62" t="str">
        <f t="shared" si="162"/>
        <v/>
      </c>
      <c r="AJ825" s="62" t="str">
        <f>VLOOKUP(AC825,'Currency Sheet'!A:C,3,)</f>
        <v>DOLLAR</v>
      </c>
      <c r="AK825" s="62" t="str">
        <f>VLOOKUP(X825,'Customer List'!B:D,3,)</f>
        <v>Local</v>
      </c>
    </row>
    <row r="826" spans="1:37" hidden="1" x14ac:dyDescent="0.25">
      <c r="A826" s="62">
        <f t="shared" si="169"/>
        <v>811</v>
      </c>
      <c r="B826" s="62" t="s">
        <v>824</v>
      </c>
      <c r="C826" s="62" t="s">
        <v>2015</v>
      </c>
      <c r="D826" s="6">
        <v>46129</v>
      </c>
      <c r="E826" s="6">
        <v>46139</v>
      </c>
      <c r="F826" s="63">
        <v>267.39999999999998</v>
      </c>
      <c r="G826" s="64">
        <f t="shared" si="163"/>
        <v>23531.199999999997</v>
      </c>
      <c r="H826" s="64">
        <f t="shared" si="164"/>
        <v>23531.199999999997</v>
      </c>
      <c r="I826" s="70">
        <v>306016</v>
      </c>
      <c r="J826" s="62" t="s">
        <v>1714</v>
      </c>
      <c r="K826" s="8" t="s">
        <v>2060</v>
      </c>
      <c r="L826" s="10" t="s">
        <v>2061</v>
      </c>
      <c r="M826" s="62">
        <v>1</v>
      </c>
      <c r="N826" s="8">
        <v>1</v>
      </c>
      <c r="O826" s="62">
        <f t="shared" si="165"/>
        <v>0</v>
      </c>
      <c r="P826" s="70">
        <v>219</v>
      </c>
      <c r="Q826" s="71">
        <v>46140</v>
      </c>
      <c r="R826" s="6">
        <v>46140</v>
      </c>
      <c r="S826" s="64">
        <v>40110</v>
      </c>
      <c r="T826" s="22">
        <v>5</v>
      </c>
      <c r="U826" s="64">
        <f t="shared" si="166"/>
        <v>2005.5</v>
      </c>
      <c r="V826" s="22">
        <v>0</v>
      </c>
      <c r="W826" s="22">
        <v>198450</v>
      </c>
      <c r="X826" s="62" t="s">
        <v>2186</v>
      </c>
      <c r="Y826" s="62">
        <v>58164837452</v>
      </c>
      <c r="Z826" s="62" t="s">
        <v>1112</v>
      </c>
      <c r="AA826" s="65">
        <v>4</v>
      </c>
      <c r="AB826" s="66"/>
      <c r="AC826" s="1" t="s">
        <v>1842</v>
      </c>
      <c r="AD826" s="62" t="str">
        <f>VLOOKUP(X826,'Customer List'!B:C,2,)</f>
        <v>Banglore</v>
      </c>
      <c r="AE826" s="67"/>
      <c r="AF826" s="6">
        <v>46141</v>
      </c>
      <c r="AG826" s="62">
        <f t="shared" si="167"/>
        <v>1</v>
      </c>
      <c r="AH826" s="62" t="str">
        <f t="shared" si="168"/>
        <v>Saturday</v>
      </c>
      <c r="AI826" s="62" t="str">
        <f t="shared" si="162"/>
        <v>Wednesday</v>
      </c>
      <c r="AJ826" s="62" t="str">
        <f>VLOOKUP(AC826,'Currency Sheet'!A:C,3,)</f>
        <v>DOLLAR</v>
      </c>
      <c r="AK826" s="62" t="str">
        <f>VLOOKUP(X826,'Customer List'!B:D,3,)</f>
        <v>OutStation</v>
      </c>
    </row>
    <row r="827" spans="1:37" hidden="1" x14ac:dyDescent="0.25">
      <c r="A827" s="62">
        <f t="shared" si="169"/>
        <v>812</v>
      </c>
      <c r="B827" s="62" t="s">
        <v>824</v>
      </c>
      <c r="C827" s="62" t="s">
        <v>2015</v>
      </c>
      <c r="D827" s="6">
        <v>46129</v>
      </c>
      <c r="E827" s="6">
        <v>46139</v>
      </c>
      <c r="F827" s="63">
        <v>334.5</v>
      </c>
      <c r="G827" s="64">
        <f t="shared" si="163"/>
        <v>29436</v>
      </c>
      <c r="H827" s="64">
        <f t="shared" si="164"/>
        <v>147180</v>
      </c>
      <c r="I827" s="70">
        <v>306026</v>
      </c>
      <c r="J827" s="62" t="s">
        <v>1714</v>
      </c>
      <c r="K827" s="8" t="s">
        <v>1715</v>
      </c>
      <c r="L827" s="10" t="s">
        <v>2062</v>
      </c>
      <c r="M827" s="62">
        <v>5</v>
      </c>
      <c r="N827" s="8">
        <v>5</v>
      </c>
      <c r="O827" s="62">
        <f t="shared" si="165"/>
        <v>0</v>
      </c>
      <c r="P827" s="70">
        <v>227</v>
      </c>
      <c r="Q827" s="71">
        <v>46141</v>
      </c>
      <c r="R827" s="6">
        <v>46141</v>
      </c>
      <c r="S827" s="64">
        <v>178623</v>
      </c>
      <c r="T827" s="22">
        <v>5</v>
      </c>
      <c r="U827" s="64">
        <f t="shared" si="166"/>
        <v>8931.15</v>
      </c>
      <c r="V827" s="22">
        <v>0</v>
      </c>
      <c r="W827" s="22">
        <v>2600503</v>
      </c>
      <c r="X827" s="62" t="s">
        <v>801</v>
      </c>
      <c r="Y827" s="62">
        <v>58164887480</v>
      </c>
      <c r="Z827" s="62" t="s">
        <v>1112</v>
      </c>
      <c r="AA827" s="65">
        <v>4</v>
      </c>
      <c r="AB827" s="66"/>
      <c r="AC827" s="1" t="s">
        <v>1842</v>
      </c>
      <c r="AD827" s="62" t="str">
        <f>VLOOKUP(X827,'Customer List'!B:C,2,)</f>
        <v>Mumbai</v>
      </c>
      <c r="AE827" s="67"/>
      <c r="AF827" s="6">
        <v>46142</v>
      </c>
      <c r="AG827" s="62">
        <f t="shared" si="167"/>
        <v>1</v>
      </c>
      <c r="AH827" s="62" t="str">
        <f t="shared" si="168"/>
        <v>Wednesday</v>
      </c>
      <c r="AI827" s="62" t="str">
        <f t="shared" si="162"/>
        <v>Thursday</v>
      </c>
      <c r="AJ827" s="62" t="str">
        <f>VLOOKUP(AC827,'Currency Sheet'!A:C,3,)</f>
        <v>DOLLAR</v>
      </c>
      <c r="AK827" s="62" t="str">
        <f>VLOOKUP(X827,'Customer List'!B:D,3,)</f>
        <v>OutStation</v>
      </c>
    </row>
    <row r="828" spans="1:37" hidden="1" x14ac:dyDescent="0.25">
      <c r="A828" s="62">
        <f t="shared" si="169"/>
        <v>813</v>
      </c>
      <c r="B828" s="62" t="s">
        <v>824</v>
      </c>
      <c r="C828" s="62" t="s">
        <v>2015</v>
      </c>
      <c r="D828" s="6">
        <v>46129</v>
      </c>
      <c r="E828" s="6">
        <v>46139</v>
      </c>
      <c r="F828" s="63">
        <v>321.75</v>
      </c>
      <c r="G828" s="64">
        <f t="shared" si="163"/>
        <v>28314</v>
      </c>
      <c r="H828" s="64">
        <f t="shared" si="164"/>
        <v>226512</v>
      </c>
      <c r="I828" s="70">
        <v>307640</v>
      </c>
      <c r="J828" s="62" t="s">
        <v>2063</v>
      </c>
      <c r="K828" s="8" t="s">
        <v>2064</v>
      </c>
      <c r="L828" s="10" t="s">
        <v>2065</v>
      </c>
      <c r="M828" s="62">
        <v>8</v>
      </c>
      <c r="N828" s="8">
        <v>8</v>
      </c>
      <c r="O828" s="62">
        <f t="shared" si="165"/>
        <v>0</v>
      </c>
      <c r="P828" s="70">
        <v>227</v>
      </c>
      <c r="Q828" s="71">
        <v>46141</v>
      </c>
      <c r="R828" s="6">
        <v>46141</v>
      </c>
      <c r="S828" s="64">
        <v>649800</v>
      </c>
      <c r="T828" s="22">
        <v>5</v>
      </c>
      <c r="U828" s="64">
        <f t="shared" si="166"/>
        <v>32490</v>
      </c>
      <c r="V828" s="22">
        <v>0</v>
      </c>
      <c r="W828" s="22">
        <v>2600503</v>
      </c>
      <c r="X828" s="62" t="s">
        <v>801</v>
      </c>
      <c r="Y828" s="62">
        <v>58164887480</v>
      </c>
      <c r="Z828" s="62" t="s">
        <v>1112</v>
      </c>
      <c r="AA828" s="65">
        <v>4</v>
      </c>
      <c r="AB828" s="66"/>
      <c r="AC828" s="1" t="s">
        <v>1842</v>
      </c>
      <c r="AD828" s="62" t="str">
        <f>VLOOKUP(X828,'Customer List'!B:C,2,)</f>
        <v>Mumbai</v>
      </c>
      <c r="AE828" s="67"/>
      <c r="AF828" s="6">
        <v>46142</v>
      </c>
      <c r="AG828" s="62">
        <f t="shared" si="167"/>
        <v>1</v>
      </c>
      <c r="AH828" s="62" t="str">
        <f t="shared" si="168"/>
        <v>Wednesday</v>
      </c>
      <c r="AI828" s="62" t="str">
        <f t="shared" si="162"/>
        <v>Thursday</v>
      </c>
      <c r="AJ828" s="62" t="str">
        <f>VLOOKUP(AC828,'Currency Sheet'!A:C,3,)</f>
        <v>DOLLAR</v>
      </c>
      <c r="AK828" s="62" t="str">
        <f>VLOOKUP(X828,'Customer List'!B:D,3,)</f>
        <v>OutStation</v>
      </c>
    </row>
    <row r="829" spans="1:37" hidden="1" x14ac:dyDescent="0.25">
      <c r="A829" s="62">
        <f t="shared" si="169"/>
        <v>814</v>
      </c>
      <c r="B829" s="62" t="s">
        <v>824</v>
      </c>
      <c r="C829" s="62" t="s">
        <v>2015</v>
      </c>
      <c r="D829" s="6">
        <v>46129</v>
      </c>
      <c r="E829" s="6">
        <v>46139</v>
      </c>
      <c r="F829" s="63">
        <v>285</v>
      </c>
      <c r="G829" s="64">
        <f t="shared" si="163"/>
        <v>25080</v>
      </c>
      <c r="H829" s="64">
        <f t="shared" si="164"/>
        <v>50160</v>
      </c>
      <c r="I829" s="70">
        <v>307646</v>
      </c>
      <c r="J829" s="62" t="s">
        <v>2063</v>
      </c>
      <c r="K829" s="8" t="s">
        <v>973</v>
      </c>
      <c r="L829" s="10" t="s">
        <v>2066</v>
      </c>
      <c r="M829" s="62">
        <v>2</v>
      </c>
      <c r="N829" s="8">
        <v>2</v>
      </c>
      <c r="O829" s="62">
        <f t="shared" si="165"/>
        <v>0</v>
      </c>
      <c r="P829" s="70">
        <v>236</v>
      </c>
      <c r="Q829" s="71">
        <v>46141</v>
      </c>
      <c r="R829" s="6">
        <v>46141</v>
      </c>
      <c r="S829" s="64">
        <v>70680</v>
      </c>
      <c r="T829" s="22">
        <v>5</v>
      </c>
      <c r="U829" s="64">
        <f t="shared" si="166"/>
        <v>3534</v>
      </c>
      <c r="V829" s="22">
        <v>0.5</v>
      </c>
      <c r="W829" s="22">
        <v>159170</v>
      </c>
      <c r="X829" s="62" t="s">
        <v>2226</v>
      </c>
      <c r="Y829" s="62">
        <v>58164888445</v>
      </c>
      <c r="Z829" s="62" t="s">
        <v>1112</v>
      </c>
      <c r="AA829" s="65">
        <v>4</v>
      </c>
      <c r="AB829" s="66"/>
      <c r="AC829" s="1" t="s">
        <v>1842</v>
      </c>
      <c r="AD829" s="62" t="str">
        <f>VLOOKUP(X829,'Customer List'!B:C,2,)</f>
        <v>Mumbai</v>
      </c>
      <c r="AE829" s="67"/>
      <c r="AF829" s="6">
        <v>46142</v>
      </c>
      <c r="AG829" s="62">
        <f t="shared" si="167"/>
        <v>1</v>
      </c>
      <c r="AH829" s="62" t="str">
        <f t="shared" si="168"/>
        <v>Sunday</v>
      </c>
      <c r="AI829" s="62" t="str">
        <f t="shared" ref="AI829:AI892" si="170">IF(AF829="", "", TEXT(AF829, "dddd"))</f>
        <v>Thursday</v>
      </c>
      <c r="AJ829" s="62" t="str">
        <f>VLOOKUP(AC829,'Currency Sheet'!A:C,3,)</f>
        <v>DOLLAR</v>
      </c>
      <c r="AK829" s="62" t="str">
        <f>VLOOKUP(X829,'Customer List'!B:D,3,)</f>
        <v>OutStation</v>
      </c>
    </row>
    <row r="830" spans="1:37" hidden="1" x14ac:dyDescent="0.25">
      <c r="A830" s="62">
        <f t="shared" si="169"/>
        <v>815</v>
      </c>
      <c r="B830" s="62" t="s">
        <v>824</v>
      </c>
      <c r="C830" s="62" t="s">
        <v>2015</v>
      </c>
      <c r="D830" s="6">
        <v>46129</v>
      </c>
      <c r="E830" s="6">
        <v>46139</v>
      </c>
      <c r="F830" s="63">
        <v>285</v>
      </c>
      <c r="G830" s="64">
        <f t="shared" si="163"/>
        <v>25080</v>
      </c>
      <c r="H830" s="64">
        <f t="shared" si="164"/>
        <v>501600</v>
      </c>
      <c r="I830" s="70">
        <v>307646</v>
      </c>
      <c r="J830" s="62" t="s">
        <v>2063</v>
      </c>
      <c r="K830" s="8" t="s">
        <v>973</v>
      </c>
      <c r="L830" s="10" t="s">
        <v>2066</v>
      </c>
      <c r="M830" s="62">
        <v>20</v>
      </c>
      <c r="N830" s="8">
        <v>20</v>
      </c>
      <c r="O830" s="62">
        <f t="shared" si="165"/>
        <v>0</v>
      </c>
      <c r="P830" s="70">
        <v>227</v>
      </c>
      <c r="Q830" s="71">
        <v>46141</v>
      </c>
      <c r="R830" s="6">
        <v>46141</v>
      </c>
      <c r="S830" s="64">
        <v>293436</v>
      </c>
      <c r="T830" s="22">
        <v>5</v>
      </c>
      <c r="U830" s="64">
        <f t="shared" si="166"/>
        <v>14671.800000000001</v>
      </c>
      <c r="V830" s="22">
        <v>0</v>
      </c>
      <c r="W830" s="22">
        <v>2600503</v>
      </c>
      <c r="X830" s="62" t="s">
        <v>801</v>
      </c>
      <c r="Y830" s="62">
        <v>58164887480</v>
      </c>
      <c r="Z830" s="62" t="s">
        <v>1112</v>
      </c>
      <c r="AA830" s="65">
        <v>4</v>
      </c>
      <c r="AB830" s="66"/>
      <c r="AC830" s="1" t="s">
        <v>1842</v>
      </c>
      <c r="AD830" s="62" t="str">
        <f>VLOOKUP(X830,'Customer List'!B:C,2,)</f>
        <v>Mumbai</v>
      </c>
      <c r="AE830" s="67"/>
      <c r="AF830" s="6">
        <v>46142</v>
      </c>
      <c r="AG830" s="62">
        <f t="shared" si="167"/>
        <v>1</v>
      </c>
      <c r="AH830" s="62" t="str">
        <f t="shared" si="168"/>
        <v>Tuesday</v>
      </c>
      <c r="AI830" s="62" t="str">
        <f t="shared" si="170"/>
        <v>Thursday</v>
      </c>
      <c r="AJ830" s="62" t="str">
        <f>VLOOKUP(AC830,'Currency Sheet'!A:C,3,)</f>
        <v>DOLLAR</v>
      </c>
      <c r="AK830" s="62" t="str">
        <f>VLOOKUP(X830,'Customer List'!B:D,3,)</f>
        <v>OutStation</v>
      </c>
    </row>
    <row r="831" spans="1:37" hidden="1" x14ac:dyDescent="0.25">
      <c r="A831" s="62">
        <f t="shared" si="169"/>
        <v>816</v>
      </c>
      <c r="B831" s="62" t="s">
        <v>824</v>
      </c>
      <c r="C831" s="62" t="s">
        <v>2015</v>
      </c>
      <c r="D831" s="6">
        <v>46129</v>
      </c>
      <c r="E831" s="6">
        <v>46139</v>
      </c>
      <c r="F831" s="63">
        <v>234.5</v>
      </c>
      <c r="G831" s="64">
        <f t="shared" si="163"/>
        <v>20636</v>
      </c>
      <c r="H831" s="64">
        <f t="shared" si="164"/>
        <v>20636</v>
      </c>
      <c r="I831" s="70">
        <v>308216</v>
      </c>
      <c r="J831" s="62" t="s">
        <v>2067</v>
      </c>
      <c r="K831" s="8" t="s">
        <v>2068</v>
      </c>
      <c r="L831" s="10" t="s">
        <v>2069</v>
      </c>
      <c r="M831" s="62">
        <v>1</v>
      </c>
      <c r="N831" s="8">
        <v>1</v>
      </c>
      <c r="O831" s="62">
        <f t="shared" si="165"/>
        <v>0</v>
      </c>
      <c r="P831" s="70">
        <v>224</v>
      </c>
      <c r="Q831" s="71">
        <v>46141</v>
      </c>
      <c r="R831" s="6">
        <v>46141</v>
      </c>
      <c r="S831" s="64">
        <v>36347.5</v>
      </c>
      <c r="T831" s="22">
        <v>5</v>
      </c>
      <c r="U831" s="64">
        <f t="shared" si="166"/>
        <v>1817.375</v>
      </c>
      <c r="V831" s="22">
        <v>0</v>
      </c>
      <c r="W831" s="22">
        <v>266812</v>
      </c>
      <c r="X831" s="62" t="s">
        <v>1366</v>
      </c>
      <c r="Y831" s="62">
        <v>58164887756</v>
      </c>
      <c r="Z831" s="62" t="s">
        <v>1112</v>
      </c>
      <c r="AA831" s="65">
        <v>4</v>
      </c>
      <c r="AB831" s="66"/>
      <c r="AC831" s="1" t="s">
        <v>1842</v>
      </c>
      <c r="AD831" s="62" t="str">
        <f>VLOOKUP(X831,'Customer List'!B:C,2,)</f>
        <v>Lucknow</v>
      </c>
      <c r="AE831" s="67"/>
      <c r="AF831" s="6">
        <v>46143</v>
      </c>
      <c r="AG831" s="62">
        <f t="shared" si="167"/>
        <v>2</v>
      </c>
      <c r="AH831" s="62" t="str">
        <f t="shared" si="168"/>
        <v>Tuesday</v>
      </c>
      <c r="AI831" s="62" t="str">
        <f t="shared" si="170"/>
        <v>Friday</v>
      </c>
      <c r="AJ831" s="62" t="str">
        <f>VLOOKUP(AC831,'Currency Sheet'!A:C,3,)</f>
        <v>DOLLAR</v>
      </c>
      <c r="AK831" s="62" t="str">
        <f>VLOOKUP(X831,'Customer List'!B:D,3,)</f>
        <v>OutStation</v>
      </c>
    </row>
    <row r="832" spans="1:37" hidden="1" x14ac:dyDescent="0.25">
      <c r="A832" s="62">
        <f t="shared" si="169"/>
        <v>817</v>
      </c>
      <c r="B832" s="62" t="s">
        <v>824</v>
      </c>
      <c r="C832" s="62" t="s">
        <v>2015</v>
      </c>
      <c r="D832" s="6">
        <v>46129</v>
      </c>
      <c r="E832" s="6">
        <v>46139</v>
      </c>
      <c r="F832" s="63">
        <v>219.8</v>
      </c>
      <c r="G832" s="64">
        <f t="shared" si="163"/>
        <v>19342.400000000001</v>
      </c>
      <c r="H832" s="64">
        <f t="shared" si="164"/>
        <v>19342.400000000001</v>
      </c>
      <c r="I832" s="70">
        <v>310708</v>
      </c>
      <c r="J832" s="62" t="s">
        <v>2070</v>
      </c>
      <c r="K832" s="8" t="s">
        <v>2071</v>
      </c>
      <c r="L832" s="10" t="s">
        <v>2072</v>
      </c>
      <c r="M832" s="62">
        <v>1</v>
      </c>
      <c r="N832" s="8">
        <v>1</v>
      </c>
      <c r="O832" s="62">
        <f t="shared" si="165"/>
        <v>0</v>
      </c>
      <c r="P832" s="70">
        <v>219</v>
      </c>
      <c r="Q832" s="71">
        <v>46140</v>
      </c>
      <c r="R832" s="6">
        <v>46140</v>
      </c>
      <c r="S832" s="64">
        <v>32970</v>
      </c>
      <c r="T832" s="22">
        <v>5</v>
      </c>
      <c r="U832" s="64">
        <f t="shared" si="166"/>
        <v>1648.5</v>
      </c>
      <c r="V832" s="22">
        <v>0</v>
      </c>
      <c r="W832" s="22">
        <v>198450</v>
      </c>
      <c r="X832" s="62" t="s">
        <v>2186</v>
      </c>
      <c r="Y832" s="62">
        <v>58164837452</v>
      </c>
      <c r="Z832" s="62" t="s">
        <v>1112</v>
      </c>
      <c r="AA832" s="65">
        <v>4</v>
      </c>
      <c r="AB832" s="66"/>
      <c r="AC832" s="1" t="s">
        <v>1842</v>
      </c>
      <c r="AD832" s="62" t="str">
        <f>VLOOKUP(X832,'Customer List'!B:C,2,)</f>
        <v>Banglore</v>
      </c>
      <c r="AE832" s="67"/>
      <c r="AF832" s="6">
        <v>46141</v>
      </c>
      <c r="AG832" s="62">
        <f t="shared" si="167"/>
        <v>1</v>
      </c>
      <c r="AH832" s="62" t="str">
        <f t="shared" si="168"/>
        <v>Saturday</v>
      </c>
      <c r="AI832" s="62" t="str">
        <f t="shared" si="170"/>
        <v>Wednesday</v>
      </c>
      <c r="AJ832" s="62" t="str">
        <f>VLOOKUP(AC832,'Currency Sheet'!A:C,3,)</f>
        <v>DOLLAR</v>
      </c>
      <c r="AK832" s="62" t="str">
        <f>VLOOKUP(X832,'Customer List'!B:D,3,)</f>
        <v>OutStation</v>
      </c>
    </row>
    <row r="833" spans="1:37" hidden="1" x14ac:dyDescent="0.25">
      <c r="A833" s="62">
        <f t="shared" si="169"/>
        <v>818</v>
      </c>
      <c r="B833" s="62" t="s">
        <v>824</v>
      </c>
      <c r="C833" s="62" t="s">
        <v>2015</v>
      </c>
      <c r="D833" s="6">
        <v>46129</v>
      </c>
      <c r="E833" s="6">
        <v>46139</v>
      </c>
      <c r="F833" s="63">
        <v>185.5</v>
      </c>
      <c r="G833" s="64">
        <f t="shared" si="163"/>
        <v>16324</v>
      </c>
      <c r="H833" s="64">
        <f t="shared" si="164"/>
        <v>16324</v>
      </c>
      <c r="I833" s="70">
        <v>310922</v>
      </c>
      <c r="J833" s="62" t="s">
        <v>2073</v>
      </c>
      <c r="K833" s="8" t="s">
        <v>2074</v>
      </c>
      <c r="L833" s="10" t="s">
        <v>2075</v>
      </c>
      <c r="M833" s="62">
        <v>1</v>
      </c>
      <c r="N833" s="8">
        <v>1</v>
      </c>
      <c r="O833" s="62">
        <f t="shared" si="165"/>
        <v>0</v>
      </c>
      <c r="P833" s="70">
        <v>224</v>
      </c>
      <c r="Q833" s="71">
        <v>46141</v>
      </c>
      <c r="R833" s="6">
        <v>46141</v>
      </c>
      <c r="S833" s="64">
        <v>28752.5</v>
      </c>
      <c r="T833" s="22">
        <v>5</v>
      </c>
      <c r="U833" s="64">
        <f t="shared" si="166"/>
        <v>1437.625</v>
      </c>
      <c r="V833" s="22">
        <v>0</v>
      </c>
      <c r="W833" s="22">
        <v>266812</v>
      </c>
      <c r="X833" s="62" t="s">
        <v>1366</v>
      </c>
      <c r="Y833" s="62">
        <v>58164887756</v>
      </c>
      <c r="Z833" s="62" t="s">
        <v>1112</v>
      </c>
      <c r="AA833" s="65">
        <v>4</v>
      </c>
      <c r="AB833" s="66"/>
      <c r="AC833" s="1" t="s">
        <v>1842</v>
      </c>
      <c r="AD833" s="62" t="str">
        <f>VLOOKUP(X833,'Customer List'!B:C,2,)</f>
        <v>Lucknow</v>
      </c>
      <c r="AE833" s="67"/>
      <c r="AF833" s="6">
        <v>46143</v>
      </c>
      <c r="AG833" s="62">
        <f t="shared" si="167"/>
        <v>2</v>
      </c>
      <c r="AH833" s="62" t="str">
        <f t="shared" si="168"/>
        <v>Tuesday</v>
      </c>
      <c r="AI833" s="62" t="str">
        <f t="shared" si="170"/>
        <v>Friday</v>
      </c>
      <c r="AJ833" s="62" t="str">
        <f>VLOOKUP(AC833,'Currency Sheet'!A:C,3,)</f>
        <v>DOLLAR</v>
      </c>
      <c r="AK833" s="62" t="str">
        <f>VLOOKUP(X833,'Customer List'!B:D,3,)</f>
        <v>OutStation</v>
      </c>
    </row>
    <row r="834" spans="1:37" hidden="1" x14ac:dyDescent="0.25">
      <c r="A834" s="62">
        <f t="shared" si="169"/>
        <v>819</v>
      </c>
      <c r="B834" s="62" t="s">
        <v>824</v>
      </c>
      <c r="C834" s="62" t="s">
        <v>2015</v>
      </c>
      <c r="D834" s="6">
        <v>46129</v>
      </c>
      <c r="E834" s="6">
        <v>46139</v>
      </c>
      <c r="F834" s="63">
        <v>326.25</v>
      </c>
      <c r="G834" s="64">
        <f t="shared" si="163"/>
        <v>28710</v>
      </c>
      <c r="H834" s="64">
        <f t="shared" si="164"/>
        <v>57420</v>
      </c>
      <c r="I834" s="70">
        <v>313238</v>
      </c>
      <c r="J834" s="62" t="s">
        <v>2076</v>
      </c>
      <c r="K834" s="8" t="s">
        <v>2077</v>
      </c>
      <c r="L834" s="10" t="s">
        <v>2078</v>
      </c>
      <c r="M834" s="62">
        <v>2</v>
      </c>
      <c r="N834" s="8">
        <v>2</v>
      </c>
      <c r="O834" s="62">
        <f t="shared" si="165"/>
        <v>0</v>
      </c>
      <c r="P834" s="70">
        <v>236</v>
      </c>
      <c r="Q834" s="71">
        <v>46141</v>
      </c>
      <c r="R834" s="6">
        <v>46141</v>
      </c>
      <c r="S834" s="64">
        <v>80910</v>
      </c>
      <c r="T834" s="22">
        <v>5</v>
      </c>
      <c r="U834" s="64">
        <f t="shared" si="166"/>
        <v>4045.5</v>
      </c>
      <c r="V834" s="22">
        <v>0</v>
      </c>
      <c r="W834" s="22">
        <v>159170</v>
      </c>
      <c r="X834" s="62" t="s">
        <v>2226</v>
      </c>
      <c r="Y834" s="62">
        <v>58164888445</v>
      </c>
      <c r="Z834" s="62" t="s">
        <v>1112</v>
      </c>
      <c r="AA834" s="65">
        <v>4</v>
      </c>
      <c r="AB834" s="66"/>
      <c r="AC834" s="1" t="s">
        <v>1842</v>
      </c>
      <c r="AD834" s="62" t="str">
        <f>VLOOKUP(X834,'Customer List'!B:C,2,)</f>
        <v>Mumbai</v>
      </c>
      <c r="AE834" s="67"/>
      <c r="AF834" s="6">
        <v>46142</v>
      </c>
      <c r="AG834" s="62">
        <f t="shared" si="167"/>
        <v>1</v>
      </c>
      <c r="AH834" s="62" t="str">
        <f t="shared" si="168"/>
        <v>Wednesday</v>
      </c>
      <c r="AI834" s="62" t="str">
        <f t="shared" si="170"/>
        <v>Thursday</v>
      </c>
      <c r="AJ834" s="62" t="str">
        <f>VLOOKUP(AC834,'Currency Sheet'!A:C,3,)</f>
        <v>DOLLAR</v>
      </c>
      <c r="AK834" s="62" t="str">
        <f>VLOOKUP(X834,'Customer List'!B:D,3,)</f>
        <v>OutStation</v>
      </c>
    </row>
    <row r="835" spans="1:37" hidden="1" x14ac:dyDescent="0.25">
      <c r="A835" s="62">
        <f t="shared" si="169"/>
        <v>820</v>
      </c>
      <c r="B835" s="62" t="s">
        <v>824</v>
      </c>
      <c r="C835" s="62" t="s">
        <v>2015</v>
      </c>
      <c r="D835" s="6">
        <v>46129</v>
      </c>
      <c r="E835" s="6">
        <v>46139</v>
      </c>
      <c r="F835" s="63">
        <v>326.25</v>
      </c>
      <c r="G835" s="64">
        <f t="shared" si="163"/>
        <v>28710</v>
      </c>
      <c r="H835" s="64">
        <f t="shared" si="164"/>
        <v>57420</v>
      </c>
      <c r="I835" s="70">
        <v>313238</v>
      </c>
      <c r="J835" s="62" t="s">
        <v>2076</v>
      </c>
      <c r="K835" s="8" t="s">
        <v>2077</v>
      </c>
      <c r="L835" s="10" t="s">
        <v>2078</v>
      </c>
      <c r="M835" s="62">
        <v>2</v>
      </c>
      <c r="N835" s="8">
        <v>2</v>
      </c>
      <c r="O835" s="62">
        <f t="shared" si="165"/>
        <v>0</v>
      </c>
      <c r="P835" s="70">
        <v>227</v>
      </c>
      <c r="Q835" s="71">
        <v>46141</v>
      </c>
      <c r="R835" s="6">
        <v>46141</v>
      </c>
      <c r="S835" s="64">
        <v>74385</v>
      </c>
      <c r="T835" s="22">
        <v>5</v>
      </c>
      <c r="U835" s="64">
        <f t="shared" si="166"/>
        <v>3719.25</v>
      </c>
      <c r="V835" s="22">
        <v>0</v>
      </c>
      <c r="W835" s="22">
        <v>2600503</v>
      </c>
      <c r="X835" s="62" t="s">
        <v>801</v>
      </c>
      <c r="Y835" s="62">
        <v>58164887480</v>
      </c>
      <c r="Z835" s="62" t="s">
        <v>1112</v>
      </c>
      <c r="AA835" s="65">
        <v>4</v>
      </c>
      <c r="AB835" s="66"/>
      <c r="AC835" s="1" t="s">
        <v>1842</v>
      </c>
      <c r="AD835" s="62" t="str">
        <f>VLOOKUP(X835,'Customer List'!B:C,2,)</f>
        <v>Mumbai</v>
      </c>
      <c r="AE835" s="67"/>
      <c r="AF835" s="6">
        <v>46142</v>
      </c>
      <c r="AG835" s="62">
        <f t="shared" si="167"/>
        <v>1</v>
      </c>
      <c r="AH835" s="62" t="str">
        <f t="shared" si="168"/>
        <v>Tuesday</v>
      </c>
      <c r="AI835" s="62" t="str">
        <f t="shared" si="170"/>
        <v>Thursday</v>
      </c>
      <c r="AJ835" s="62" t="str">
        <f>VLOOKUP(AC835,'Currency Sheet'!A:C,3,)</f>
        <v>DOLLAR</v>
      </c>
      <c r="AK835" s="62" t="str">
        <f>VLOOKUP(X835,'Customer List'!B:D,3,)</f>
        <v>OutStation</v>
      </c>
    </row>
    <row r="836" spans="1:37" hidden="1" x14ac:dyDescent="0.25">
      <c r="A836" s="62">
        <f t="shared" si="169"/>
        <v>821</v>
      </c>
      <c r="B836" s="62" t="s">
        <v>824</v>
      </c>
      <c r="C836" s="62" t="s">
        <v>2015</v>
      </c>
      <c r="D836" s="6">
        <v>46129</v>
      </c>
      <c r="E836" s="6">
        <v>46139</v>
      </c>
      <c r="F836" s="63">
        <v>313.5</v>
      </c>
      <c r="G836" s="64">
        <f t="shared" si="163"/>
        <v>27588</v>
      </c>
      <c r="H836" s="64">
        <f t="shared" si="164"/>
        <v>55176</v>
      </c>
      <c r="I836" s="70">
        <v>317328</v>
      </c>
      <c r="J836" s="62" t="s">
        <v>1724</v>
      </c>
      <c r="K836" s="8" t="s">
        <v>1527</v>
      </c>
      <c r="L836" s="10" t="s">
        <v>2079</v>
      </c>
      <c r="M836" s="62">
        <v>2</v>
      </c>
      <c r="N836" s="8">
        <v>2</v>
      </c>
      <c r="O836" s="62">
        <f t="shared" si="165"/>
        <v>0</v>
      </c>
      <c r="P836" s="70">
        <v>232</v>
      </c>
      <c r="Q836" s="71">
        <v>46141</v>
      </c>
      <c r="R836" s="6">
        <v>46141</v>
      </c>
      <c r="S836" s="64">
        <v>90706</v>
      </c>
      <c r="T836" s="22">
        <v>5</v>
      </c>
      <c r="U836" s="64">
        <f t="shared" si="166"/>
        <v>4535.3</v>
      </c>
      <c r="V836" s="22">
        <v>0.04</v>
      </c>
      <c r="W836" s="22">
        <v>192989</v>
      </c>
      <c r="X836" s="62" t="s">
        <v>807</v>
      </c>
      <c r="Y836" s="62" t="s">
        <v>1120</v>
      </c>
      <c r="Z836" s="62" t="s">
        <v>1863</v>
      </c>
      <c r="AA836" s="65">
        <v>4</v>
      </c>
      <c r="AB836" s="66"/>
      <c r="AC836" s="1" t="s">
        <v>1842</v>
      </c>
      <c r="AD836" s="62" t="str">
        <f>VLOOKUP(X836,'Customer List'!B:C,2,)</f>
        <v>Delhi</v>
      </c>
      <c r="AE836" s="67"/>
      <c r="AF836" s="6"/>
      <c r="AG836" s="62" t="str">
        <f t="shared" si="167"/>
        <v/>
      </c>
      <c r="AH836" s="62" t="str">
        <f t="shared" si="168"/>
        <v>Saturday</v>
      </c>
      <c r="AI836" s="62" t="str">
        <f t="shared" si="170"/>
        <v/>
      </c>
      <c r="AJ836" s="62" t="str">
        <f>VLOOKUP(AC836,'Currency Sheet'!A:C,3,)</f>
        <v>DOLLAR</v>
      </c>
      <c r="AK836" s="62" t="str">
        <f>VLOOKUP(X836,'Customer List'!B:D,3,)</f>
        <v>Local</v>
      </c>
    </row>
    <row r="837" spans="1:37" hidden="1" x14ac:dyDescent="0.25">
      <c r="A837" s="62">
        <f t="shared" si="169"/>
        <v>822</v>
      </c>
      <c r="B837" s="62" t="s">
        <v>824</v>
      </c>
      <c r="C837" s="62" t="s">
        <v>2015</v>
      </c>
      <c r="D837" s="6">
        <v>46129</v>
      </c>
      <c r="E837" s="6">
        <v>46139</v>
      </c>
      <c r="F837" s="63">
        <v>305.25</v>
      </c>
      <c r="G837" s="64">
        <f t="shared" si="163"/>
        <v>26862</v>
      </c>
      <c r="H837" s="64">
        <f t="shared" si="164"/>
        <v>53724</v>
      </c>
      <c r="I837" s="70">
        <v>318340</v>
      </c>
      <c r="J837" s="62" t="s">
        <v>1726</v>
      </c>
      <c r="K837" s="8" t="s">
        <v>988</v>
      </c>
      <c r="L837" s="10" t="s">
        <v>2080</v>
      </c>
      <c r="M837" s="62">
        <v>2</v>
      </c>
      <c r="N837" s="8">
        <v>2</v>
      </c>
      <c r="O837" s="62">
        <f t="shared" si="165"/>
        <v>0</v>
      </c>
      <c r="P837" s="70">
        <v>227</v>
      </c>
      <c r="Q837" s="71">
        <v>46141</v>
      </c>
      <c r="R837" s="6">
        <v>46141</v>
      </c>
      <c r="S837" s="64">
        <v>69560.37</v>
      </c>
      <c r="T837" s="22">
        <v>5</v>
      </c>
      <c r="U837" s="64">
        <f t="shared" si="166"/>
        <v>3478.0185000000001</v>
      </c>
      <c r="V837" s="22">
        <v>0</v>
      </c>
      <c r="W837" s="22">
        <v>2600503</v>
      </c>
      <c r="X837" s="62" t="s">
        <v>801</v>
      </c>
      <c r="Y837" s="62">
        <v>58164887480</v>
      </c>
      <c r="Z837" s="62" t="s">
        <v>1112</v>
      </c>
      <c r="AA837" s="65">
        <v>4</v>
      </c>
      <c r="AB837" s="66"/>
      <c r="AC837" s="1" t="s">
        <v>1842</v>
      </c>
      <c r="AD837" s="62" t="str">
        <f>VLOOKUP(X837,'Customer List'!B:C,2,)</f>
        <v>Mumbai</v>
      </c>
      <c r="AE837" s="67"/>
      <c r="AF837" s="6">
        <v>46142</v>
      </c>
      <c r="AG837" s="62">
        <f t="shared" si="167"/>
        <v>1</v>
      </c>
      <c r="AH837" s="62" t="str">
        <f t="shared" si="168"/>
        <v>Sunday</v>
      </c>
      <c r="AI837" s="62" t="str">
        <f t="shared" si="170"/>
        <v>Thursday</v>
      </c>
      <c r="AJ837" s="62" t="str">
        <f>VLOOKUP(AC837,'Currency Sheet'!A:C,3,)</f>
        <v>DOLLAR</v>
      </c>
      <c r="AK837" s="62" t="str">
        <f>VLOOKUP(X837,'Customer List'!B:D,3,)</f>
        <v>OutStation</v>
      </c>
    </row>
    <row r="838" spans="1:37" hidden="1" x14ac:dyDescent="0.25">
      <c r="A838" s="62">
        <f t="shared" si="169"/>
        <v>823</v>
      </c>
      <c r="B838" s="62" t="s">
        <v>824</v>
      </c>
      <c r="C838" s="62" t="s">
        <v>2015</v>
      </c>
      <c r="D838" s="6">
        <v>46129</v>
      </c>
      <c r="E838" s="6">
        <v>46139</v>
      </c>
      <c r="F838" s="63">
        <v>185.5</v>
      </c>
      <c r="G838" s="64">
        <f t="shared" si="163"/>
        <v>16324</v>
      </c>
      <c r="H838" s="64">
        <f t="shared" si="164"/>
        <v>32648</v>
      </c>
      <c r="I838" s="70">
        <v>320002</v>
      </c>
      <c r="J838" s="62" t="s">
        <v>2081</v>
      </c>
      <c r="K838" s="8" t="s">
        <v>2082</v>
      </c>
      <c r="L838" s="10" t="s">
        <v>2083</v>
      </c>
      <c r="M838" s="62">
        <v>2</v>
      </c>
      <c r="N838" s="8">
        <v>2</v>
      </c>
      <c r="O838" s="62">
        <f t="shared" si="165"/>
        <v>0</v>
      </c>
      <c r="P838" s="70">
        <v>214</v>
      </c>
      <c r="Q838" s="71">
        <v>46139</v>
      </c>
      <c r="R838" s="6">
        <v>46140</v>
      </c>
      <c r="S838" s="64">
        <v>49290</v>
      </c>
      <c r="T838" s="22">
        <v>5</v>
      </c>
      <c r="U838" s="64">
        <f t="shared" si="166"/>
        <v>2464.5</v>
      </c>
      <c r="V838" s="22">
        <v>0.5</v>
      </c>
      <c r="W838" s="22">
        <v>51755</v>
      </c>
      <c r="X838" s="62" t="s">
        <v>1448</v>
      </c>
      <c r="Y838" s="62">
        <v>58164836520</v>
      </c>
      <c r="Z838" s="62" t="s">
        <v>1112</v>
      </c>
      <c r="AA838" s="65">
        <v>4</v>
      </c>
      <c r="AB838" s="66"/>
      <c r="AC838" s="1" t="s">
        <v>1842</v>
      </c>
      <c r="AD838" s="62" t="str">
        <f>VLOOKUP(X838,'Customer List'!B:C,2,)</f>
        <v>Hyderabad</v>
      </c>
      <c r="AE838" s="67"/>
      <c r="AF838" s="6">
        <v>46141</v>
      </c>
      <c r="AG838" s="62">
        <f t="shared" si="167"/>
        <v>1</v>
      </c>
      <c r="AH838" s="62" t="str">
        <f t="shared" si="168"/>
        <v>Tuesday</v>
      </c>
      <c r="AI838" s="62" t="str">
        <f t="shared" si="170"/>
        <v>Wednesday</v>
      </c>
      <c r="AJ838" s="62" t="str">
        <f>VLOOKUP(AC838,'Currency Sheet'!A:C,3,)</f>
        <v>DOLLAR</v>
      </c>
      <c r="AK838" s="62" t="str">
        <f>VLOOKUP(X838,'Customer List'!B:D,3,)</f>
        <v>OutStation</v>
      </c>
    </row>
    <row r="839" spans="1:37" hidden="1" x14ac:dyDescent="0.25">
      <c r="A839" s="62">
        <f t="shared" si="169"/>
        <v>824</v>
      </c>
      <c r="B839" s="62" t="s">
        <v>824</v>
      </c>
      <c r="C839" s="62" t="s">
        <v>2015</v>
      </c>
      <c r="D839" s="6">
        <v>46129</v>
      </c>
      <c r="E839" s="6">
        <v>46139</v>
      </c>
      <c r="F839" s="63">
        <v>263.89999999999998</v>
      </c>
      <c r="G839" s="64">
        <f t="shared" si="163"/>
        <v>23223.199999999997</v>
      </c>
      <c r="H839" s="64">
        <f t="shared" si="164"/>
        <v>23223.199999999997</v>
      </c>
      <c r="I839" s="70">
        <v>320108</v>
      </c>
      <c r="J839" s="62" t="s">
        <v>2084</v>
      </c>
      <c r="K839" s="8" t="s">
        <v>2085</v>
      </c>
      <c r="L839" s="10" t="s">
        <v>2086</v>
      </c>
      <c r="M839" s="62">
        <v>1</v>
      </c>
      <c r="N839" s="8">
        <v>1</v>
      </c>
      <c r="O839" s="62">
        <f t="shared" si="165"/>
        <v>0</v>
      </c>
      <c r="P839" s="70" t="s">
        <v>2531</v>
      </c>
      <c r="Q839" s="71">
        <v>46157</v>
      </c>
      <c r="R839" s="6">
        <v>46157</v>
      </c>
      <c r="S839" s="64">
        <v>52591.5</v>
      </c>
      <c r="T839" s="22">
        <v>5</v>
      </c>
      <c r="U839" s="64">
        <f t="shared" si="166"/>
        <v>2629.5750000000003</v>
      </c>
      <c r="V839" s="22">
        <v>0</v>
      </c>
      <c r="W839" s="22">
        <v>71333</v>
      </c>
      <c r="X839" s="62" t="s">
        <v>792</v>
      </c>
      <c r="Y839" s="62"/>
      <c r="Z839" s="62"/>
      <c r="AA839" s="65">
        <v>4</v>
      </c>
      <c r="AB839" s="66"/>
      <c r="AC839" s="1" t="s">
        <v>1842</v>
      </c>
      <c r="AD839" s="62" t="str">
        <f>VLOOKUP(X839,'Customer List'!B:C,2,)</f>
        <v>Delhi</v>
      </c>
      <c r="AE839" s="67"/>
      <c r="AF839" s="6"/>
      <c r="AG839" s="62" t="str">
        <f t="shared" si="167"/>
        <v/>
      </c>
      <c r="AH839" s="62" t="str">
        <f t="shared" si="168"/>
        <v>Saturday</v>
      </c>
      <c r="AI839" s="62" t="str">
        <f t="shared" si="170"/>
        <v/>
      </c>
      <c r="AJ839" s="62" t="str">
        <f>VLOOKUP(AC839,'Currency Sheet'!A:C,3,)</f>
        <v>DOLLAR</v>
      </c>
      <c r="AK839" s="62" t="str">
        <f>VLOOKUP(X839,'Customer List'!B:D,3,)</f>
        <v>Local</v>
      </c>
    </row>
    <row r="840" spans="1:37" hidden="1" x14ac:dyDescent="0.25">
      <c r="A840" s="62">
        <f t="shared" si="169"/>
        <v>825</v>
      </c>
      <c r="B840" s="62" t="s">
        <v>824</v>
      </c>
      <c r="C840" s="62" t="s">
        <v>2015</v>
      </c>
      <c r="D840" s="6">
        <v>46129</v>
      </c>
      <c r="E840" s="6">
        <v>46139</v>
      </c>
      <c r="F840" s="63">
        <v>326.25</v>
      </c>
      <c r="G840" s="64">
        <f t="shared" si="163"/>
        <v>28710</v>
      </c>
      <c r="H840" s="64">
        <f t="shared" si="164"/>
        <v>28710</v>
      </c>
      <c r="I840" s="70">
        <v>324612</v>
      </c>
      <c r="J840" s="62" t="s">
        <v>1733</v>
      </c>
      <c r="K840" s="8" t="s">
        <v>2087</v>
      </c>
      <c r="L840" s="10" t="s">
        <v>2088</v>
      </c>
      <c r="M840" s="62">
        <v>1</v>
      </c>
      <c r="N840" s="8">
        <v>1</v>
      </c>
      <c r="O840" s="62">
        <f t="shared" si="165"/>
        <v>0</v>
      </c>
      <c r="P840" s="70">
        <v>219</v>
      </c>
      <c r="Q840" s="71">
        <v>46140</v>
      </c>
      <c r="R840" s="6">
        <v>46140</v>
      </c>
      <c r="S840" s="64">
        <v>45675</v>
      </c>
      <c r="T840" s="22">
        <v>5</v>
      </c>
      <c r="U840" s="64">
        <f t="shared" si="166"/>
        <v>2283.75</v>
      </c>
      <c r="V840" s="22">
        <v>0</v>
      </c>
      <c r="W840" s="22">
        <v>198450</v>
      </c>
      <c r="X840" s="62" t="s">
        <v>2186</v>
      </c>
      <c r="Y840" s="62">
        <v>58164837452</v>
      </c>
      <c r="Z840" s="62" t="s">
        <v>1112</v>
      </c>
      <c r="AA840" s="65">
        <v>4</v>
      </c>
      <c r="AB840" s="66"/>
      <c r="AC840" s="1" t="s">
        <v>1842</v>
      </c>
      <c r="AD840" s="62" t="str">
        <f>VLOOKUP(X840,'Customer List'!B:C,2,)</f>
        <v>Banglore</v>
      </c>
      <c r="AE840" s="67"/>
      <c r="AF840" s="6">
        <v>46141</v>
      </c>
      <c r="AG840" s="62">
        <f t="shared" si="167"/>
        <v>1</v>
      </c>
      <c r="AH840" s="62" t="str">
        <f t="shared" si="168"/>
        <v>Saturday</v>
      </c>
      <c r="AI840" s="62" t="str">
        <f t="shared" si="170"/>
        <v>Wednesday</v>
      </c>
      <c r="AJ840" s="62" t="str">
        <f>VLOOKUP(AC840,'Currency Sheet'!A:C,3,)</f>
        <v>DOLLAR</v>
      </c>
      <c r="AK840" s="62" t="str">
        <f>VLOOKUP(X840,'Customer List'!B:D,3,)</f>
        <v>OutStation</v>
      </c>
    </row>
    <row r="841" spans="1:37" hidden="1" x14ac:dyDescent="0.25">
      <c r="A841" s="62">
        <f t="shared" si="169"/>
        <v>826</v>
      </c>
      <c r="B841" s="62" t="s">
        <v>824</v>
      </c>
      <c r="C841" s="62" t="s">
        <v>2015</v>
      </c>
      <c r="D841" s="6">
        <v>46129</v>
      </c>
      <c r="E841" s="6">
        <v>46139</v>
      </c>
      <c r="F841" s="63">
        <v>267.39999999999998</v>
      </c>
      <c r="G841" s="64">
        <f t="shared" si="163"/>
        <v>23531.199999999997</v>
      </c>
      <c r="H841" s="64">
        <f t="shared" si="164"/>
        <v>23531.199999999997</v>
      </c>
      <c r="I841" s="70">
        <v>329918</v>
      </c>
      <c r="J841" s="62" t="s">
        <v>2089</v>
      </c>
      <c r="K841" s="8" t="s">
        <v>2090</v>
      </c>
      <c r="L841" s="10" t="s">
        <v>2091</v>
      </c>
      <c r="M841" s="62">
        <v>1</v>
      </c>
      <c r="N841" s="8">
        <v>1</v>
      </c>
      <c r="O841" s="62">
        <f t="shared" si="165"/>
        <v>0</v>
      </c>
      <c r="P841" s="70">
        <v>215</v>
      </c>
      <c r="Q841" s="71">
        <v>46140</v>
      </c>
      <c r="R841" s="6">
        <v>46140</v>
      </c>
      <c r="S841" s="64">
        <v>37436</v>
      </c>
      <c r="T841" s="22">
        <v>5</v>
      </c>
      <c r="U841" s="64">
        <f t="shared" si="166"/>
        <v>1871.8000000000002</v>
      </c>
      <c r="V841" s="22">
        <v>0</v>
      </c>
      <c r="W841" s="22">
        <v>294603</v>
      </c>
      <c r="X841" s="62" t="s">
        <v>445</v>
      </c>
      <c r="Y841" s="62" t="s">
        <v>1120</v>
      </c>
      <c r="Z841" s="62" t="s">
        <v>1863</v>
      </c>
      <c r="AA841" s="65">
        <v>4</v>
      </c>
      <c r="AB841" s="66"/>
      <c r="AC841" s="1" t="s">
        <v>1842</v>
      </c>
      <c r="AD841" s="62" t="str">
        <f>VLOOKUP(X841,'Customer List'!B:C,2,)</f>
        <v>DELHI</v>
      </c>
      <c r="AE841" s="67"/>
      <c r="AF841" s="6"/>
      <c r="AG841" s="62" t="str">
        <f t="shared" si="167"/>
        <v/>
      </c>
      <c r="AH841" s="62" t="str">
        <f t="shared" si="168"/>
        <v>Saturday</v>
      </c>
      <c r="AI841" s="62" t="str">
        <f t="shared" si="170"/>
        <v/>
      </c>
      <c r="AJ841" s="62" t="str">
        <f>VLOOKUP(AC841,'Currency Sheet'!A:C,3,)</f>
        <v>DOLLAR</v>
      </c>
      <c r="AK841" s="62" t="str">
        <f>VLOOKUP(X841,'Customer List'!B:D,3,)</f>
        <v>Local</v>
      </c>
    </row>
    <row r="842" spans="1:37" hidden="1" x14ac:dyDescent="0.25">
      <c r="A842" s="62">
        <f t="shared" si="169"/>
        <v>827</v>
      </c>
      <c r="B842" s="62" t="s">
        <v>824</v>
      </c>
      <c r="C842" s="62" t="s">
        <v>2015</v>
      </c>
      <c r="D842" s="6">
        <v>46129</v>
      </c>
      <c r="E842" s="6">
        <v>46139</v>
      </c>
      <c r="F842" s="63">
        <v>226.1</v>
      </c>
      <c r="G842" s="64">
        <f t="shared" ref="G842:G905" si="171">IF(AJ842="DOLLAR",F842*88,F842)</f>
        <v>19896.8</v>
      </c>
      <c r="H842" s="64">
        <f t="shared" ref="H842:H905" si="172">G842*M842</f>
        <v>19896.8</v>
      </c>
      <c r="I842" s="70">
        <v>334112</v>
      </c>
      <c r="J842" s="62" t="s">
        <v>2092</v>
      </c>
      <c r="K842" s="8" t="s">
        <v>2093</v>
      </c>
      <c r="L842" s="10" t="s">
        <v>2094</v>
      </c>
      <c r="M842" s="62">
        <v>1</v>
      </c>
      <c r="N842" s="8">
        <v>1</v>
      </c>
      <c r="O842" s="62">
        <f t="shared" ref="O842:O905" si="173">M842-N842</f>
        <v>0</v>
      </c>
      <c r="P842" s="70">
        <v>284</v>
      </c>
      <c r="Q842" s="71">
        <v>46151</v>
      </c>
      <c r="R842" s="6">
        <v>46151</v>
      </c>
      <c r="S842" s="64">
        <v>34044</v>
      </c>
      <c r="T842" s="22">
        <v>5</v>
      </c>
      <c r="U842" s="64">
        <f t="shared" ref="U842:U905" si="174">S842*T842%</f>
        <v>1702.2</v>
      </c>
      <c r="V842" s="22">
        <v>0</v>
      </c>
      <c r="W842" s="22">
        <v>153864</v>
      </c>
      <c r="X842" s="62" t="s">
        <v>2185</v>
      </c>
      <c r="Y842" s="62">
        <v>58165286830</v>
      </c>
      <c r="Z842" s="62" t="s">
        <v>1112</v>
      </c>
      <c r="AA842" s="65">
        <v>4</v>
      </c>
      <c r="AB842" s="66"/>
      <c r="AC842" s="1" t="s">
        <v>1842</v>
      </c>
      <c r="AD842" s="62" t="str">
        <f>VLOOKUP(X842,'Customer List'!B:C,2,)</f>
        <v>Mumbai</v>
      </c>
      <c r="AE842" s="67"/>
      <c r="AF842" s="6">
        <v>46153</v>
      </c>
      <c r="AG842" s="62">
        <f t="shared" ref="AG842:AG905" si="175">IF(AF842="", "", AF842-R842)</f>
        <v>2</v>
      </c>
      <c r="AH842" s="62" t="str">
        <f t="shared" ref="AH842:AH905" si="176">IF(S842="", "", TEXT(S842, "dddd"))</f>
        <v>Tuesday</v>
      </c>
      <c r="AI842" s="62" t="str">
        <f t="shared" si="170"/>
        <v>Monday</v>
      </c>
      <c r="AJ842" s="62" t="str">
        <f>VLOOKUP(AC842,'Currency Sheet'!A:C,3,)</f>
        <v>DOLLAR</v>
      </c>
      <c r="AK842" s="62" t="str">
        <f>VLOOKUP(X842,'Customer List'!B:D,3,)</f>
        <v>OutStation</v>
      </c>
    </row>
    <row r="843" spans="1:37" hidden="1" x14ac:dyDescent="0.25">
      <c r="A843" s="62">
        <f t="shared" si="169"/>
        <v>828</v>
      </c>
      <c r="B843" s="62" t="s">
        <v>824</v>
      </c>
      <c r="C843" s="62" t="s">
        <v>2015</v>
      </c>
      <c r="D843" s="6">
        <v>46129</v>
      </c>
      <c r="E843" s="6">
        <v>46139</v>
      </c>
      <c r="F843" s="63">
        <v>107.1</v>
      </c>
      <c r="G843" s="64">
        <f t="shared" si="171"/>
        <v>9424.7999999999993</v>
      </c>
      <c r="H843" s="64">
        <f t="shared" si="172"/>
        <v>9424.7999999999993</v>
      </c>
      <c r="I843" s="70">
        <v>335917</v>
      </c>
      <c r="J843" s="62" t="s">
        <v>2095</v>
      </c>
      <c r="K843" s="8" t="s">
        <v>2096</v>
      </c>
      <c r="L843" s="10" t="s">
        <v>2097</v>
      </c>
      <c r="M843" s="62">
        <v>1</v>
      </c>
      <c r="N843" s="8">
        <v>1</v>
      </c>
      <c r="O843" s="62">
        <f t="shared" si="173"/>
        <v>0</v>
      </c>
      <c r="P843" s="70">
        <v>216</v>
      </c>
      <c r="Q843" s="71">
        <v>46140</v>
      </c>
      <c r="R843" s="6">
        <v>46140</v>
      </c>
      <c r="S843" s="64">
        <v>16600.5</v>
      </c>
      <c r="T843" s="22">
        <v>5</v>
      </c>
      <c r="U843" s="64">
        <f t="shared" si="174"/>
        <v>830.02500000000009</v>
      </c>
      <c r="V843" s="22">
        <v>0.39</v>
      </c>
      <c r="W843" s="22">
        <v>35545</v>
      </c>
      <c r="X843" s="62" t="s">
        <v>1363</v>
      </c>
      <c r="Y843" s="62">
        <v>58164837021</v>
      </c>
      <c r="Z843" s="62" t="s">
        <v>1112</v>
      </c>
      <c r="AA843" s="65">
        <v>4</v>
      </c>
      <c r="AB843" s="66"/>
      <c r="AC843" s="1" t="s">
        <v>1842</v>
      </c>
      <c r="AD843" s="62" t="str">
        <f>VLOOKUP(X843,'Customer List'!B:C,2,)</f>
        <v>Chennai</v>
      </c>
      <c r="AE843" s="67"/>
      <c r="AF843" s="6">
        <v>46141</v>
      </c>
      <c r="AG843" s="62">
        <f t="shared" si="175"/>
        <v>1</v>
      </c>
      <c r="AH843" s="62" t="str">
        <f t="shared" si="176"/>
        <v>Tuesday</v>
      </c>
      <c r="AI843" s="62" t="str">
        <f t="shared" si="170"/>
        <v>Wednesday</v>
      </c>
      <c r="AJ843" s="62" t="str">
        <f>VLOOKUP(AC843,'Currency Sheet'!A:C,3,)</f>
        <v>DOLLAR</v>
      </c>
      <c r="AK843" s="62" t="str">
        <f>VLOOKUP(X843,'Customer List'!B:D,3,)</f>
        <v>OutStation</v>
      </c>
    </row>
    <row r="844" spans="1:37" hidden="1" x14ac:dyDescent="0.25">
      <c r="A844" s="62">
        <f t="shared" si="169"/>
        <v>829</v>
      </c>
      <c r="B844" s="62" t="s">
        <v>824</v>
      </c>
      <c r="C844" s="62" t="s">
        <v>2015</v>
      </c>
      <c r="D844" s="6">
        <v>46129</v>
      </c>
      <c r="E844" s="6">
        <v>46139</v>
      </c>
      <c r="F844" s="63">
        <v>321.75</v>
      </c>
      <c r="G844" s="64">
        <f t="shared" si="171"/>
        <v>28314</v>
      </c>
      <c r="H844" s="64">
        <f t="shared" si="172"/>
        <v>28314</v>
      </c>
      <c r="I844" s="70">
        <v>337238</v>
      </c>
      <c r="J844" s="62" t="s">
        <v>2098</v>
      </c>
      <c r="K844" s="8" t="s">
        <v>2099</v>
      </c>
      <c r="L844" s="10" t="s">
        <v>2100</v>
      </c>
      <c r="M844" s="62">
        <v>1</v>
      </c>
      <c r="N844" s="8">
        <v>1</v>
      </c>
      <c r="O844" s="62">
        <f t="shared" si="173"/>
        <v>0</v>
      </c>
      <c r="P844" s="70">
        <v>227</v>
      </c>
      <c r="Q844" s="71">
        <v>46141</v>
      </c>
      <c r="R844" s="6">
        <v>46141</v>
      </c>
      <c r="S844" s="64">
        <v>36679.5</v>
      </c>
      <c r="T844" s="22">
        <v>5</v>
      </c>
      <c r="U844" s="64">
        <f t="shared" si="174"/>
        <v>1833.9750000000001</v>
      </c>
      <c r="V844" s="22">
        <v>0</v>
      </c>
      <c r="W844" s="22">
        <v>2600503</v>
      </c>
      <c r="X844" s="62" t="s">
        <v>801</v>
      </c>
      <c r="Y844" s="62">
        <v>58164887480</v>
      </c>
      <c r="Z844" s="62" t="s">
        <v>1112</v>
      </c>
      <c r="AA844" s="65">
        <v>4</v>
      </c>
      <c r="AB844" s="66"/>
      <c r="AC844" s="1" t="s">
        <v>1842</v>
      </c>
      <c r="AD844" s="62" t="str">
        <f>VLOOKUP(X844,'Customer List'!B:C,2,)</f>
        <v>Mumbai</v>
      </c>
      <c r="AE844" s="67"/>
      <c r="AF844" s="6">
        <v>46142</v>
      </c>
      <c r="AG844" s="62">
        <f t="shared" si="175"/>
        <v>1</v>
      </c>
      <c r="AH844" s="62" t="str">
        <f t="shared" si="176"/>
        <v>Friday</v>
      </c>
      <c r="AI844" s="62" t="str">
        <f t="shared" si="170"/>
        <v>Thursday</v>
      </c>
      <c r="AJ844" s="62" t="str">
        <f>VLOOKUP(AC844,'Currency Sheet'!A:C,3,)</f>
        <v>DOLLAR</v>
      </c>
      <c r="AK844" s="62" t="str">
        <f>VLOOKUP(X844,'Customer List'!B:D,3,)</f>
        <v>OutStation</v>
      </c>
    </row>
    <row r="845" spans="1:37" hidden="1" x14ac:dyDescent="0.25">
      <c r="A845" s="62">
        <f t="shared" si="169"/>
        <v>830</v>
      </c>
      <c r="B845" s="62" t="s">
        <v>824</v>
      </c>
      <c r="C845" s="62" t="s">
        <v>2015</v>
      </c>
      <c r="D845" s="6">
        <v>46129</v>
      </c>
      <c r="E845" s="6">
        <v>46139</v>
      </c>
      <c r="F845" s="63">
        <v>267.39999999999998</v>
      </c>
      <c r="G845" s="64">
        <f t="shared" si="171"/>
        <v>23531.199999999997</v>
      </c>
      <c r="H845" s="64">
        <f t="shared" si="172"/>
        <v>23531.199999999997</v>
      </c>
      <c r="I845" s="70">
        <v>338314</v>
      </c>
      <c r="J845" s="62" t="s">
        <v>2101</v>
      </c>
      <c r="K845" s="8" t="s">
        <v>2102</v>
      </c>
      <c r="L845" s="10" t="s">
        <v>2103</v>
      </c>
      <c r="M845" s="62">
        <v>1</v>
      </c>
      <c r="N845" s="8">
        <v>1</v>
      </c>
      <c r="O845" s="62">
        <f t="shared" si="173"/>
        <v>0</v>
      </c>
      <c r="P845" s="70">
        <v>224</v>
      </c>
      <c r="Q845" s="71">
        <v>46141</v>
      </c>
      <c r="R845" s="6">
        <v>46141</v>
      </c>
      <c r="S845" s="64">
        <v>41447</v>
      </c>
      <c r="T845" s="22">
        <v>5</v>
      </c>
      <c r="U845" s="64">
        <f t="shared" si="174"/>
        <v>2072.35</v>
      </c>
      <c r="V845" s="22">
        <v>0</v>
      </c>
      <c r="W845" s="22">
        <v>266812</v>
      </c>
      <c r="X845" s="62" t="s">
        <v>1366</v>
      </c>
      <c r="Y845" s="62">
        <v>58164887756</v>
      </c>
      <c r="Z845" s="62" t="s">
        <v>1112</v>
      </c>
      <c r="AA845" s="65">
        <v>4</v>
      </c>
      <c r="AB845" s="66"/>
      <c r="AC845" s="1" t="s">
        <v>1842</v>
      </c>
      <c r="AD845" s="62" t="str">
        <f>VLOOKUP(X845,'Customer List'!B:C,2,)</f>
        <v>Lucknow</v>
      </c>
      <c r="AE845" s="67"/>
      <c r="AF845" s="6">
        <v>46143</v>
      </c>
      <c r="AG845" s="62">
        <f t="shared" si="175"/>
        <v>2</v>
      </c>
      <c r="AH845" s="62" t="str">
        <f t="shared" si="176"/>
        <v>Saturday</v>
      </c>
      <c r="AI845" s="62" t="str">
        <f t="shared" si="170"/>
        <v>Friday</v>
      </c>
      <c r="AJ845" s="62" t="str">
        <f>VLOOKUP(AC845,'Currency Sheet'!A:C,3,)</f>
        <v>DOLLAR</v>
      </c>
      <c r="AK845" s="62" t="str">
        <f>VLOOKUP(X845,'Customer List'!B:D,3,)</f>
        <v>OutStation</v>
      </c>
    </row>
    <row r="846" spans="1:37" hidden="1" x14ac:dyDescent="0.25">
      <c r="A846" s="62">
        <f t="shared" si="169"/>
        <v>831</v>
      </c>
      <c r="B846" s="62" t="s">
        <v>824</v>
      </c>
      <c r="C846" s="62" t="s">
        <v>2015</v>
      </c>
      <c r="D846" s="6">
        <v>46129</v>
      </c>
      <c r="E846" s="6">
        <v>46139</v>
      </c>
      <c r="F846" s="63">
        <v>78.400000000000006</v>
      </c>
      <c r="G846" s="64">
        <f t="shared" si="171"/>
        <v>6899.2000000000007</v>
      </c>
      <c r="H846" s="64">
        <f t="shared" si="172"/>
        <v>6899.2000000000007</v>
      </c>
      <c r="I846" s="70">
        <v>344015</v>
      </c>
      <c r="J846" s="62" t="s">
        <v>2104</v>
      </c>
      <c r="K846" s="8" t="s">
        <v>2105</v>
      </c>
      <c r="L846" s="10" t="s">
        <v>2106</v>
      </c>
      <c r="M846" s="62">
        <v>1</v>
      </c>
      <c r="N846" s="8">
        <v>1</v>
      </c>
      <c r="O846" s="62">
        <f t="shared" si="173"/>
        <v>0</v>
      </c>
      <c r="P846" s="70">
        <v>221</v>
      </c>
      <c r="Q846" s="71">
        <v>46140</v>
      </c>
      <c r="R846" s="6">
        <v>46140</v>
      </c>
      <c r="S846" s="64">
        <v>14415</v>
      </c>
      <c r="T846" s="22">
        <v>5</v>
      </c>
      <c r="U846" s="64">
        <f t="shared" si="174"/>
        <v>720.75</v>
      </c>
      <c r="V846" s="22">
        <v>-0.31</v>
      </c>
      <c r="W846" s="22">
        <v>47419</v>
      </c>
      <c r="X846" s="62" t="s">
        <v>2014</v>
      </c>
      <c r="Y846" s="62">
        <v>58164836682</v>
      </c>
      <c r="Z846" s="62" t="s">
        <v>1112</v>
      </c>
      <c r="AA846" s="65">
        <v>4</v>
      </c>
      <c r="AB846" s="66"/>
      <c r="AC846" s="1" t="s">
        <v>1842</v>
      </c>
      <c r="AD846" s="62" t="str">
        <f>VLOOKUP(X846,'Customer List'!B:C,2,)</f>
        <v>Banglore</v>
      </c>
      <c r="AE846" s="67"/>
      <c r="AF846" s="6">
        <v>46141</v>
      </c>
      <c r="AG846" s="62">
        <f t="shared" si="175"/>
        <v>1</v>
      </c>
      <c r="AH846" s="62" t="str">
        <f t="shared" si="176"/>
        <v>Monday</v>
      </c>
      <c r="AI846" s="62" t="str">
        <f t="shared" si="170"/>
        <v>Wednesday</v>
      </c>
      <c r="AJ846" s="62" t="str">
        <f>VLOOKUP(AC846,'Currency Sheet'!A:C,3,)</f>
        <v>DOLLAR</v>
      </c>
      <c r="AK846" s="62" t="str">
        <f>VLOOKUP(X846,'Customer List'!B:D,3,)</f>
        <v>OutStation</v>
      </c>
    </row>
    <row r="847" spans="1:37" hidden="1" x14ac:dyDescent="0.25">
      <c r="A847" s="62">
        <f t="shared" si="169"/>
        <v>832</v>
      </c>
      <c r="B847" s="62" t="s">
        <v>824</v>
      </c>
      <c r="C847" s="62" t="s">
        <v>2015</v>
      </c>
      <c r="D847" s="6">
        <v>46129</v>
      </c>
      <c r="E847" s="6">
        <v>46139</v>
      </c>
      <c r="F847" s="63">
        <v>313.5</v>
      </c>
      <c r="G847" s="64">
        <f t="shared" si="171"/>
        <v>27588</v>
      </c>
      <c r="H847" s="64">
        <f t="shared" si="172"/>
        <v>27588</v>
      </c>
      <c r="I847" s="70">
        <v>344846</v>
      </c>
      <c r="J847" s="62" t="s">
        <v>1724</v>
      </c>
      <c r="K847" s="8" t="s">
        <v>2107</v>
      </c>
      <c r="L847" s="10" t="s">
        <v>2038</v>
      </c>
      <c r="M847" s="62">
        <v>1</v>
      </c>
      <c r="N847" s="8">
        <v>1</v>
      </c>
      <c r="O847" s="62">
        <f t="shared" si="173"/>
        <v>0</v>
      </c>
      <c r="P847" s="70">
        <v>215</v>
      </c>
      <c r="Q847" s="71">
        <v>46140</v>
      </c>
      <c r="R847" s="6">
        <v>46140</v>
      </c>
      <c r="S847" s="64">
        <v>40964</v>
      </c>
      <c r="T847" s="22">
        <v>5</v>
      </c>
      <c r="U847" s="64">
        <f t="shared" si="174"/>
        <v>2048.2000000000003</v>
      </c>
      <c r="V847" s="22">
        <v>0</v>
      </c>
      <c r="W847" s="22">
        <v>294603</v>
      </c>
      <c r="X847" s="62" t="s">
        <v>445</v>
      </c>
      <c r="Y847" s="62" t="s">
        <v>1120</v>
      </c>
      <c r="Z847" s="62" t="s">
        <v>1863</v>
      </c>
      <c r="AA847" s="65">
        <v>4</v>
      </c>
      <c r="AB847" s="66"/>
      <c r="AC847" s="1" t="s">
        <v>1842</v>
      </c>
      <c r="AD847" s="62" t="str">
        <f>VLOOKUP(X847,'Customer List'!B:C,2,)</f>
        <v>DELHI</v>
      </c>
      <c r="AE847" s="67"/>
      <c r="AF847" s="6"/>
      <c r="AG847" s="62" t="str">
        <f t="shared" si="175"/>
        <v/>
      </c>
      <c r="AH847" s="62" t="str">
        <f t="shared" si="176"/>
        <v>Saturday</v>
      </c>
      <c r="AI847" s="62" t="str">
        <f t="shared" si="170"/>
        <v/>
      </c>
      <c r="AJ847" s="62" t="str">
        <f>VLOOKUP(AC847,'Currency Sheet'!A:C,3,)</f>
        <v>DOLLAR</v>
      </c>
      <c r="AK847" s="62" t="str">
        <f>VLOOKUP(X847,'Customer List'!B:D,3,)</f>
        <v>Local</v>
      </c>
    </row>
    <row r="848" spans="1:37" hidden="1" x14ac:dyDescent="0.25">
      <c r="A848" s="62">
        <f t="shared" si="169"/>
        <v>833</v>
      </c>
      <c r="B848" s="62" t="s">
        <v>824</v>
      </c>
      <c r="C848" s="62" t="s">
        <v>2015</v>
      </c>
      <c r="D848" s="6">
        <v>46129</v>
      </c>
      <c r="E848" s="6">
        <v>46139</v>
      </c>
      <c r="F848" s="63">
        <v>262.5</v>
      </c>
      <c r="G848" s="64">
        <f t="shared" si="171"/>
        <v>23100</v>
      </c>
      <c r="H848" s="64">
        <f t="shared" si="172"/>
        <v>23100</v>
      </c>
      <c r="I848" s="70">
        <v>345120</v>
      </c>
      <c r="J848" s="62" t="s">
        <v>2108</v>
      </c>
      <c r="K848" s="8" t="s">
        <v>2109</v>
      </c>
      <c r="L848" s="10" t="s">
        <v>2110</v>
      </c>
      <c r="M848" s="62">
        <v>1</v>
      </c>
      <c r="N848" s="8">
        <v>1</v>
      </c>
      <c r="O848" s="62">
        <f t="shared" si="173"/>
        <v>0</v>
      </c>
      <c r="P848" s="70">
        <v>227</v>
      </c>
      <c r="Q848" s="71">
        <v>46141</v>
      </c>
      <c r="R848" s="6">
        <v>46141</v>
      </c>
      <c r="S848" s="64">
        <v>32045.63</v>
      </c>
      <c r="T848" s="22">
        <v>5</v>
      </c>
      <c r="U848" s="64">
        <f t="shared" si="174"/>
        <v>1602.2815000000001</v>
      </c>
      <c r="V848" s="22">
        <v>0</v>
      </c>
      <c r="W848" s="22">
        <v>2600503</v>
      </c>
      <c r="X848" s="62" t="s">
        <v>801</v>
      </c>
      <c r="Y848" s="62">
        <v>58164887480</v>
      </c>
      <c r="Z848" s="62" t="s">
        <v>1112</v>
      </c>
      <c r="AA848" s="65">
        <v>4</v>
      </c>
      <c r="AB848" s="66"/>
      <c r="AC848" s="1" t="s">
        <v>1842</v>
      </c>
      <c r="AD848" s="62" t="str">
        <f>VLOOKUP(X848,'Customer List'!B:C,2,)</f>
        <v>Mumbai</v>
      </c>
      <c r="AE848" s="67"/>
      <c r="AF848" s="6">
        <v>46142</v>
      </c>
      <c r="AG848" s="62">
        <f t="shared" si="175"/>
        <v>1</v>
      </c>
      <c r="AH848" s="62" t="str">
        <f t="shared" si="176"/>
        <v>Friday</v>
      </c>
      <c r="AI848" s="62" t="str">
        <f t="shared" si="170"/>
        <v>Thursday</v>
      </c>
      <c r="AJ848" s="62" t="str">
        <f>VLOOKUP(AC848,'Currency Sheet'!A:C,3,)</f>
        <v>DOLLAR</v>
      </c>
      <c r="AK848" s="62" t="str">
        <f>VLOOKUP(X848,'Customer List'!B:D,3,)</f>
        <v>OutStation</v>
      </c>
    </row>
    <row r="849" spans="1:37" hidden="1" x14ac:dyDescent="0.25">
      <c r="A849" s="62">
        <f t="shared" si="169"/>
        <v>834</v>
      </c>
      <c r="B849" s="62" t="s">
        <v>824</v>
      </c>
      <c r="C849" s="62" t="s">
        <v>2015</v>
      </c>
      <c r="D849" s="6">
        <v>46129</v>
      </c>
      <c r="E849" s="6">
        <v>46139</v>
      </c>
      <c r="F849" s="63">
        <v>301.5</v>
      </c>
      <c r="G849" s="64">
        <f t="shared" si="171"/>
        <v>26532</v>
      </c>
      <c r="H849" s="64">
        <f t="shared" si="172"/>
        <v>26532</v>
      </c>
      <c r="I849" s="70">
        <v>348220</v>
      </c>
      <c r="J849" s="62" t="s">
        <v>2111</v>
      </c>
      <c r="K849" s="8" t="s">
        <v>2112</v>
      </c>
      <c r="L849" s="10" t="s">
        <v>2113</v>
      </c>
      <c r="M849" s="62">
        <v>1</v>
      </c>
      <c r="N849" s="8">
        <v>1</v>
      </c>
      <c r="O849" s="62">
        <f t="shared" si="173"/>
        <v>0</v>
      </c>
      <c r="P849" s="70">
        <v>227</v>
      </c>
      <c r="Q849" s="71">
        <v>46141</v>
      </c>
      <c r="R849" s="6">
        <v>46141</v>
      </c>
      <c r="S849" s="64">
        <v>28944</v>
      </c>
      <c r="T849" s="22">
        <v>5</v>
      </c>
      <c r="U849" s="64">
        <f t="shared" si="174"/>
        <v>1447.2</v>
      </c>
      <c r="V849" s="22">
        <v>0</v>
      </c>
      <c r="W849" s="22">
        <v>2600503</v>
      </c>
      <c r="X849" s="62" t="s">
        <v>801</v>
      </c>
      <c r="Y849" s="62">
        <v>58164887480</v>
      </c>
      <c r="Z849" s="62" t="s">
        <v>1112</v>
      </c>
      <c r="AA849" s="65">
        <v>4</v>
      </c>
      <c r="AB849" s="66"/>
      <c r="AC849" s="1" t="s">
        <v>1842</v>
      </c>
      <c r="AD849" s="62" t="str">
        <f>VLOOKUP(X849,'Customer List'!B:C,2,)</f>
        <v>Mumbai</v>
      </c>
      <c r="AE849" s="67"/>
      <c r="AF849" s="6">
        <v>46142</v>
      </c>
      <c r="AG849" s="62">
        <f t="shared" si="175"/>
        <v>1</v>
      </c>
      <c r="AH849" s="62" t="str">
        <f t="shared" si="176"/>
        <v>Friday</v>
      </c>
      <c r="AI849" s="62" t="str">
        <f t="shared" si="170"/>
        <v>Thursday</v>
      </c>
      <c r="AJ849" s="62" t="str">
        <f>VLOOKUP(AC849,'Currency Sheet'!A:C,3,)</f>
        <v>DOLLAR</v>
      </c>
      <c r="AK849" s="62" t="str">
        <f>VLOOKUP(X849,'Customer List'!B:D,3,)</f>
        <v>OutStation</v>
      </c>
    </row>
    <row r="850" spans="1:37" hidden="1" x14ac:dyDescent="0.25">
      <c r="A850" s="62">
        <f t="shared" si="169"/>
        <v>835</v>
      </c>
      <c r="B850" s="62" t="s">
        <v>824</v>
      </c>
      <c r="C850" s="62" t="s">
        <v>2015</v>
      </c>
      <c r="D850" s="6">
        <v>46129</v>
      </c>
      <c r="E850" s="6">
        <v>46139</v>
      </c>
      <c r="F850" s="63">
        <v>209.3</v>
      </c>
      <c r="G850" s="64">
        <f t="shared" si="171"/>
        <v>18418.400000000001</v>
      </c>
      <c r="H850" s="64">
        <f t="shared" si="172"/>
        <v>36836.800000000003</v>
      </c>
      <c r="I850" s="70">
        <v>349204</v>
      </c>
      <c r="J850" s="62" t="s">
        <v>2114</v>
      </c>
      <c r="K850" s="8" t="s">
        <v>2115</v>
      </c>
      <c r="L850" s="10" t="s">
        <v>2116</v>
      </c>
      <c r="M850" s="62">
        <v>2</v>
      </c>
      <c r="N850" s="8">
        <v>2</v>
      </c>
      <c r="O850" s="62">
        <f t="shared" si="173"/>
        <v>0</v>
      </c>
      <c r="P850" s="70">
        <v>220</v>
      </c>
      <c r="Q850" s="71">
        <v>46140</v>
      </c>
      <c r="R850" s="6">
        <v>46140</v>
      </c>
      <c r="S850" s="64">
        <v>64882</v>
      </c>
      <c r="T850" s="22">
        <v>5</v>
      </c>
      <c r="U850" s="64">
        <f t="shared" si="174"/>
        <v>3244.1000000000004</v>
      </c>
      <c r="V850" s="22">
        <v>-0.1</v>
      </c>
      <c r="W850" s="22">
        <v>68126</v>
      </c>
      <c r="X850" s="62" t="s">
        <v>1148</v>
      </c>
      <c r="Y850" s="62">
        <v>58164836866</v>
      </c>
      <c r="Z850" s="62" t="s">
        <v>1112</v>
      </c>
      <c r="AA850" s="65">
        <v>4</v>
      </c>
      <c r="AB850" s="66"/>
      <c r="AC850" s="1" t="s">
        <v>1842</v>
      </c>
      <c r="AD850" s="62" t="str">
        <f>VLOOKUP(X850,'Customer List'!B:C,2,)</f>
        <v>Telangana</v>
      </c>
      <c r="AE850" s="67"/>
      <c r="AF850" s="6">
        <v>46141</v>
      </c>
      <c r="AG850" s="62">
        <f t="shared" si="175"/>
        <v>1</v>
      </c>
      <c r="AH850" s="62" t="str">
        <f t="shared" si="176"/>
        <v>Friday</v>
      </c>
      <c r="AI850" s="62" t="str">
        <f t="shared" si="170"/>
        <v>Wednesday</v>
      </c>
      <c r="AJ850" s="62" t="str">
        <f>VLOOKUP(AC850,'Currency Sheet'!A:C,3,)</f>
        <v>DOLLAR</v>
      </c>
      <c r="AK850" s="62" t="str">
        <f>VLOOKUP(X850,'Customer List'!B:D,3,)</f>
        <v>OutStation</v>
      </c>
    </row>
    <row r="851" spans="1:37" hidden="1" x14ac:dyDescent="0.25">
      <c r="A851" s="62">
        <f t="shared" si="169"/>
        <v>836</v>
      </c>
      <c r="B851" s="62" t="s">
        <v>824</v>
      </c>
      <c r="C851" s="62" t="s">
        <v>2015</v>
      </c>
      <c r="D851" s="6">
        <v>46129</v>
      </c>
      <c r="E851" s="6">
        <v>46139</v>
      </c>
      <c r="F851" s="63">
        <v>242.9</v>
      </c>
      <c r="G851" s="64">
        <f t="shared" si="171"/>
        <v>21375.200000000001</v>
      </c>
      <c r="H851" s="64">
        <f t="shared" si="172"/>
        <v>21375.200000000001</v>
      </c>
      <c r="I851" s="70">
        <v>350504</v>
      </c>
      <c r="J851" s="62" t="s">
        <v>2117</v>
      </c>
      <c r="K851" s="8" t="s">
        <v>2118</v>
      </c>
      <c r="L851" s="10" t="s">
        <v>2119</v>
      </c>
      <c r="M851" s="62">
        <v>1</v>
      </c>
      <c r="N851" s="8">
        <v>1</v>
      </c>
      <c r="O851" s="62">
        <f t="shared" si="173"/>
        <v>0</v>
      </c>
      <c r="P851" s="70">
        <v>215</v>
      </c>
      <c r="Q851" s="71">
        <v>46140</v>
      </c>
      <c r="R851" s="6">
        <v>46140</v>
      </c>
      <c r="S851" s="64">
        <v>34006</v>
      </c>
      <c r="T851" s="22">
        <v>5</v>
      </c>
      <c r="U851" s="64">
        <f t="shared" si="174"/>
        <v>1700.3000000000002</v>
      </c>
      <c r="V851" s="22">
        <v>0</v>
      </c>
      <c r="W851" s="22">
        <v>294603</v>
      </c>
      <c r="X851" s="62" t="s">
        <v>445</v>
      </c>
      <c r="Y851" s="62" t="s">
        <v>1120</v>
      </c>
      <c r="Z851" s="62" t="s">
        <v>1863</v>
      </c>
      <c r="AA851" s="65">
        <v>4</v>
      </c>
      <c r="AB851" s="66"/>
      <c r="AC851" s="1" t="s">
        <v>1842</v>
      </c>
      <c r="AD851" s="62" t="str">
        <f>VLOOKUP(X851,'Customer List'!B:C,2,)</f>
        <v>DELHI</v>
      </c>
      <c r="AE851" s="67"/>
      <c r="AF851" s="6"/>
      <c r="AG851" s="62" t="str">
        <f t="shared" si="175"/>
        <v/>
      </c>
      <c r="AH851" s="62" t="str">
        <f t="shared" si="176"/>
        <v>Saturday</v>
      </c>
      <c r="AI851" s="62" t="str">
        <f t="shared" si="170"/>
        <v/>
      </c>
      <c r="AJ851" s="62" t="str">
        <f>VLOOKUP(AC851,'Currency Sheet'!A:C,3,)</f>
        <v>DOLLAR</v>
      </c>
      <c r="AK851" s="62" t="str">
        <f>VLOOKUP(X851,'Customer List'!B:D,3,)</f>
        <v>Local</v>
      </c>
    </row>
    <row r="852" spans="1:37" hidden="1" x14ac:dyDescent="0.25">
      <c r="A852" s="62">
        <f t="shared" si="169"/>
        <v>837</v>
      </c>
      <c r="B852" s="62" t="s">
        <v>824</v>
      </c>
      <c r="C852" s="62" t="s">
        <v>2015</v>
      </c>
      <c r="D852" s="6">
        <v>46129</v>
      </c>
      <c r="E852" s="6">
        <v>46139</v>
      </c>
      <c r="F852" s="63">
        <v>198.1</v>
      </c>
      <c r="G852" s="64">
        <f t="shared" si="171"/>
        <v>17432.8</v>
      </c>
      <c r="H852" s="64">
        <f t="shared" si="172"/>
        <v>17432.8</v>
      </c>
      <c r="I852" s="70">
        <v>353004</v>
      </c>
      <c r="J852" s="62" t="s">
        <v>2120</v>
      </c>
      <c r="K852" s="8" t="s">
        <v>2121</v>
      </c>
      <c r="L852" s="10" t="s">
        <v>2122</v>
      </c>
      <c r="M852" s="62">
        <v>1</v>
      </c>
      <c r="N852" s="8">
        <v>1</v>
      </c>
      <c r="O852" s="62">
        <f t="shared" si="173"/>
        <v>0</v>
      </c>
      <c r="P852" s="70">
        <v>219</v>
      </c>
      <c r="Q852" s="71">
        <v>46140</v>
      </c>
      <c r="R852" s="6">
        <v>46140</v>
      </c>
      <c r="S852" s="64">
        <v>29715</v>
      </c>
      <c r="T852" s="22">
        <v>5</v>
      </c>
      <c r="U852" s="64">
        <f t="shared" si="174"/>
        <v>1485.75</v>
      </c>
      <c r="V852" s="22">
        <v>0</v>
      </c>
      <c r="W852" s="22">
        <v>198450</v>
      </c>
      <c r="X852" s="62" t="s">
        <v>2186</v>
      </c>
      <c r="Y852" s="62">
        <v>58164837452</v>
      </c>
      <c r="Z852" s="62" t="s">
        <v>1112</v>
      </c>
      <c r="AA852" s="65">
        <v>4</v>
      </c>
      <c r="AB852" s="66"/>
      <c r="AC852" s="1" t="s">
        <v>1842</v>
      </c>
      <c r="AD852" s="62" t="str">
        <f>VLOOKUP(X852,'Customer List'!B:C,2,)</f>
        <v>Banglore</v>
      </c>
      <c r="AE852" s="67"/>
      <c r="AF852" s="6">
        <v>46141</v>
      </c>
      <c r="AG852" s="62">
        <f t="shared" si="175"/>
        <v>1</v>
      </c>
      <c r="AH852" s="62" t="str">
        <f t="shared" si="176"/>
        <v>Saturday</v>
      </c>
      <c r="AI852" s="62" t="str">
        <f t="shared" si="170"/>
        <v>Wednesday</v>
      </c>
      <c r="AJ852" s="62" t="str">
        <f>VLOOKUP(AC852,'Currency Sheet'!A:C,3,)</f>
        <v>DOLLAR</v>
      </c>
      <c r="AK852" s="62" t="str">
        <f>VLOOKUP(X852,'Customer List'!B:D,3,)</f>
        <v>OutStation</v>
      </c>
    </row>
    <row r="853" spans="1:37" hidden="1" x14ac:dyDescent="0.25">
      <c r="A853" s="62">
        <f t="shared" si="169"/>
        <v>838</v>
      </c>
      <c r="B853" s="62" t="s">
        <v>824</v>
      </c>
      <c r="C853" s="62" t="s">
        <v>2015</v>
      </c>
      <c r="D853" s="6">
        <v>46129</v>
      </c>
      <c r="E853" s="6">
        <v>46139</v>
      </c>
      <c r="F853" s="63">
        <v>267.39999999999998</v>
      </c>
      <c r="G853" s="64">
        <f t="shared" si="171"/>
        <v>23531.199999999997</v>
      </c>
      <c r="H853" s="64">
        <f t="shared" si="172"/>
        <v>23531.199999999997</v>
      </c>
      <c r="I853" s="70">
        <v>353212</v>
      </c>
      <c r="J853" s="62" t="s">
        <v>2123</v>
      </c>
      <c r="K853" s="8" t="s">
        <v>2124</v>
      </c>
      <c r="L853" s="10" t="s">
        <v>2125</v>
      </c>
      <c r="M853" s="62">
        <v>1</v>
      </c>
      <c r="N853" s="8">
        <v>1</v>
      </c>
      <c r="O853" s="62">
        <f t="shared" si="173"/>
        <v>0</v>
      </c>
      <c r="P853" s="70">
        <v>224</v>
      </c>
      <c r="Q853" s="71">
        <v>46141</v>
      </c>
      <c r="R853" s="6">
        <v>46141</v>
      </c>
      <c r="S853" s="64">
        <v>41447</v>
      </c>
      <c r="T853" s="22">
        <v>5</v>
      </c>
      <c r="U853" s="64">
        <f t="shared" si="174"/>
        <v>2072.35</v>
      </c>
      <c r="V853" s="22">
        <v>0</v>
      </c>
      <c r="W853" s="22">
        <v>266812</v>
      </c>
      <c r="X853" s="62" t="s">
        <v>1366</v>
      </c>
      <c r="Y853" s="62">
        <v>58164887756</v>
      </c>
      <c r="Z853" s="62" t="s">
        <v>1112</v>
      </c>
      <c r="AA853" s="65">
        <v>4</v>
      </c>
      <c r="AB853" s="66"/>
      <c r="AC853" s="1" t="s">
        <v>1842</v>
      </c>
      <c r="AD853" s="62" t="str">
        <f>VLOOKUP(X853,'Customer List'!B:C,2,)</f>
        <v>Lucknow</v>
      </c>
      <c r="AE853" s="67"/>
      <c r="AF853" s="6">
        <v>46143</v>
      </c>
      <c r="AG853" s="62">
        <f t="shared" si="175"/>
        <v>2</v>
      </c>
      <c r="AH853" s="62" t="str">
        <f t="shared" si="176"/>
        <v>Saturday</v>
      </c>
      <c r="AI853" s="62" t="str">
        <f t="shared" si="170"/>
        <v>Friday</v>
      </c>
      <c r="AJ853" s="62" t="str">
        <f>VLOOKUP(AC853,'Currency Sheet'!A:C,3,)</f>
        <v>DOLLAR</v>
      </c>
      <c r="AK853" s="62" t="str">
        <f>VLOOKUP(X853,'Customer List'!B:D,3,)</f>
        <v>OutStation</v>
      </c>
    </row>
    <row r="854" spans="1:37" hidden="1" x14ac:dyDescent="0.25">
      <c r="A854" s="62">
        <f t="shared" si="169"/>
        <v>839</v>
      </c>
      <c r="B854" s="62" t="s">
        <v>824</v>
      </c>
      <c r="C854" s="62" t="s">
        <v>2015</v>
      </c>
      <c r="D854" s="6">
        <v>46129</v>
      </c>
      <c r="E854" s="6">
        <v>46139</v>
      </c>
      <c r="F854" s="63">
        <v>267.39999999999998</v>
      </c>
      <c r="G854" s="64">
        <f t="shared" si="171"/>
        <v>23531.199999999997</v>
      </c>
      <c r="H854" s="64">
        <f t="shared" si="172"/>
        <v>23531.199999999997</v>
      </c>
      <c r="I854" s="70">
        <v>353236</v>
      </c>
      <c r="J854" s="62" t="s">
        <v>2123</v>
      </c>
      <c r="K854" s="8" t="s">
        <v>2126</v>
      </c>
      <c r="L854" s="10" t="s">
        <v>2127</v>
      </c>
      <c r="M854" s="62">
        <v>1</v>
      </c>
      <c r="N854" s="8">
        <v>1</v>
      </c>
      <c r="O854" s="62">
        <f t="shared" si="173"/>
        <v>0</v>
      </c>
      <c r="P854" s="70">
        <v>215</v>
      </c>
      <c r="Q854" s="71">
        <v>46140</v>
      </c>
      <c r="R854" s="6">
        <v>46140</v>
      </c>
      <c r="S854" s="64">
        <v>37436</v>
      </c>
      <c r="T854" s="22">
        <v>5</v>
      </c>
      <c r="U854" s="64">
        <f t="shared" si="174"/>
        <v>1871.8000000000002</v>
      </c>
      <c r="V854" s="22">
        <v>0</v>
      </c>
      <c r="W854" s="22">
        <v>294603</v>
      </c>
      <c r="X854" s="62" t="s">
        <v>445</v>
      </c>
      <c r="Y854" s="62" t="s">
        <v>1120</v>
      </c>
      <c r="Z854" s="62" t="s">
        <v>1863</v>
      </c>
      <c r="AA854" s="65">
        <v>4</v>
      </c>
      <c r="AB854" s="66"/>
      <c r="AC854" s="1" t="s">
        <v>1842</v>
      </c>
      <c r="AD854" s="62" t="str">
        <f>VLOOKUP(X854,'Customer List'!B:C,2,)</f>
        <v>DELHI</v>
      </c>
      <c r="AE854" s="67"/>
      <c r="AF854" s="6"/>
      <c r="AG854" s="62" t="str">
        <f t="shared" si="175"/>
        <v/>
      </c>
      <c r="AH854" s="62" t="str">
        <f t="shared" si="176"/>
        <v>Saturday</v>
      </c>
      <c r="AI854" s="62" t="str">
        <f t="shared" si="170"/>
        <v/>
      </c>
      <c r="AJ854" s="62" t="str">
        <f>VLOOKUP(AC854,'Currency Sheet'!A:C,3,)</f>
        <v>DOLLAR</v>
      </c>
      <c r="AK854" s="62" t="str">
        <f>VLOOKUP(X854,'Customer List'!B:D,3,)</f>
        <v>Local</v>
      </c>
    </row>
    <row r="855" spans="1:37" hidden="1" x14ac:dyDescent="0.25">
      <c r="A855" s="62">
        <f t="shared" si="169"/>
        <v>840</v>
      </c>
      <c r="B855" s="62" t="s">
        <v>824</v>
      </c>
      <c r="C855" s="62" t="s">
        <v>2015</v>
      </c>
      <c r="D855" s="6">
        <v>46129</v>
      </c>
      <c r="E855" s="6">
        <v>46139</v>
      </c>
      <c r="F855" s="63">
        <v>305.25</v>
      </c>
      <c r="G855" s="64">
        <f t="shared" si="171"/>
        <v>26862</v>
      </c>
      <c r="H855" s="64">
        <f t="shared" si="172"/>
        <v>80586</v>
      </c>
      <c r="I855" s="70">
        <v>353726</v>
      </c>
      <c r="J855" s="62" t="s">
        <v>2128</v>
      </c>
      <c r="K855" s="8" t="s">
        <v>2129</v>
      </c>
      <c r="L855" s="10" t="s">
        <v>2130</v>
      </c>
      <c r="M855" s="62">
        <v>3</v>
      </c>
      <c r="N855" s="8">
        <v>3</v>
      </c>
      <c r="O855" s="62">
        <f t="shared" si="173"/>
        <v>0</v>
      </c>
      <c r="P855" s="70">
        <v>227</v>
      </c>
      <c r="Q855" s="71">
        <v>46141</v>
      </c>
      <c r="R855" s="6">
        <v>46141</v>
      </c>
      <c r="S855" s="64">
        <v>104395.5</v>
      </c>
      <c r="T855" s="22">
        <v>5</v>
      </c>
      <c r="U855" s="64">
        <f t="shared" si="174"/>
        <v>5219.7750000000005</v>
      </c>
      <c r="V855" s="22">
        <v>0</v>
      </c>
      <c r="W855" s="22">
        <v>2600503</v>
      </c>
      <c r="X855" s="62" t="s">
        <v>801</v>
      </c>
      <c r="Y855" s="62">
        <v>58164887480</v>
      </c>
      <c r="Z855" s="62" t="s">
        <v>1112</v>
      </c>
      <c r="AA855" s="65">
        <v>4</v>
      </c>
      <c r="AB855" s="66"/>
      <c r="AC855" s="1" t="s">
        <v>1842</v>
      </c>
      <c r="AD855" s="62" t="str">
        <f>VLOOKUP(X855,'Customer List'!B:C,2,)</f>
        <v>Mumbai</v>
      </c>
      <c r="AE855" s="67"/>
      <c r="AF855" s="6">
        <v>46142</v>
      </c>
      <c r="AG855" s="62">
        <f t="shared" si="175"/>
        <v>1</v>
      </c>
      <c r="AH855" s="62" t="str">
        <f t="shared" si="176"/>
        <v>Wednesday</v>
      </c>
      <c r="AI855" s="62" t="str">
        <f t="shared" si="170"/>
        <v>Thursday</v>
      </c>
      <c r="AJ855" s="62" t="str">
        <f>VLOOKUP(AC855,'Currency Sheet'!A:C,3,)</f>
        <v>DOLLAR</v>
      </c>
      <c r="AK855" s="62" t="str">
        <f>VLOOKUP(X855,'Customer List'!B:D,3,)</f>
        <v>OutStation</v>
      </c>
    </row>
    <row r="856" spans="1:37" hidden="1" x14ac:dyDescent="0.25">
      <c r="A856" s="62">
        <f t="shared" si="169"/>
        <v>841</v>
      </c>
      <c r="B856" s="62" t="s">
        <v>824</v>
      </c>
      <c r="C856" s="62" t="s">
        <v>2015</v>
      </c>
      <c r="D856" s="6">
        <v>46129</v>
      </c>
      <c r="E856" s="6">
        <v>46139</v>
      </c>
      <c r="F856" s="63">
        <v>256.90000000000003</v>
      </c>
      <c r="G856" s="64">
        <f t="shared" si="171"/>
        <v>22607.200000000004</v>
      </c>
      <c r="H856" s="64">
        <f t="shared" si="172"/>
        <v>135643.20000000001</v>
      </c>
      <c r="I856" s="70">
        <v>353806</v>
      </c>
      <c r="J856" s="62" t="s">
        <v>2131</v>
      </c>
      <c r="K856" s="8" t="s">
        <v>2132</v>
      </c>
      <c r="L856" s="10" t="s">
        <v>2133</v>
      </c>
      <c r="M856" s="62">
        <v>6</v>
      </c>
      <c r="N856" s="8">
        <v>6</v>
      </c>
      <c r="O856" s="62">
        <f t="shared" si="173"/>
        <v>0</v>
      </c>
      <c r="P856" s="70">
        <v>227</v>
      </c>
      <c r="Q856" s="71">
        <v>46141</v>
      </c>
      <c r="R856" s="6">
        <v>46141</v>
      </c>
      <c r="S856" s="64">
        <v>188171.91</v>
      </c>
      <c r="T856" s="22">
        <v>5</v>
      </c>
      <c r="U856" s="64">
        <f t="shared" si="174"/>
        <v>9408.5955000000013</v>
      </c>
      <c r="V856" s="22">
        <v>0</v>
      </c>
      <c r="W856" s="22">
        <v>2600503</v>
      </c>
      <c r="X856" s="62" t="s">
        <v>801</v>
      </c>
      <c r="Y856" s="62">
        <v>58164887480</v>
      </c>
      <c r="Z856" s="62" t="s">
        <v>1112</v>
      </c>
      <c r="AA856" s="65">
        <v>4</v>
      </c>
      <c r="AB856" s="66"/>
      <c r="AC856" s="1" t="s">
        <v>1842</v>
      </c>
      <c r="AD856" s="62" t="str">
        <f>VLOOKUP(X856,'Customer List'!B:C,2,)</f>
        <v>Mumbai</v>
      </c>
      <c r="AE856" s="67"/>
      <c r="AF856" s="6">
        <v>46142</v>
      </c>
      <c r="AG856" s="62">
        <f t="shared" si="175"/>
        <v>1</v>
      </c>
      <c r="AH856" s="62" t="str">
        <f t="shared" si="176"/>
        <v>Wednesday</v>
      </c>
      <c r="AI856" s="62" t="str">
        <f t="shared" si="170"/>
        <v>Thursday</v>
      </c>
      <c r="AJ856" s="62" t="str">
        <f>VLOOKUP(AC856,'Currency Sheet'!A:C,3,)</f>
        <v>DOLLAR</v>
      </c>
      <c r="AK856" s="62" t="str">
        <f>VLOOKUP(X856,'Customer List'!B:D,3,)</f>
        <v>OutStation</v>
      </c>
    </row>
    <row r="857" spans="1:37" hidden="1" x14ac:dyDescent="0.25">
      <c r="A857" s="62">
        <f t="shared" si="169"/>
        <v>842</v>
      </c>
      <c r="B857" s="62" t="s">
        <v>824</v>
      </c>
      <c r="C857" s="62" t="s">
        <v>2015</v>
      </c>
      <c r="D857" s="6">
        <v>46129</v>
      </c>
      <c r="E857" s="6">
        <v>46139</v>
      </c>
      <c r="F857" s="63">
        <v>252</v>
      </c>
      <c r="G857" s="64">
        <f t="shared" si="171"/>
        <v>22176</v>
      </c>
      <c r="H857" s="64">
        <f t="shared" si="172"/>
        <v>22176</v>
      </c>
      <c r="I857" s="70">
        <v>357504</v>
      </c>
      <c r="J857" s="62" t="s">
        <v>2134</v>
      </c>
      <c r="K857" s="8" t="s">
        <v>2135</v>
      </c>
      <c r="L857" s="10" t="s">
        <v>2136</v>
      </c>
      <c r="M857" s="62">
        <v>1</v>
      </c>
      <c r="N857" s="8">
        <v>1</v>
      </c>
      <c r="O857" s="62">
        <f t="shared" si="173"/>
        <v>0</v>
      </c>
      <c r="P857" s="70">
        <v>223</v>
      </c>
      <c r="Q857" s="71">
        <v>46140</v>
      </c>
      <c r="R857" s="6">
        <v>46140</v>
      </c>
      <c r="S857" s="64">
        <v>39060</v>
      </c>
      <c r="T857" s="22">
        <v>5</v>
      </c>
      <c r="U857" s="64">
        <f t="shared" si="174"/>
        <v>1953</v>
      </c>
      <c r="V857" s="22">
        <v>0.05</v>
      </c>
      <c r="W857" s="22">
        <v>56279</v>
      </c>
      <c r="X857" s="62" t="s">
        <v>287</v>
      </c>
      <c r="Y857" s="62">
        <v>58164838152</v>
      </c>
      <c r="Z857" s="62" t="s">
        <v>1112</v>
      </c>
      <c r="AA857" s="65">
        <v>4</v>
      </c>
      <c r="AB857" s="66"/>
      <c r="AC857" s="1" t="s">
        <v>1842</v>
      </c>
      <c r="AD857" s="62" t="str">
        <f>VLOOKUP(X857,'Customer List'!B:C,2,)</f>
        <v>Ahemedabad</v>
      </c>
      <c r="AE857" s="67"/>
      <c r="AF857" s="6">
        <v>46141</v>
      </c>
      <c r="AG857" s="62">
        <f t="shared" si="175"/>
        <v>1</v>
      </c>
      <c r="AH857" s="62" t="str">
        <f t="shared" si="176"/>
        <v>Saturday</v>
      </c>
      <c r="AI857" s="62" t="str">
        <f t="shared" si="170"/>
        <v>Wednesday</v>
      </c>
      <c r="AJ857" s="62" t="str">
        <f>VLOOKUP(AC857,'Currency Sheet'!A:C,3,)</f>
        <v>DOLLAR</v>
      </c>
      <c r="AK857" s="62" t="str">
        <f>VLOOKUP(X857,'Customer List'!B:D,3,)</f>
        <v>OutStation</v>
      </c>
    </row>
    <row r="858" spans="1:37" hidden="1" x14ac:dyDescent="0.25">
      <c r="A858" s="62">
        <f t="shared" si="169"/>
        <v>843</v>
      </c>
      <c r="B858" s="62" t="s">
        <v>824</v>
      </c>
      <c r="C858" s="62" t="s">
        <v>2015</v>
      </c>
      <c r="D858" s="6">
        <v>46129</v>
      </c>
      <c r="E858" s="6">
        <v>46139</v>
      </c>
      <c r="F858" s="63">
        <v>305.25</v>
      </c>
      <c r="G858" s="64">
        <f t="shared" si="171"/>
        <v>26862</v>
      </c>
      <c r="H858" s="64">
        <f t="shared" si="172"/>
        <v>26862</v>
      </c>
      <c r="I858" s="70">
        <v>364018</v>
      </c>
      <c r="J858" s="62" t="s">
        <v>2137</v>
      </c>
      <c r="K858" s="8" t="s">
        <v>2138</v>
      </c>
      <c r="L858" s="10" t="s">
        <v>2139</v>
      </c>
      <c r="M858" s="62">
        <v>1</v>
      </c>
      <c r="N858" s="8">
        <v>1</v>
      </c>
      <c r="O858" s="62">
        <f t="shared" si="173"/>
        <v>0</v>
      </c>
      <c r="P858" s="70">
        <v>254</v>
      </c>
      <c r="Q858" s="71">
        <v>46146</v>
      </c>
      <c r="R858" s="6">
        <v>46146</v>
      </c>
      <c r="S858" s="64">
        <v>47313.75</v>
      </c>
      <c r="T858" s="22">
        <v>5</v>
      </c>
      <c r="U858" s="64">
        <f t="shared" si="174"/>
        <v>2365.6875</v>
      </c>
      <c r="V858" s="22">
        <v>-0.43</v>
      </c>
      <c r="W858" s="22">
        <v>49679</v>
      </c>
      <c r="X858" s="62" t="s">
        <v>805</v>
      </c>
      <c r="Y858" s="62" t="s">
        <v>896</v>
      </c>
      <c r="Z858" s="62" t="s">
        <v>821</v>
      </c>
      <c r="AA858" s="65">
        <v>4</v>
      </c>
      <c r="AB858" s="66"/>
      <c r="AC858" s="1" t="s">
        <v>1842</v>
      </c>
      <c r="AD858" s="62" t="str">
        <f>VLOOKUP(X858,'Customer List'!B:C,2,)</f>
        <v>Delhi</v>
      </c>
      <c r="AE858" s="67"/>
      <c r="AF858" s="6"/>
      <c r="AG858" s="62" t="str">
        <f t="shared" si="175"/>
        <v/>
      </c>
      <c r="AH858" s="62" t="str">
        <f t="shared" si="176"/>
        <v>Saturday</v>
      </c>
      <c r="AI858" s="62" t="str">
        <f t="shared" si="170"/>
        <v/>
      </c>
      <c r="AJ858" s="62" t="str">
        <f>VLOOKUP(AC858,'Currency Sheet'!A:C,3,)</f>
        <v>DOLLAR</v>
      </c>
      <c r="AK858" s="62" t="str">
        <f>VLOOKUP(X858,'Customer List'!B:D,3,)</f>
        <v>Local</v>
      </c>
    </row>
    <row r="859" spans="1:37" hidden="1" x14ac:dyDescent="0.25">
      <c r="A859" s="62">
        <f t="shared" si="169"/>
        <v>844</v>
      </c>
      <c r="B859" s="62" t="s">
        <v>824</v>
      </c>
      <c r="C859" s="62" t="s">
        <v>2015</v>
      </c>
      <c r="D859" s="6">
        <v>46129</v>
      </c>
      <c r="E859" s="6">
        <v>46139</v>
      </c>
      <c r="F859" s="63">
        <v>313.5</v>
      </c>
      <c r="G859" s="64">
        <f t="shared" si="171"/>
        <v>27588</v>
      </c>
      <c r="H859" s="64">
        <f t="shared" si="172"/>
        <v>413820</v>
      </c>
      <c r="I859" s="70">
        <v>364020</v>
      </c>
      <c r="J859" s="62" t="s">
        <v>2137</v>
      </c>
      <c r="K859" s="8" t="s">
        <v>2140</v>
      </c>
      <c r="L859" s="10" t="s">
        <v>2141</v>
      </c>
      <c r="M859" s="62">
        <v>15</v>
      </c>
      <c r="N859" s="8">
        <v>15</v>
      </c>
      <c r="O859" s="62">
        <f t="shared" si="173"/>
        <v>0</v>
      </c>
      <c r="P859" s="70">
        <v>227</v>
      </c>
      <c r="Q859" s="71">
        <v>46141</v>
      </c>
      <c r="R859" s="6">
        <v>46141</v>
      </c>
      <c r="S859" s="64">
        <v>536085</v>
      </c>
      <c r="T859" s="22">
        <v>5</v>
      </c>
      <c r="U859" s="64">
        <f t="shared" si="174"/>
        <v>26804.25</v>
      </c>
      <c r="V859" s="22">
        <v>0</v>
      </c>
      <c r="W859" s="22">
        <v>2600503</v>
      </c>
      <c r="X859" s="62" t="s">
        <v>801</v>
      </c>
      <c r="Y859" s="62">
        <v>58164887480</v>
      </c>
      <c r="Z859" s="62" t="s">
        <v>1112</v>
      </c>
      <c r="AA859" s="65">
        <v>4</v>
      </c>
      <c r="AB859" s="66"/>
      <c r="AC859" s="1" t="s">
        <v>1842</v>
      </c>
      <c r="AD859" s="62" t="str">
        <f>VLOOKUP(X859,'Customer List'!B:C,2,)</f>
        <v>Mumbai</v>
      </c>
      <c r="AE859" s="67"/>
      <c r="AF859" s="6">
        <v>46142</v>
      </c>
      <c r="AG859" s="62">
        <f t="shared" si="175"/>
        <v>1</v>
      </c>
      <c r="AH859" s="62" t="str">
        <f t="shared" si="176"/>
        <v>Wednesday</v>
      </c>
      <c r="AI859" s="62" t="str">
        <f t="shared" si="170"/>
        <v>Thursday</v>
      </c>
      <c r="AJ859" s="62" t="str">
        <f>VLOOKUP(AC859,'Currency Sheet'!A:C,3,)</f>
        <v>DOLLAR</v>
      </c>
      <c r="AK859" s="62" t="str">
        <f>VLOOKUP(X859,'Customer List'!B:D,3,)</f>
        <v>OutStation</v>
      </c>
    </row>
    <row r="860" spans="1:37" hidden="1" x14ac:dyDescent="0.25">
      <c r="A860" s="62">
        <f t="shared" si="169"/>
        <v>845</v>
      </c>
      <c r="B860" s="62" t="s">
        <v>824</v>
      </c>
      <c r="C860" s="62" t="s">
        <v>2015</v>
      </c>
      <c r="D860" s="6">
        <v>46129</v>
      </c>
      <c r="E860" s="6">
        <v>46139</v>
      </c>
      <c r="F860" s="63">
        <v>309.75</v>
      </c>
      <c r="G860" s="64">
        <f t="shared" si="171"/>
        <v>27258</v>
      </c>
      <c r="H860" s="64">
        <f t="shared" si="172"/>
        <v>109032</v>
      </c>
      <c r="I860" s="70">
        <v>366610</v>
      </c>
      <c r="J860" s="62" t="s">
        <v>2142</v>
      </c>
      <c r="K860" s="8" t="s">
        <v>2143</v>
      </c>
      <c r="L860" s="10" t="s">
        <v>2144</v>
      </c>
      <c r="M860" s="62">
        <v>4</v>
      </c>
      <c r="N860" s="8">
        <v>4</v>
      </c>
      <c r="O860" s="62">
        <f t="shared" si="173"/>
        <v>0</v>
      </c>
      <c r="P860" s="70">
        <v>227</v>
      </c>
      <c r="Q860" s="71">
        <v>46141</v>
      </c>
      <c r="R860" s="6">
        <v>46141</v>
      </c>
      <c r="S860" s="64">
        <v>141246</v>
      </c>
      <c r="T860" s="22">
        <v>5</v>
      </c>
      <c r="U860" s="64">
        <f t="shared" si="174"/>
        <v>7062.3</v>
      </c>
      <c r="V860" s="22">
        <v>0</v>
      </c>
      <c r="W860" s="22">
        <v>2600503</v>
      </c>
      <c r="X860" s="62" t="s">
        <v>801</v>
      </c>
      <c r="Y860" s="62">
        <v>58164887480</v>
      </c>
      <c r="Z860" s="62" t="s">
        <v>1112</v>
      </c>
      <c r="AA860" s="65">
        <v>4</v>
      </c>
      <c r="AB860" s="66"/>
      <c r="AC860" s="1" t="s">
        <v>1842</v>
      </c>
      <c r="AD860" s="62" t="str">
        <f>VLOOKUP(X860,'Customer List'!B:C,2,)</f>
        <v>Mumbai</v>
      </c>
      <c r="AE860" s="67"/>
      <c r="AF860" s="6">
        <v>46142</v>
      </c>
      <c r="AG860" s="62">
        <f t="shared" si="175"/>
        <v>1</v>
      </c>
      <c r="AH860" s="62" t="str">
        <f t="shared" si="176"/>
        <v>Saturday</v>
      </c>
      <c r="AI860" s="62" t="str">
        <f t="shared" si="170"/>
        <v>Thursday</v>
      </c>
      <c r="AJ860" s="62" t="str">
        <f>VLOOKUP(AC860,'Currency Sheet'!A:C,3,)</f>
        <v>DOLLAR</v>
      </c>
      <c r="AK860" s="62" t="str">
        <f>VLOOKUP(X860,'Customer List'!B:D,3,)</f>
        <v>OutStation</v>
      </c>
    </row>
    <row r="861" spans="1:37" hidden="1" x14ac:dyDescent="0.25">
      <c r="A861" s="62">
        <f t="shared" si="169"/>
        <v>846</v>
      </c>
      <c r="B861" s="62" t="s">
        <v>824</v>
      </c>
      <c r="C861" s="62" t="s">
        <v>2015</v>
      </c>
      <c r="D861" s="6">
        <v>46129</v>
      </c>
      <c r="E861" s="6">
        <v>46139</v>
      </c>
      <c r="F861" s="63">
        <v>221.9</v>
      </c>
      <c r="G861" s="64">
        <f t="shared" si="171"/>
        <v>19527.2</v>
      </c>
      <c r="H861" s="64">
        <f t="shared" si="172"/>
        <v>19527.2</v>
      </c>
      <c r="I861" s="70">
        <v>368516</v>
      </c>
      <c r="J861" s="62" t="s">
        <v>1710</v>
      </c>
      <c r="K861" s="8" t="s">
        <v>2145</v>
      </c>
      <c r="L861" s="10" t="s">
        <v>2146</v>
      </c>
      <c r="M861" s="62">
        <v>1</v>
      </c>
      <c r="N861" s="8">
        <v>1</v>
      </c>
      <c r="O861" s="62">
        <f t="shared" si="173"/>
        <v>0</v>
      </c>
      <c r="P861" s="70">
        <v>215</v>
      </c>
      <c r="Q861" s="71">
        <v>46140</v>
      </c>
      <c r="R861" s="6">
        <v>46140</v>
      </c>
      <c r="S861" s="64">
        <v>31066</v>
      </c>
      <c r="T861" s="22">
        <v>5</v>
      </c>
      <c r="U861" s="64">
        <f t="shared" si="174"/>
        <v>1553.3000000000002</v>
      </c>
      <c r="V861" s="22">
        <v>0</v>
      </c>
      <c r="W861" s="22">
        <v>294603</v>
      </c>
      <c r="X861" s="62" t="s">
        <v>445</v>
      </c>
      <c r="Y861" s="62" t="s">
        <v>1120</v>
      </c>
      <c r="Z861" s="62" t="s">
        <v>1863</v>
      </c>
      <c r="AA861" s="65">
        <v>4</v>
      </c>
      <c r="AB861" s="66"/>
      <c r="AC861" s="1" t="s">
        <v>1842</v>
      </c>
      <c r="AD861" s="62" t="str">
        <f>VLOOKUP(X861,'Customer List'!B:C,2,)</f>
        <v>DELHI</v>
      </c>
      <c r="AE861" s="67"/>
      <c r="AF861" s="6"/>
      <c r="AG861" s="62" t="str">
        <f t="shared" si="175"/>
        <v/>
      </c>
      <c r="AH861" s="62" t="str">
        <f t="shared" si="176"/>
        <v>Saturday</v>
      </c>
      <c r="AI861" s="62" t="str">
        <f t="shared" si="170"/>
        <v/>
      </c>
      <c r="AJ861" s="62" t="str">
        <f>VLOOKUP(AC861,'Currency Sheet'!A:C,3,)</f>
        <v>DOLLAR</v>
      </c>
      <c r="AK861" s="62" t="str">
        <f>VLOOKUP(X861,'Customer List'!B:D,3,)</f>
        <v>Local</v>
      </c>
    </row>
    <row r="862" spans="1:37" hidden="1" x14ac:dyDescent="0.25">
      <c r="A862" s="62">
        <f t="shared" ref="A862:A925" si="177">A861+1</f>
        <v>847</v>
      </c>
      <c r="B862" s="62" t="s">
        <v>824</v>
      </c>
      <c r="C862" s="62" t="s">
        <v>2015</v>
      </c>
      <c r="D862" s="6">
        <v>46129</v>
      </c>
      <c r="E862" s="6">
        <v>46139</v>
      </c>
      <c r="F862" s="63">
        <v>300.3</v>
      </c>
      <c r="G862" s="64">
        <f t="shared" si="171"/>
        <v>26426.400000000001</v>
      </c>
      <c r="H862" s="64">
        <f t="shared" si="172"/>
        <v>52852.800000000003</v>
      </c>
      <c r="I862" s="70">
        <v>369310</v>
      </c>
      <c r="J862" s="62" t="s">
        <v>2147</v>
      </c>
      <c r="K862" s="8" t="s">
        <v>2148</v>
      </c>
      <c r="L862" s="10" t="s">
        <v>2149</v>
      </c>
      <c r="M862" s="62">
        <v>2</v>
      </c>
      <c r="N862" s="8">
        <v>2</v>
      </c>
      <c r="O862" s="62">
        <f t="shared" si="173"/>
        <v>0</v>
      </c>
      <c r="P862" s="70">
        <v>232</v>
      </c>
      <c r="Q862" s="71">
        <v>46141</v>
      </c>
      <c r="R862" s="6">
        <v>46141</v>
      </c>
      <c r="S862" s="64">
        <v>93093</v>
      </c>
      <c r="T862" s="22">
        <v>5</v>
      </c>
      <c r="U862" s="64">
        <f t="shared" si="174"/>
        <v>4654.6500000000005</v>
      </c>
      <c r="V862" s="22">
        <v>0</v>
      </c>
      <c r="W862" s="22">
        <v>192989</v>
      </c>
      <c r="X862" s="62" t="s">
        <v>807</v>
      </c>
      <c r="Y862" s="62" t="s">
        <v>1120</v>
      </c>
      <c r="Z862" s="62" t="s">
        <v>1863</v>
      </c>
      <c r="AA862" s="65">
        <v>4</v>
      </c>
      <c r="AB862" s="66"/>
      <c r="AC862" s="1" t="s">
        <v>1842</v>
      </c>
      <c r="AD862" s="62" t="str">
        <f>VLOOKUP(X862,'Customer List'!B:C,2,)</f>
        <v>Delhi</v>
      </c>
      <c r="AE862" s="67"/>
      <c r="AF862" s="6"/>
      <c r="AG862" s="62" t="str">
        <f t="shared" si="175"/>
        <v/>
      </c>
      <c r="AH862" s="62" t="str">
        <f t="shared" si="176"/>
        <v>Saturday</v>
      </c>
      <c r="AI862" s="62" t="str">
        <f t="shared" si="170"/>
        <v/>
      </c>
      <c r="AJ862" s="62" t="str">
        <f>VLOOKUP(AC862,'Currency Sheet'!A:C,3,)</f>
        <v>DOLLAR</v>
      </c>
      <c r="AK862" s="62" t="str">
        <f>VLOOKUP(X862,'Customer List'!B:D,3,)</f>
        <v>Local</v>
      </c>
    </row>
    <row r="863" spans="1:37" hidden="1" x14ac:dyDescent="0.25">
      <c r="A863" s="62">
        <f t="shared" si="177"/>
        <v>848</v>
      </c>
      <c r="B863" s="62" t="s">
        <v>824</v>
      </c>
      <c r="C863" s="62" t="s">
        <v>2015</v>
      </c>
      <c r="D863" s="6">
        <v>46129</v>
      </c>
      <c r="E863" s="6">
        <v>46139</v>
      </c>
      <c r="F863" s="63">
        <v>87.5</v>
      </c>
      <c r="G863" s="64">
        <f t="shared" si="171"/>
        <v>7700</v>
      </c>
      <c r="H863" s="64">
        <f t="shared" si="172"/>
        <v>7700</v>
      </c>
      <c r="I863" s="70">
        <v>378603</v>
      </c>
      <c r="J863" s="62" t="s">
        <v>2150</v>
      </c>
      <c r="K863" s="8" t="s">
        <v>2151</v>
      </c>
      <c r="L863" s="10" t="s">
        <v>2152</v>
      </c>
      <c r="M863" s="62">
        <v>1</v>
      </c>
      <c r="N863" s="8">
        <v>1</v>
      </c>
      <c r="O863" s="62">
        <f t="shared" si="173"/>
        <v>0</v>
      </c>
      <c r="P863" s="70">
        <v>221</v>
      </c>
      <c r="Q863" s="71">
        <v>46140</v>
      </c>
      <c r="R863" s="6">
        <v>46140</v>
      </c>
      <c r="S863" s="64">
        <v>14531.25</v>
      </c>
      <c r="T863" s="22">
        <v>5</v>
      </c>
      <c r="U863" s="64">
        <f t="shared" si="174"/>
        <v>726.5625</v>
      </c>
      <c r="V863" s="22">
        <v>0</v>
      </c>
      <c r="W863" s="22">
        <v>47419</v>
      </c>
      <c r="X863" s="62" t="s">
        <v>2014</v>
      </c>
      <c r="Y863" s="62">
        <v>58164836682</v>
      </c>
      <c r="Z863" s="62" t="s">
        <v>1112</v>
      </c>
      <c r="AA863" s="65">
        <v>4</v>
      </c>
      <c r="AB863" s="66"/>
      <c r="AC863" s="1" t="s">
        <v>1842</v>
      </c>
      <c r="AD863" s="62" t="str">
        <f>VLOOKUP(X863,'Customer List'!B:C,2,)</f>
        <v>Banglore</v>
      </c>
      <c r="AE863" s="67"/>
      <c r="AF863" s="6">
        <v>46141</v>
      </c>
      <c r="AG863" s="62">
        <f t="shared" si="175"/>
        <v>1</v>
      </c>
      <c r="AH863" s="62" t="str">
        <f t="shared" si="176"/>
        <v>Friday</v>
      </c>
      <c r="AI863" s="62" t="str">
        <f t="shared" si="170"/>
        <v>Wednesday</v>
      </c>
      <c r="AJ863" s="62" t="str">
        <f>VLOOKUP(AC863,'Currency Sheet'!A:C,3,)</f>
        <v>DOLLAR</v>
      </c>
      <c r="AK863" s="62" t="str">
        <f>VLOOKUP(X863,'Customer List'!B:D,3,)</f>
        <v>OutStation</v>
      </c>
    </row>
    <row r="864" spans="1:37" hidden="1" x14ac:dyDescent="0.25">
      <c r="A864" s="62">
        <f t="shared" si="177"/>
        <v>849</v>
      </c>
      <c r="B864" s="62" t="s">
        <v>824</v>
      </c>
      <c r="C864" s="62" t="s">
        <v>2015</v>
      </c>
      <c r="D864" s="6">
        <v>46129</v>
      </c>
      <c r="E864" s="6">
        <v>46139</v>
      </c>
      <c r="F864" s="63">
        <v>67.2</v>
      </c>
      <c r="G864" s="64">
        <f t="shared" si="171"/>
        <v>5913.6</v>
      </c>
      <c r="H864" s="64">
        <f t="shared" si="172"/>
        <v>5913.6</v>
      </c>
      <c r="I864" s="70">
        <v>389803</v>
      </c>
      <c r="J864" s="62" t="s">
        <v>1735</v>
      </c>
      <c r="K864" s="8" t="s">
        <v>2153</v>
      </c>
      <c r="L864" s="10" t="s">
        <v>2154</v>
      </c>
      <c r="M864" s="62">
        <v>1</v>
      </c>
      <c r="N864" s="8">
        <v>1</v>
      </c>
      <c r="O864" s="62">
        <f t="shared" si="173"/>
        <v>0</v>
      </c>
      <c r="P864" s="70">
        <v>221</v>
      </c>
      <c r="Q864" s="71">
        <v>46140</v>
      </c>
      <c r="R864" s="6">
        <v>46140</v>
      </c>
      <c r="S864" s="64">
        <v>11160</v>
      </c>
      <c r="T864" s="22">
        <v>5</v>
      </c>
      <c r="U864" s="64">
        <f t="shared" si="174"/>
        <v>558</v>
      </c>
      <c r="V864" s="22">
        <v>0</v>
      </c>
      <c r="W864" s="22">
        <v>47419</v>
      </c>
      <c r="X864" s="62" t="s">
        <v>2014</v>
      </c>
      <c r="Y864" s="62">
        <v>58164836682</v>
      </c>
      <c r="Z864" s="62" t="s">
        <v>1112</v>
      </c>
      <c r="AA864" s="65">
        <v>4</v>
      </c>
      <c r="AB864" s="66"/>
      <c r="AC864" s="1" t="s">
        <v>1842</v>
      </c>
      <c r="AD864" s="62" t="str">
        <f>VLOOKUP(X864,'Customer List'!B:C,2,)</f>
        <v>Banglore</v>
      </c>
      <c r="AE864" s="67"/>
      <c r="AF864" s="6">
        <v>46141</v>
      </c>
      <c r="AG864" s="62">
        <f t="shared" si="175"/>
        <v>1</v>
      </c>
      <c r="AH864" s="62" t="str">
        <f t="shared" si="176"/>
        <v>Monday</v>
      </c>
      <c r="AI864" s="62" t="str">
        <f t="shared" si="170"/>
        <v>Wednesday</v>
      </c>
      <c r="AJ864" s="62" t="str">
        <f>VLOOKUP(AC864,'Currency Sheet'!A:C,3,)</f>
        <v>DOLLAR</v>
      </c>
      <c r="AK864" s="62" t="str">
        <f>VLOOKUP(X864,'Customer List'!B:D,3,)</f>
        <v>OutStation</v>
      </c>
    </row>
    <row r="865" spans="1:37" hidden="1" x14ac:dyDescent="0.25">
      <c r="A865" s="62">
        <f t="shared" si="177"/>
        <v>850</v>
      </c>
      <c r="B865" s="62" t="s">
        <v>824</v>
      </c>
      <c r="C865" s="62" t="s">
        <v>2015</v>
      </c>
      <c r="D865" s="6">
        <v>46129</v>
      </c>
      <c r="E865" s="6">
        <v>46139</v>
      </c>
      <c r="F865" s="63">
        <v>321.75</v>
      </c>
      <c r="G865" s="64">
        <f t="shared" si="171"/>
        <v>28314</v>
      </c>
      <c r="H865" s="64">
        <f t="shared" si="172"/>
        <v>28314</v>
      </c>
      <c r="I865" s="70">
        <v>396414</v>
      </c>
      <c r="J865" s="62" t="s">
        <v>2155</v>
      </c>
      <c r="K865" s="8" t="s">
        <v>1552</v>
      </c>
      <c r="L865" s="10" t="s">
        <v>2156</v>
      </c>
      <c r="M865" s="62">
        <v>1</v>
      </c>
      <c r="N865" s="8">
        <v>1</v>
      </c>
      <c r="O865" s="62">
        <f t="shared" si="173"/>
        <v>0</v>
      </c>
      <c r="P865" s="70">
        <v>215</v>
      </c>
      <c r="Q865" s="71">
        <v>46140</v>
      </c>
      <c r="R865" s="6">
        <v>46140</v>
      </c>
      <c r="S865" s="64">
        <v>42042</v>
      </c>
      <c r="T865" s="22">
        <v>5</v>
      </c>
      <c r="U865" s="64">
        <f t="shared" si="174"/>
        <v>2102.1</v>
      </c>
      <c r="V865" s="22">
        <v>0</v>
      </c>
      <c r="W865" s="22">
        <v>294603</v>
      </c>
      <c r="X865" s="62" t="s">
        <v>445</v>
      </c>
      <c r="Y865" s="62" t="s">
        <v>1120</v>
      </c>
      <c r="Z865" s="62" t="s">
        <v>1863</v>
      </c>
      <c r="AA865" s="65">
        <v>4</v>
      </c>
      <c r="AB865" s="66"/>
      <c r="AC865" s="1" t="s">
        <v>1842</v>
      </c>
      <c r="AD865" s="62" t="str">
        <f>VLOOKUP(X865,'Customer List'!B:C,2,)</f>
        <v>DELHI</v>
      </c>
      <c r="AE865" s="67"/>
      <c r="AF865" s="6"/>
      <c r="AG865" s="62" t="str">
        <f t="shared" si="175"/>
        <v/>
      </c>
      <c r="AH865" s="62" t="str">
        <f t="shared" si="176"/>
        <v>Saturday</v>
      </c>
      <c r="AI865" s="62" t="str">
        <f t="shared" si="170"/>
        <v/>
      </c>
      <c r="AJ865" s="62" t="str">
        <f>VLOOKUP(AC865,'Currency Sheet'!A:C,3,)</f>
        <v>DOLLAR</v>
      </c>
      <c r="AK865" s="62" t="str">
        <f>VLOOKUP(X865,'Customer List'!B:D,3,)</f>
        <v>Local</v>
      </c>
    </row>
    <row r="866" spans="1:37" hidden="1" x14ac:dyDescent="0.25">
      <c r="A866" s="62">
        <f t="shared" si="177"/>
        <v>851</v>
      </c>
      <c r="B866" s="62" t="s">
        <v>824</v>
      </c>
      <c r="C866" s="62" t="s">
        <v>2015</v>
      </c>
      <c r="D866" s="6">
        <v>46129</v>
      </c>
      <c r="E866" s="6">
        <v>46139</v>
      </c>
      <c r="F866" s="63">
        <v>259</v>
      </c>
      <c r="G866" s="64">
        <f t="shared" si="171"/>
        <v>22792</v>
      </c>
      <c r="H866" s="64">
        <f t="shared" si="172"/>
        <v>22792</v>
      </c>
      <c r="I866" s="70">
        <v>399216</v>
      </c>
      <c r="J866" s="62" t="s">
        <v>2157</v>
      </c>
      <c r="K866" s="8" t="s">
        <v>2158</v>
      </c>
      <c r="L866" s="10" t="s">
        <v>2159</v>
      </c>
      <c r="M866" s="62">
        <v>1</v>
      </c>
      <c r="N866" s="8">
        <v>1</v>
      </c>
      <c r="O866" s="62">
        <f t="shared" si="173"/>
        <v>0</v>
      </c>
      <c r="P866" s="70">
        <v>229</v>
      </c>
      <c r="Q866" s="71">
        <v>46141</v>
      </c>
      <c r="R866" s="6">
        <v>46141</v>
      </c>
      <c r="S866" s="64">
        <v>43012.5</v>
      </c>
      <c r="T866" s="22">
        <v>5</v>
      </c>
      <c r="U866" s="64">
        <f t="shared" si="174"/>
        <v>2150.625</v>
      </c>
      <c r="V866" s="22">
        <v>-0.13</v>
      </c>
      <c r="W866" s="22">
        <v>45163</v>
      </c>
      <c r="X866" s="62" t="s">
        <v>552</v>
      </c>
      <c r="Y866" s="62">
        <v>58164887152</v>
      </c>
      <c r="Z866" s="62" t="s">
        <v>1112</v>
      </c>
      <c r="AA866" s="65">
        <v>4</v>
      </c>
      <c r="AB866" s="66"/>
      <c r="AC866" s="1" t="s">
        <v>1842</v>
      </c>
      <c r="AD866" s="62" t="str">
        <f>VLOOKUP(X866,'Customer List'!B:C,2,)</f>
        <v>Jodhpur</v>
      </c>
      <c r="AE866" s="67"/>
      <c r="AF866" s="6">
        <v>46143</v>
      </c>
      <c r="AG866" s="62">
        <f t="shared" si="175"/>
        <v>2</v>
      </c>
      <c r="AH866" s="62" t="str">
        <f t="shared" si="176"/>
        <v>Wednesday</v>
      </c>
      <c r="AI866" s="62" t="str">
        <f t="shared" si="170"/>
        <v>Friday</v>
      </c>
      <c r="AJ866" s="62" t="str">
        <f>VLOOKUP(AC866,'Currency Sheet'!A:C,3,)</f>
        <v>DOLLAR</v>
      </c>
      <c r="AK866" s="62" t="str">
        <f>VLOOKUP(X866,'Customer List'!B:D,3,)</f>
        <v>OutStation</v>
      </c>
    </row>
    <row r="867" spans="1:37" hidden="1" x14ac:dyDescent="0.25">
      <c r="A867" s="62">
        <f t="shared" si="177"/>
        <v>852</v>
      </c>
      <c r="B867" s="62" t="s">
        <v>824</v>
      </c>
      <c r="C867" s="62" t="s">
        <v>2015</v>
      </c>
      <c r="D867" s="6">
        <v>46129</v>
      </c>
      <c r="E867" s="6">
        <v>46139</v>
      </c>
      <c r="F867" s="63">
        <v>93.8</v>
      </c>
      <c r="G867" s="64">
        <f t="shared" si="171"/>
        <v>8254.4</v>
      </c>
      <c r="H867" s="64">
        <f t="shared" si="172"/>
        <v>8254.4</v>
      </c>
      <c r="I867" s="70">
        <v>400214</v>
      </c>
      <c r="J867" s="62" t="s">
        <v>2160</v>
      </c>
      <c r="K867" s="8" t="s">
        <v>1038</v>
      </c>
      <c r="L867" s="10" t="s">
        <v>2161</v>
      </c>
      <c r="M867" s="62">
        <v>1</v>
      </c>
      <c r="N867" s="8">
        <v>1</v>
      </c>
      <c r="O867" s="62">
        <f t="shared" si="173"/>
        <v>0</v>
      </c>
      <c r="P867" s="70">
        <v>223</v>
      </c>
      <c r="Q867" s="71">
        <v>46140</v>
      </c>
      <c r="R867" s="6">
        <v>46140</v>
      </c>
      <c r="S867" s="64">
        <v>14539</v>
      </c>
      <c r="T867" s="22">
        <v>5</v>
      </c>
      <c r="U867" s="64">
        <f t="shared" si="174"/>
        <v>726.95</v>
      </c>
      <c r="V867" s="22">
        <v>0</v>
      </c>
      <c r="W867" s="22">
        <v>56279</v>
      </c>
      <c r="X867" s="62" t="s">
        <v>287</v>
      </c>
      <c r="Y867" s="62">
        <v>58164838152</v>
      </c>
      <c r="Z867" s="62" t="s">
        <v>1112</v>
      </c>
      <c r="AA867" s="65">
        <v>4</v>
      </c>
      <c r="AB867" s="66"/>
      <c r="AC867" s="1" t="s">
        <v>1842</v>
      </c>
      <c r="AD867" s="62" t="str">
        <f>VLOOKUP(X867,'Customer List'!B:C,2,)</f>
        <v>Ahemedabad</v>
      </c>
      <c r="AE867" s="67"/>
      <c r="AF867" s="6">
        <v>46141</v>
      </c>
      <c r="AG867" s="62">
        <f t="shared" si="175"/>
        <v>1</v>
      </c>
      <c r="AH867" s="62" t="str">
        <f t="shared" si="176"/>
        <v>Saturday</v>
      </c>
      <c r="AI867" s="62" t="str">
        <f t="shared" si="170"/>
        <v>Wednesday</v>
      </c>
      <c r="AJ867" s="62" t="str">
        <f>VLOOKUP(AC867,'Currency Sheet'!A:C,3,)</f>
        <v>DOLLAR</v>
      </c>
      <c r="AK867" s="62" t="str">
        <f>VLOOKUP(X867,'Customer List'!B:D,3,)</f>
        <v>OutStation</v>
      </c>
    </row>
    <row r="868" spans="1:37" hidden="1" x14ac:dyDescent="0.25">
      <c r="A868" s="62">
        <f t="shared" si="177"/>
        <v>853</v>
      </c>
      <c r="B868" s="62" t="s">
        <v>824</v>
      </c>
      <c r="C868" s="62" t="s">
        <v>2015</v>
      </c>
      <c r="D868" s="6">
        <v>46129</v>
      </c>
      <c r="E868" s="6">
        <v>46139</v>
      </c>
      <c r="F868" s="63">
        <v>1</v>
      </c>
      <c r="G868" s="64">
        <f t="shared" si="171"/>
        <v>88</v>
      </c>
      <c r="H868" s="64">
        <f t="shared" si="172"/>
        <v>88</v>
      </c>
      <c r="I868" s="70">
        <v>405103</v>
      </c>
      <c r="J868" s="62" t="s">
        <v>2162</v>
      </c>
      <c r="K868" s="8" t="s">
        <v>2163</v>
      </c>
      <c r="L868" s="10" t="s">
        <v>2164</v>
      </c>
      <c r="M868" s="62">
        <v>1</v>
      </c>
      <c r="N868" s="8">
        <v>1</v>
      </c>
      <c r="O868" s="62">
        <f t="shared" si="173"/>
        <v>0</v>
      </c>
      <c r="P868" s="70" t="s">
        <v>2250</v>
      </c>
      <c r="Q868" s="71">
        <v>45778</v>
      </c>
      <c r="R868" s="6">
        <v>46144</v>
      </c>
      <c r="S868" s="64">
        <v>0</v>
      </c>
      <c r="T868" s="22">
        <v>5</v>
      </c>
      <c r="U868" s="64">
        <f t="shared" si="174"/>
        <v>0</v>
      </c>
      <c r="V868" s="22">
        <v>0</v>
      </c>
      <c r="W868" s="22">
        <v>0</v>
      </c>
      <c r="X868" s="62" t="s">
        <v>2235</v>
      </c>
      <c r="Y868" s="62">
        <v>58164991216</v>
      </c>
      <c r="Z868" s="62" t="s">
        <v>1112</v>
      </c>
      <c r="AA868" s="65">
        <v>4</v>
      </c>
      <c r="AB868" s="66" t="s">
        <v>2188</v>
      </c>
      <c r="AC868" s="1" t="s">
        <v>1842</v>
      </c>
      <c r="AD868" s="62" t="str">
        <f>VLOOKUP(X868,'Customer List'!B:C,2,)</f>
        <v>Bilaspur</v>
      </c>
      <c r="AE868" s="67" t="s">
        <v>2188</v>
      </c>
      <c r="AF868" s="6">
        <v>46146</v>
      </c>
      <c r="AG868" s="62">
        <f t="shared" si="175"/>
        <v>2</v>
      </c>
      <c r="AH868" s="62" t="str">
        <f t="shared" si="176"/>
        <v>Saturday</v>
      </c>
      <c r="AI868" s="62" t="str">
        <f t="shared" si="170"/>
        <v>Monday</v>
      </c>
      <c r="AJ868" s="62" t="str">
        <f>VLOOKUP(AC868,'Currency Sheet'!A:C,3,)</f>
        <v>DOLLAR</v>
      </c>
      <c r="AK868" s="62" t="str">
        <f>VLOOKUP(X868,'Customer List'!B:D,3,)</f>
        <v>OutStation</v>
      </c>
    </row>
    <row r="869" spans="1:37" hidden="1" x14ac:dyDescent="0.25">
      <c r="A869" s="62">
        <f t="shared" si="177"/>
        <v>854</v>
      </c>
      <c r="B869" s="62" t="s">
        <v>824</v>
      </c>
      <c r="C869" s="62" t="s">
        <v>2015</v>
      </c>
      <c r="D869" s="6">
        <v>46129</v>
      </c>
      <c r="E869" s="6">
        <v>46139</v>
      </c>
      <c r="F869" s="63">
        <v>144.19999999999999</v>
      </c>
      <c r="G869" s="64">
        <f t="shared" si="171"/>
        <v>12689.599999999999</v>
      </c>
      <c r="H869" s="64">
        <f t="shared" si="172"/>
        <v>12689.599999999999</v>
      </c>
      <c r="I869" s="70">
        <v>405206</v>
      </c>
      <c r="J869" s="62" t="s">
        <v>2165</v>
      </c>
      <c r="K869" s="8" t="s">
        <v>2166</v>
      </c>
      <c r="L869" s="10" t="s">
        <v>2167</v>
      </c>
      <c r="M869" s="62">
        <v>1</v>
      </c>
      <c r="N869" s="8">
        <v>1</v>
      </c>
      <c r="O869" s="62">
        <f t="shared" si="173"/>
        <v>0</v>
      </c>
      <c r="P869" s="70">
        <v>215</v>
      </c>
      <c r="Q869" s="71">
        <v>46140</v>
      </c>
      <c r="R869" s="6">
        <v>46140</v>
      </c>
      <c r="S869" s="64">
        <v>20188</v>
      </c>
      <c r="T869" s="22">
        <v>5</v>
      </c>
      <c r="U869" s="64">
        <f t="shared" si="174"/>
        <v>1009.4000000000001</v>
      </c>
      <c r="V869" s="22">
        <v>0</v>
      </c>
      <c r="W869" s="22">
        <v>294603</v>
      </c>
      <c r="X869" s="62" t="s">
        <v>445</v>
      </c>
      <c r="Y869" s="62" t="s">
        <v>1120</v>
      </c>
      <c r="Z869" s="62" t="s">
        <v>1863</v>
      </c>
      <c r="AA869" s="65">
        <v>4</v>
      </c>
      <c r="AB869" s="66"/>
      <c r="AC869" s="1" t="s">
        <v>1842</v>
      </c>
      <c r="AD869" s="62" t="str">
        <f>VLOOKUP(X869,'Customer List'!B:C,2,)</f>
        <v>DELHI</v>
      </c>
      <c r="AE869" s="67"/>
      <c r="AF869" s="6"/>
      <c r="AG869" s="62" t="str">
        <f t="shared" si="175"/>
        <v/>
      </c>
      <c r="AH869" s="62" t="str">
        <f t="shared" si="176"/>
        <v>Saturday</v>
      </c>
      <c r="AI869" s="62" t="str">
        <f t="shared" si="170"/>
        <v/>
      </c>
      <c r="AJ869" s="62" t="str">
        <f>VLOOKUP(AC869,'Currency Sheet'!A:C,3,)</f>
        <v>DOLLAR</v>
      </c>
      <c r="AK869" s="62" t="str">
        <f>VLOOKUP(X869,'Customer List'!B:D,3,)</f>
        <v>Local</v>
      </c>
    </row>
    <row r="870" spans="1:37" hidden="1" x14ac:dyDescent="0.25">
      <c r="A870" s="62">
        <f t="shared" si="177"/>
        <v>855</v>
      </c>
      <c r="B870" s="62" t="s">
        <v>824</v>
      </c>
      <c r="C870" s="62" t="s">
        <v>2015</v>
      </c>
      <c r="D870" s="6">
        <v>46129</v>
      </c>
      <c r="E870" s="6">
        <v>46139</v>
      </c>
      <c r="F870" s="63">
        <v>98.7</v>
      </c>
      <c r="G870" s="64">
        <f t="shared" si="171"/>
        <v>8685.6</v>
      </c>
      <c r="H870" s="64">
        <f t="shared" si="172"/>
        <v>8685.6</v>
      </c>
      <c r="I870" s="70">
        <v>406401</v>
      </c>
      <c r="J870" s="62" t="s">
        <v>2168</v>
      </c>
      <c r="K870" s="8" t="s">
        <v>2169</v>
      </c>
      <c r="L870" s="10" t="s">
        <v>2170</v>
      </c>
      <c r="M870" s="62">
        <v>1</v>
      </c>
      <c r="N870" s="8">
        <v>1</v>
      </c>
      <c r="O870" s="62">
        <f t="shared" si="173"/>
        <v>0</v>
      </c>
      <c r="P870" s="70" t="s">
        <v>2231</v>
      </c>
      <c r="Q870" s="71">
        <v>46141</v>
      </c>
      <c r="R870" s="6">
        <v>46141</v>
      </c>
      <c r="S870" s="64">
        <v>0</v>
      </c>
      <c r="T870" s="22">
        <v>5</v>
      </c>
      <c r="U870" s="64">
        <f t="shared" si="174"/>
        <v>0</v>
      </c>
      <c r="V870" s="22">
        <v>0</v>
      </c>
      <c r="W870" s="22">
        <v>0</v>
      </c>
      <c r="X870" s="62" t="s">
        <v>803</v>
      </c>
      <c r="Y870" s="62" t="s">
        <v>1120</v>
      </c>
      <c r="Z870" s="62" t="s">
        <v>1863</v>
      </c>
      <c r="AA870" s="65">
        <v>4</v>
      </c>
      <c r="AB870" s="66" t="s">
        <v>2232</v>
      </c>
      <c r="AC870" s="1" t="s">
        <v>1842</v>
      </c>
      <c r="AD870" s="62" t="str">
        <f>VLOOKUP(X870,'Customer List'!B:C,2,)</f>
        <v>Faridabad</v>
      </c>
      <c r="AE870" s="67"/>
      <c r="AF870" s="6"/>
      <c r="AG870" s="62" t="str">
        <f t="shared" si="175"/>
        <v/>
      </c>
      <c r="AH870" s="62" t="str">
        <f t="shared" si="176"/>
        <v>Saturday</v>
      </c>
      <c r="AI870" s="62" t="str">
        <f t="shared" si="170"/>
        <v/>
      </c>
      <c r="AJ870" s="62" t="str">
        <f>VLOOKUP(AC870,'Currency Sheet'!A:C,3,)</f>
        <v>DOLLAR</v>
      </c>
      <c r="AK870" s="62" t="str">
        <f>VLOOKUP(X870,'Customer List'!B:D,3,)</f>
        <v>Local</v>
      </c>
    </row>
    <row r="871" spans="1:37" hidden="1" x14ac:dyDescent="0.25">
      <c r="A871" s="62">
        <f t="shared" si="177"/>
        <v>856</v>
      </c>
      <c r="B871" s="62" t="s">
        <v>824</v>
      </c>
      <c r="C871" s="62" t="s">
        <v>2015</v>
      </c>
      <c r="D871" s="6">
        <v>46129</v>
      </c>
      <c r="E871" s="6">
        <v>46139</v>
      </c>
      <c r="F871" s="63">
        <v>29.4</v>
      </c>
      <c r="G871" s="64">
        <f t="shared" si="171"/>
        <v>2587.1999999999998</v>
      </c>
      <c r="H871" s="64">
        <f t="shared" si="172"/>
        <v>2587.1999999999998</v>
      </c>
      <c r="I871" s="70">
        <v>423501</v>
      </c>
      <c r="J871" s="62" t="s">
        <v>2171</v>
      </c>
      <c r="K871" s="8" t="s">
        <v>1562</v>
      </c>
      <c r="L871" s="10" t="s">
        <v>2172</v>
      </c>
      <c r="M871" s="62">
        <v>1</v>
      </c>
      <c r="N871" s="8">
        <v>1</v>
      </c>
      <c r="O871" s="62">
        <f t="shared" si="173"/>
        <v>0</v>
      </c>
      <c r="P871" s="70">
        <v>225</v>
      </c>
      <c r="Q871" s="71">
        <v>46141</v>
      </c>
      <c r="R871" s="6">
        <v>46141</v>
      </c>
      <c r="S871" s="64">
        <v>4557</v>
      </c>
      <c r="T871" s="22">
        <v>18</v>
      </c>
      <c r="U871" s="64">
        <f t="shared" si="174"/>
        <v>820.26</v>
      </c>
      <c r="V871" s="22">
        <v>-0.26</v>
      </c>
      <c r="W871" s="22">
        <v>5377</v>
      </c>
      <c r="X871" s="62" t="s">
        <v>1361</v>
      </c>
      <c r="Y871" s="62" t="s">
        <v>2227</v>
      </c>
      <c r="Z871" s="62" t="s">
        <v>1112</v>
      </c>
      <c r="AA871" s="65" t="s">
        <v>808</v>
      </c>
      <c r="AB871" s="66"/>
      <c r="AC871" s="1" t="s">
        <v>1842</v>
      </c>
      <c r="AD871" s="62" t="str">
        <f>VLOOKUP(X871,'Customer List'!B:C,2,)</f>
        <v>Chandigarh</v>
      </c>
      <c r="AE871" s="67"/>
      <c r="AF871" s="6">
        <v>46143</v>
      </c>
      <c r="AG871" s="62">
        <f t="shared" si="175"/>
        <v>2</v>
      </c>
      <c r="AH871" s="62" t="str">
        <f t="shared" si="176"/>
        <v>Saturday</v>
      </c>
      <c r="AI871" s="62" t="str">
        <f t="shared" si="170"/>
        <v>Friday</v>
      </c>
      <c r="AJ871" s="62" t="str">
        <f>VLOOKUP(AC871,'Currency Sheet'!A:C,3,)</f>
        <v>DOLLAR</v>
      </c>
      <c r="AK871" s="62" t="str">
        <f>VLOOKUP(X871,'Customer List'!B:D,3,)</f>
        <v>OutStation</v>
      </c>
    </row>
    <row r="872" spans="1:37" hidden="1" x14ac:dyDescent="0.25">
      <c r="A872" s="62">
        <f t="shared" si="177"/>
        <v>857</v>
      </c>
      <c r="B872" s="62" t="s">
        <v>824</v>
      </c>
      <c r="C872" s="62" t="s">
        <v>2015</v>
      </c>
      <c r="D872" s="6">
        <v>46129</v>
      </c>
      <c r="E872" s="6">
        <v>46139</v>
      </c>
      <c r="F872" s="63">
        <v>185.5</v>
      </c>
      <c r="G872" s="64">
        <f t="shared" si="171"/>
        <v>16324</v>
      </c>
      <c r="H872" s="64">
        <f t="shared" si="172"/>
        <v>16324</v>
      </c>
      <c r="I872" s="70">
        <v>431411</v>
      </c>
      <c r="J872" s="62" t="s">
        <v>2173</v>
      </c>
      <c r="K872" s="8" t="s">
        <v>2174</v>
      </c>
      <c r="L872" s="10" t="s">
        <v>2175</v>
      </c>
      <c r="M872" s="62">
        <v>1</v>
      </c>
      <c r="N872" s="8">
        <v>1</v>
      </c>
      <c r="O872" s="62">
        <f t="shared" si="173"/>
        <v>0</v>
      </c>
      <c r="P872" s="70">
        <v>226</v>
      </c>
      <c r="Q872" s="71">
        <v>46141</v>
      </c>
      <c r="R872" s="6">
        <v>46141</v>
      </c>
      <c r="S872" s="64">
        <v>30806.25</v>
      </c>
      <c r="T872" s="22">
        <v>5</v>
      </c>
      <c r="U872" s="64">
        <f t="shared" si="174"/>
        <v>1540.3125</v>
      </c>
      <c r="V872" s="22">
        <v>1800</v>
      </c>
      <c r="W872" s="22">
        <v>34237</v>
      </c>
      <c r="X872" s="62" t="s">
        <v>477</v>
      </c>
      <c r="Y872" s="62">
        <v>58164887266</v>
      </c>
      <c r="Z872" s="62" t="s">
        <v>1112</v>
      </c>
      <c r="AA872" s="65">
        <v>4</v>
      </c>
      <c r="AB872" s="66"/>
      <c r="AC872" s="1" t="s">
        <v>1842</v>
      </c>
      <c r="AD872" s="62" t="str">
        <f>VLOOKUP(X872,'Customer List'!B:C,2,)</f>
        <v>MEERUT</v>
      </c>
      <c r="AE872" s="67"/>
      <c r="AF872" s="6">
        <v>46142</v>
      </c>
      <c r="AG872" s="62">
        <f t="shared" si="175"/>
        <v>1</v>
      </c>
      <c r="AH872" s="62" t="str">
        <f t="shared" si="176"/>
        <v>Friday</v>
      </c>
      <c r="AI872" s="62" t="str">
        <f t="shared" si="170"/>
        <v>Thursday</v>
      </c>
      <c r="AJ872" s="62" t="str">
        <f>VLOOKUP(AC872,'Currency Sheet'!A:C,3,)</f>
        <v>DOLLAR</v>
      </c>
      <c r="AK872" s="62" t="str">
        <f>VLOOKUP(X872,'Customer List'!B:D,3,)</f>
        <v>OutStation</v>
      </c>
    </row>
    <row r="873" spans="1:37" hidden="1" x14ac:dyDescent="0.25">
      <c r="A873" s="62">
        <f t="shared" si="177"/>
        <v>858</v>
      </c>
      <c r="B873" s="62" t="s">
        <v>824</v>
      </c>
      <c r="C873" s="62" t="s">
        <v>2015</v>
      </c>
      <c r="D873" s="6">
        <v>46129</v>
      </c>
      <c r="E873" s="6">
        <v>46139</v>
      </c>
      <c r="F873" s="63">
        <v>259</v>
      </c>
      <c r="G873" s="64">
        <f t="shared" si="171"/>
        <v>22792</v>
      </c>
      <c r="H873" s="64">
        <f t="shared" si="172"/>
        <v>68376</v>
      </c>
      <c r="I873" s="70">
        <v>626812</v>
      </c>
      <c r="J873" s="62" t="s">
        <v>1828</v>
      </c>
      <c r="K873" s="8" t="s">
        <v>880</v>
      </c>
      <c r="L873" s="10">
        <v>47528</v>
      </c>
      <c r="M873" s="62">
        <v>3</v>
      </c>
      <c r="N873" s="8">
        <v>3</v>
      </c>
      <c r="O873" s="62">
        <f t="shared" si="173"/>
        <v>0</v>
      </c>
      <c r="P873" s="70">
        <v>213</v>
      </c>
      <c r="Q873" s="71">
        <v>46139</v>
      </c>
      <c r="R873" s="6">
        <v>46140</v>
      </c>
      <c r="S873" s="64">
        <v>116994</v>
      </c>
      <c r="T873" s="22">
        <v>5</v>
      </c>
      <c r="U873" s="64">
        <f t="shared" si="174"/>
        <v>5849.7000000000007</v>
      </c>
      <c r="V873" s="22">
        <v>0.32</v>
      </c>
      <c r="W873" s="22">
        <v>162376</v>
      </c>
      <c r="X873" s="62" t="s">
        <v>1367</v>
      </c>
      <c r="Y873" s="62">
        <v>58164836192</v>
      </c>
      <c r="Z873" s="62" t="s">
        <v>1112</v>
      </c>
      <c r="AA873" s="65">
        <v>4</v>
      </c>
      <c r="AB873" s="66"/>
      <c r="AC873" s="1" t="s">
        <v>1842</v>
      </c>
      <c r="AD873" s="62" t="str">
        <f>VLOOKUP(X873,'Customer List'!B:C,2,)</f>
        <v>Banglore</v>
      </c>
      <c r="AE873" s="67"/>
      <c r="AF873" s="6">
        <v>46141</v>
      </c>
      <c r="AG873" s="62">
        <f t="shared" si="175"/>
        <v>1</v>
      </c>
      <c r="AH873" s="62" t="str">
        <f t="shared" si="176"/>
        <v>Tuesday</v>
      </c>
      <c r="AI873" s="62" t="str">
        <f t="shared" si="170"/>
        <v>Wednesday</v>
      </c>
      <c r="AJ873" s="62" t="str">
        <f>VLOOKUP(AC873,'Currency Sheet'!A:C,3,)</f>
        <v>DOLLAR</v>
      </c>
      <c r="AK873" s="62" t="str">
        <f>VLOOKUP(X873,'Customer List'!B:D,3,)</f>
        <v>OutStation</v>
      </c>
    </row>
    <row r="874" spans="1:37" hidden="1" x14ac:dyDescent="0.25">
      <c r="A874" s="62">
        <f t="shared" si="177"/>
        <v>859</v>
      </c>
      <c r="B874" s="62" t="s">
        <v>824</v>
      </c>
      <c r="C874" s="62" t="s">
        <v>2015</v>
      </c>
      <c r="D874" s="6">
        <v>46129</v>
      </c>
      <c r="E874" s="6">
        <v>46139</v>
      </c>
      <c r="F874" s="63">
        <v>111.3</v>
      </c>
      <c r="G874" s="64">
        <f t="shared" si="171"/>
        <v>9794.4</v>
      </c>
      <c r="H874" s="64">
        <f t="shared" si="172"/>
        <v>9794.4</v>
      </c>
      <c r="I874" s="70">
        <v>654003</v>
      </c>
      <c r="J874" s="62" t="s">
        <v>2176</v>
      </c>
      <c r="K874" s="8" t="s">
        <v>2177</v>
      </c>
      <c r="L874" s="10" t="s">
        <v>2178</v>
      </c>
      <c r="M874" s="62">
        <v>1</v>
      </c>
      <c r="N874" s="8">
        <v>1</v>
      </c>
      <c r="O874" s="62">
        <f t="shared" si="173"/>
        <v>0</v>
      </c>
      <c r="P874" s="70">
        <v>216</v>
      </c>
      <c r="Q874" s="71">
        <v>46140</v>
      </c>
      <c r="R874" s="6">
        <v>46140</v>
      </c>
      <c r="S874" s="64">
        <v>17251.5</v>
      </c>
      <c r="T874" s="22">
        <v>5</v>
      </c>
      <c r="U874" s="64">
        <f t="shared" si="174"/>
        <v>862.57500000000005</v>
      </c>
      <c r="V874" s="22">
        <v>0</v>
      </c>
      <c r="W874" s="22">
        <v>35545</v>
      </c>
      <c r="X874" s="62" t="s">
        <v>1363</v>
      </c>
      <c r="Y874" s="62">
        <v>58164837021</v>
      </c>
      <c r="Z874" s="62" t="s">
        <v>1112</v>
      </c>
      <c r="AA874" s="65">
        <v>4</v>
      </c>
      <c r="AB874" s="66"/>
      <c r="AC874" s="1" t="s">
        <v>1842</v>
      </c>
      <c r="AD874" s="62" t="str">
        <f>VLOOKUP(X874,'Customer List'!B:C,2,)</f>
        <v>Chennai</v>
      </c>
      <c r="AE874" s="67"/>
      <c r="AF874" s="6">
        <v>46141</v>
      </c>
      <c r="AG874" s="62">
        <f t="shared" si="175"/>
        <v>1</v>
      </c>
      <c r="AH874" s="62" t="str">
        <f t="shared" si="176"/>
        <v>Tuesday</v>
      </c>
      <c r="AI874" s="62" t="str">
        <f t="shared" si="170"/>
        <v>Wednesday</v>
      </c>
      <c r="AJ874" s="62" t="str">
        <f>VLOOKUP(AC874,'Currency Sheet'!A:C,3,)</f>
        <v>DOLLAR</v>
      </c>
      <c r="AK874" s="62" t="str">
        <f>VLOOKUP(X874,'Customer List'!B:D,3,)</f>
        <v>OutStation</v>
      </c>
    </row>
    <row r="875" spans="1:37" hidden="1" x14ac:dyDescent="0.25">
      <c r="A875" s="62">
        <f t="shared" si="177"/>
        <v>860</v>
      </c>
      <c r="B875" s="62" t="s">
        <v>824</v>
      </c>
      <c r="C875" s="62" t="s">
        <v>2015</v>
      </c>
      <c r="D875" s="6">
        <v>46129</v>
      </c>
      <c r="E875" s="6">
        <v>46139</v>
      </c>
      <c r="F875" s="63">
        <v>242.9</v>
      </c>
      <c r="G875" s="64">
        <f t="shared" si="171"/>
        <v>21375.200000000001</v>
      </c>
      <c r="H875" s="64">
        <f t="shared" si="172"/>
        <v>21375.200000000001</v>
      </c>
      <c r="I875" s="70">
        <v>763104</v>
      </c>
      <c r="J875" s="62" t="s">
        <v>2179</v>
      </c>
      <c r="K875" s="8" t="s">
        <v>2180</v>
      </c>
      <c r="L875" s="10" t="s">
        <v>2181</v>
      </c>
      <c r="M875" s="62">
        <v>1</v>
      </c>
      <c r="N875" s="8">
        <v>1</v>
      </c>
      <c r="O875" s="62">
        <f t="shared" si="173"/>
        <v>0</v>
      </c>
      <c r="P875" s="70">
        <v>213</v>
      </c>
      <c r="Q875" s="71">
        <v>46139</v>
      </c>
      <c r="R875" s="6">
        <v>46140</v>
      </c>
      <c r="S875" s="64">
        <v>37649.5</v>
      </c>
      <c r="T875" s="22">
        <v>5</v>
      </c>
      <c r="U875" s="64">
        <f t="shared" si="174"/>
        <v>1882.4750000000001</v>
      </c>
      <c r="V875" s="22">
        <v>0</v>
      </c>
      <c r="W875" s="22">
        <v>162376</v>
      </c>
      <c r="X875" s="62" t="s">
        <v>1367</v>
      </c>
      <c r="Y875" s="62">
        <v>58164836192</v>
      </c>
      <c r="Z875" s="62" t="s">
        <v>1112</v>
      </c>
      <c r="AA875" s="65">
        <v>-20</v>
      </c>
      <c r="AB875" s="66"/>
      <c r="AC875" s="1" t="s">
        <v>1842</v>
      </c>
      <c r="AD875" s="62" t="str">
        <f>VLOOKUP(X875,'Customer List'!B:C,2,)</f>
        <v>Banglore</v>
      </c>
      <c r="AE875" s="67"/>
      <c r="AF875" s="6">
        <v>46141</v>
      </c>
      <c r="AG875" s="62">
        <f t="shared" si="175"/>
        <v>1</v>
      </c>
      <c r="AH875" s="62" t="str">
        <f t="shared" si="176"/>
        <v>Tuesday</v>
      </c>
      <c r="AI875" s="62" t="str">
        <f t="shared" si="170"/>
        <v>Wednesday</v>
      </c>
      <c r="AJ875" s="62" t="str">
        <f>VLOOKUP(AC875,'Currency Sheet'!A:C,3,)</f>
        <v>DOLLAR</v>
      </c>
      <c r="AK875" s="62" t="str">
        <f>VLOOKUP(X875,'Customer List'!B:D,3,)</f>
        <v>OutStation</v>
      </c>
    </row>
    <row r="876" spans="1:37" hidden="1" x14ac:dyDescent="0.25">
      <c r="A876" s="62">
        <f t="shared" si="177"/>
        <v>861</v>
      </c>
      <c r="B876" s="62" t="s">
        <v>824</v>
      </c>
      <c r="C876" s="62" t="s">
        <v>2015</v>
      </c>
      <c r="D876" s="6">
        <v>46129</v>
      </c>
      <c r="E876" s="6">
        <v>46139</v>
      </c>
      <c r="F876" s="63">
        <v>249.9</v>
      </c>
      <c r="G876" s="64">
        <f t="shared" si="171"/>
        <v>21991.200000000001</v>
      </c>
      <c r="H876" s="64">
        <f t="shared" si="172"/>
        <v>21991.200000000001</v>
      </c>
      <c r="I876" s="70">
        <v>828901</v>
      </c>
      <c r="J876" s="62" t="s">
        <v>2182</v>
      </c>
      <c r="K876" s="8" t="s">
        <v>2183</v>
      </c>
      <c r="L876" s="10" t="s">
        <v>2184</v>
      </c>
      <c r="M876" s="62">
        <v>1</v>
      </c>
      <c r="N876" s="8">
        <v>1</v>
      </c>
      <c r="O876" s="62">
        <f t="shared" si="173"/>
        <v>0</v>
      </c>
      <c r="P876" s="70" t="s">
        <v>2228</v>
      </c>
      <c r="Q876" s="71">
        <v>46140</v>
      </c>
      <c r="R876" s="6">
        <v>46141</v>
      </c>
      <c r="S876" s="64">
        <v>0</v>
      </c>
      <c r="T876" s="22">
        <v>5</v>
      </c>
      <c r="U876" s="64">
        <f t="shared" si="174"/>
        <v>0</v>
      </c>
      <c r="V876" s="22">
        <v>0</v>
      </c>
      <c r="W876" s="22">
        <v>0</v>
      </c>
      <c r="X876" s="62" t="s">
        <v>206</v>
      </c>
      <c r="Y876" s="62">
        <v>58164887395</v>
      </c>
      <c r="Z876" s="62" t="s">
        <v>1112</v>
      </c>
      <c r="AA876" s="65">
        <v>4</v>
      </c>
      <c r="AB876" s="66" t="s">
        <v>2229</v>
      </c>
      <c r="AC876" s="1" t="s">
        <v>1842</v>
      </c>
      <c r="AD876" s="62" t="str">
        <f>VLOOKUP(X876,'Customer List'!B:C,2,)</f>
        <v>Banglore</v>
      </c>
      <c r="AE876" s="67"/>
      <c r="AF876" s="6">
        <v>46142</v>
      </c>
      <c r="AG876" s="62">
        <f t="shared" si="175"/>
        <v>1</v>
      </c>
      <c r="AH876" s="62" t="str">
        <f t="shared" si="176"/>
        <v>Saturday</v>
      </c>
      <c r="AI876" s="62" t="str">
        <f t="shared" si="170"/>
        <v>Thursday</v>
      </c>
      <c r="AJ876" s="62" t="str">
        <f>VLOOKUP(AC876,'Currency Sheet'!A:C,3,)</f>
        <v>DOLLAR</v>
      </c>
      <c r="AK876" s="62" t="str">
        <f>VLOOKUP(X876,'Customer List'!B:D,3,)</f>
        <v>OutStation</v>
      </c>
    </row>
    <row r="877" spans="1:37" hidden="1" x14ac:dyDescent="0.25">
      <c r="A877" s="62">
        <f t="shared" si="177"/>
        <v>862</v>
      </c>
      <c r="B877" s="62" t="s">
        <v>27</v>
      </c>
      <c r="C877" s="62" t="s">
        <v>2192</v>
      </c>
      <c r="D877" s="6">
        <v>46136</v>
      </c>
      <c r="E877" s="6">
        <v>46141</v>
      </c>
      <c r="F877" s="63">
        <v>290.5</v>
      </c>
      <c r="G877" s="64">
        <f t="shared" si="171"/>
        <v>25564</v>
      </c>
      <c r="H877" s="64">
        <f t="shared" si="172"/>
        <v>25564</v>
      </c>
      <c r="I877" s="70" t="s">
        <v>2193</v>
      </c>
      <c r="J877" s="62" t="s">
        <v>2200</v>
      </c>
      <c r="K877" s="8">
        <v>260413</v>
      </c>
      <c r="L877" s="10">
        <v>46490</v>
      </c>
      <c r="M877" s="62">
        <v>1</v>
      </c>
      <c r="N877" s="8">
        <v>1</v>
      </c>
      <c r="O877" s="62">
        <f t="shared" si="173"/>
        <v>0</v>
      </c>
      <c r="P877" s="70">
        <v>240</v>
      </c>
      <c r="Q877" s="71">
        <v>46141</v>
      </c>
      <c r="R877" s="6">
        <v>46141</v>
      </c>
      <c r="S877" s="64">
        <v>43575</v>
      </c>
      <c r="T877" s="22">
        <v>5</v>
      </c>
      <c r="U877" s="64">
        <f t="shared" si="174"/>
        <v>2178.75</v>
      </c>
      <c r="V877" s="22">
        <v>0.5</v>
      </c>
      <c r="W877" s="22">
        <v>51419</v>
      </c>
      <c r="X877" s="62" t="s">
        <v>527</v>
      </c>
      <c r="Y877" s="62">
        <v>58164890033</v>
      </c>
      <c r="Z877" s="62" t="s">
        <v>1112</v>
      </c>
      <c r="AA877" s="65">
        <v>-20</v>
      </c>
      <c r="AB877" s="66"/>
      <c r="AC877" s="1" t="s">
        <v>1418</v>
      </c>
      <c r="AD877" s="62" t="str">
        <f>VLOOKUP(X877,'Customer List'!B:C,2,)</f>
        <v>VELLORE</v>
      </c>
      <c r="AE877" s="67"/>
      <c r="AF877" s="6">
        <v>46142</v>
      </c>
      <c r="AG877" s="62">
        <f t="shared" si="175"/>
        <v>1</v>
      </c>
      <c r="AH877" s="62" t="str">
        <f t="shared" si="176"/>
        <v>Saturday</v>
      </c>
      <c r="AI877" s="62" t="str">
        <f t="shared" si="170"/>
        <v>Thursday</v>
      </c>
      <c r="AJ877" s="62" t="str">
        <f>VLOOKUP(AC877,'Currency Sheet'!A:C,3,)</f>
        <v>DOLLAR</v>
      </c>
      <c r="AK877" s="62" t="str">
        <f>VLOOKUP(X877,'Customer List'!B:D,3,)</f>
        <v>OutStation</v>
      </c>
    </row>
    <row r="878" spans="1:37" hidden="1" x14ac:dyDescent="0.25">
      <c r="A878" s="62">
        <f t="shared" si="177"/>
        <v>863</v>
      </c>
      <c r="B878" s="62" t="s">
        <v>27</v>
      </c>
      <c r="C878" s="62" t="s">
        <v>2192</v>
      </c>
      <c r="D878" s="6">
        <v>46136</v>
      </c>
      <c r="E878" s="6">
        <v>46141</v>
      </c>
      <c r="F878" s="63">
        <v>266</v>
      </c>
      <c r="G878" s="64">
        <f t="shared" si="171"/>
        <v>23408</v>
      </c>
      <c r="H878" s="64">
        <f t="shared" si="172"/>
        <v>23408</v>
      </c>
      <c r="I878" s="70" t="s">
        <v>2194</v>
      </c>
      <c r="J878" s="62" t="s">
        <v>2201</v>
      </c>
      <c r="K878" s="8">
        <v>260420</v>
      </c>
      <c r="L878" s="10">
        <v>46494</v>
      </c>
      <c r="M878" s="62">
        <v>1</v>
      </c>
      <c r="N878" s="8">
        <v>1</v>
      </c>
      <c r="O878" s="62">
        <f t="shared" si="173"/>
        <v>0</v>
      </c>
      <c r="P878" s="70">
        <v>249</v>
      </c>
      <c r="Q878" s="71">
        <v>46142</v>
      </c>
      <c r="R878" s="6">
        <v>46142</v>
      </c>
      <c r="S878" s="64">
        <v>37050</v>
      </c>
      <c r="T878" s="22">
        <v>18</v>
      </c>
      <c r="U878" s="64">
        <f t="shared" si="174"/>
        <v>6669</v>
      </c>
      <c r="V878" s="22">
        <v>0</v>
      </c>
      <c r="W878" s="22">
        <v>43719</v>
      </c>
      <c r="X878" s="62" t="s">
        <v>2239</v>
      </c>
      <c r="Y878" s="62" t="s">
        <v>1120</v>
      </c>
      <c r="Z878" s="62" t="s">
        <v>1863</v>
      </c>
      <c r="AA878" s="65">
        <v>-20</v>
      </c>
      <c r="AB878" s="66"/>
      <c r="AC878" s="1" t="s">
        <v>1418</v>
      </c>
      <c r="AD878" s="62" t="str">
        <f>VLOOKUP(X878,'Customer List'!B:C,2,)</f>
        <v>Delhi</v>
      </c>
      <c r="AE878" s="67"/>
      <c r="AF878" s="6"/>
      <c r="AG878" s="62" t="str">
        <f t="shared" si="175"/>
        <v/>
      </c>
      <c r="AH878" s="62" t="str">
        <f t="shared" si="176"/>
        <v>Friday</v>
      </c>
      <c r="AI878" s="62" t="str">
        <f t="shared" si="170"/>
        <v/>
      </c>
      <c r="AJ878" s="62" t="str">
        <f>VLOOKUP(AC878,'Currency Sheet'!A:C,3,)</f>
        <v>DOLLAR</v>
      </c>
      <c r="AK878" s="62" t="str">
        <f>VLOOKUP(X878,'Customer List'!B:D,3,)</f>
        <v>Local</v>
      </c>
    </row>
    <row r="879" spans="1:37" hidden="1" x14ac:dyDescent="0.25">
      <c r="A879" s="62">
        <f t="shared" si="177"/>
        <v>864</v>
      </c>
      <c r="B879" s="62" t="s">
        <v>27</v>
      </c>
      <c r="C879" s="62" t="s">
        <v>2192</v>
      </c>
      <c r="D879" s="6">
        <v>46136</v>
      </c>
      <c r="E879" s="6">
        <v>46141</v>
      </c>
      <c r="F879" s="63">
        <v>587.29999999999995</v>
      </c>
      <c r="G879" s="64">
        <f t="shared" si="171"/>
        <v>51682.399999999994</v>
      </c>
      <c r="H879" s="64">
        <f t="shared" si="172"/>
        <v>51682.399999999994</v>
      </c>
      <c r="I879" s="70" t="s">
        <v>2195</v>
      </c>
      <c r="J879" s="62" t="s">
        <v>2202</v>
      </c>
      <c r="K879" s="8">
        <v>260416</v>
      </c>
      <c r="L879" s="10">
        <v>46493</v>
      </c>
      <c r="M879" s="62">
        <v>1</v>
      </c>
      <c r="N879" s="8">
        <v>1</v>
      </c>
      <c r="O879" s="62">
        <f t="shared" si="173"/>
        <v>0</v>
      </c>
      <c r="P879" s="70" t="s">
        <v>2230</v>
      </c>
      <c r="Q879" s="71">
        <v>46141</v>
      </c>
      <c r="R879" s="6">
        <v>46141</v>
      </c>
      <c r="S879" s="64">
        <v>88095</v>
      </c>
      <c r="T879" s="22">
        <v>5</v>
      </c>
      <c r="U879" s="64">
        <f t="shared" si="174"/>
        <v>4404.75</v>
      </c>
      <c r="V879" s="22">
        <v>0</v>
      </c>
      <c r="W879" s="22">
        <v>88095</v>
      </c>
      <c r="X879" s="62" t="s">
        <v>1594</v>
      </c>
      <c r="Y879" s="62">
        <v>58164886290</v>
      </c>
      <c r="Z879" s="62" t="s">
        <v>1112</v>
      </c>
      <c r="AA879" s="65">
        <v>-20</v>
      </c>
      <c r="AB879" s="66"/>
      <c r="AC879" s="1" t="s">
        <v>1418</v>
      </c>
      <c r="AD879" s="62" t="str">
        <f>VLOOKUP(X879,'Customer List'!B:C,2,)</f>
        <v>Banglore</v>
      </c>
      <c r="AE879" s="67"/>
      <c r="AF879" s="6">
        <v>46142</v>
      </c>
      <c r="AG879" s="62">
        <f t="shared" si="175"/>
        <v>1</v>
      </c>
      <c r="AH879" s="62" t="str">
        <f t="shared" si="176"/>
        <v>Saturday</v>
      </c>
      <c r="AI879" s="62" t="str">
        <f t="shared" si="170"/>
        <v>Thursday</v>
      </c>
      <c r="AJ879" s="62" t="str">
        <f>VLOOKUP(AC879,'Currency Sheet'!A:C,3,)</f>
        <v>DOLLAR</v>
      </c>
      <c r="AK879" s="62" t="str">
        <f>VLOOKUP(X879,'Customer List'!B:D,3,)</f>
        <v>OutStation</v>
      </c>
    </row>
    <row r="880" spans="1:37" hidden="1" x14ac:dyDescent="0.25">
      <c r="A880" s="62">
        <f t="shared" si="177"/>
        <v>865</v>
      </c>
      <c r="B880" s="62" t="s">
        <v>27</v>
      </c>
      <c r="C880" s="62" t="s">
        <v>2192</v>
      </c>
      <c r="D880" s="6">
        <v>46136</v>
      </c>
      <c r="E880" s="6">
        <v>46141</v>
      </c>
      <c r="F880" s="63">
        <v>373.8</v>
      </c>
      <c r="G880" s="64">
        <f t="shared" si="171"/>
        <v>32894.400000000001</v>
      </c>
      <c r="H880" s="64">
        <f t="shared" si="172"/>
        <v>32894.400000000001</v>
      </c>
      <c r="I880" s="70" t="s">
        <v>2196</v>
      </c>
      <c r="J880" s="62" t="s">
        <v>2203</v>
      </c>
      <c r="K880" s="8">
        <v>260420</v>
      </c>
      <c r="L880" s="10">
        <v>46497</v>
      </c>
      <c r="M880" s="62">
        <v>1</v>
      </c>
      <c r="N880" s="8">
        <v>1</v>
      </c>
      <c r="O880" s="62">
        <f t="shared" si="173"/>
        <v>0</v>
      </c>
      <c r="P880" s="70">
        <v>253</v>
      </c>
      <c r="Q880" s="71">
        <v>46142</v>
      </c>
      <c r="R880" s="6">
        <v>46144</v>
      </c>
      <c r="S880" s="64">
        <v>60075</v>
      </c>
      <c r="T880" s="22">
        <v>18</v>
      </c>
      <c r="U880" s="64">
        <f t="shared" si="174"/>
        <v>10813.5</v>
      </c>
      <c r="V880" s="22">
        <v>1800</v>
      </c>
      <c r="W880" s="22">
        <v>73013</v>
      </c>
      <c r="X880" s="62" t="s">
        <v>385</v>
      </c>
      <c r="Y880" s="62">
        <v>58164991581</v>
      </c>
      <c r="Z880" s="62" t="s">
        <v>1112</v>
      </c>
      <c r="AA880" s="65">
        <v>-20</v>
      </c>
      <c r="AB880" s="66"/>
      <c r="AC880" s="1" t="s">
        <v>1418</v>
      </c>
      <c r="AD880" s="62" t="str">
        <f>VLOOKUP(X880,'Customer List'!B:C,2,)</f>
        <v>Mumbai</v>
      </c>
      <c r="AE880" s="67" t="s">
        <v>2237</v>
      </c>
      <c r="AF880" s="6">
        <v>46146</v>
      </c>
      <c r="AG880" s="62">
        <f t="shared" si="175"/>
        <v>2</v>
      </c>
      <c r="AH880" s="62" t="str">
        <f t="shared" si="176"/>
        <v>Sunday</v>
      </c>
      <c r="AI880" s="62" t="str">
        <f t="shared" si="170"/>
        <v>Monday</v>
      </c>
      <c r="AJ880" s="62" t="str">
        <f>VLOOKUP(AC880,'Currency Sheet'!A:C,3,)</f>
        <v>DOLLAR</v>
      </c>
      <c r="AK880" s="62" t="str">
        <f>VLOOKUP(X880,'Customer List'!B:D,3,)</f>
        <v>OutStation</v>
      </c>
    </row>
    <row r="881" spans="1:37" hidden="1" x14ac:dyDescent="0.25">
      <c r="A881" s="62">
        <f t="shared" si="177"/>
        <v>866</v>
      </c>
      <c r="B881" s="62" t="s">
        <v>27</v>
      </c>
      <c r="C881" s="62" t="s">
        <v>2192</v>
      </c>
      <c r="D881" s="6">
        <v>46136</v>
      </c>
      <c r="E881" s="6">
        <v>46141</v>
      </c>
      <c r="F881" s="63">
        <v>730.8</v>
      </c>
      <c r="G881" s="64">
        <f t="shared" si="171"/>
        <v>64310.399999999994</v>
      </c>
      <c r="H881" s="64">
        <f t="shared" si="172"/>
        <v>64310.399999999994</v>
      </c>
      <c r="I881" s="70" t="s">
        <v>2197</v>
      </c>
      <c r="J881" s="62" t="s">
        <v>2204</v>
      </c>
      <c r="K881" s="8">
        <v>260423</v>
      </c>
      <c r="L881" s="10">
        <v>46500</v>
      </c>
      <c r="M881" s="62">
        <v>1</v>
      </c>
      <c r="N881" s="8">
        <v>1</v>
      </c>
      <c r="O881" s="62">
        <f t="shared" si="173"/>
        <v>0</v>
      </c>
      <c r="P881" s="70">
        <v>244</v>
      </c>
      <c r="Q881" s="71">
        <v>46141</v>
      </c>
      <c r="R881" s="6">
        <v>46141</v>
      </c>
      <c r="S881" s="64">
        <v>117450</v>
      </c>
      <c r="T881" s="22">
        <v>18</v>
      </c>
      <c r="U881" s="64">
        <f t="shared" si="174"/>
        <v>21141</v>
      </c>
      <c r="V881" s="22">
        <v>0</v>
      </c>
      <c r="W881" s="22">
        <v>138591</v>
      </c>
      <c r="X881" s="62" t="s">
        <v>385</v>
      </c>
      <c r="Y881" s="62">
        <v>58164889856</v>
      </c>
      <c r="Z881" s="62" t="s">
        <v>1112</v>
      </c>
      <c r="AA881" s="65">
        <v>-20</v>
      </c>
      <c r="AB881" s="66"/>
      <c r="AC881" s="1" t="s">
        <v>1418</v>
      </c>
      <c r="AD881" s="62" t="str">
        <f>VLOOKUP(X881,'Customer List'!B:C,2,)</f>
        <v>Mumbai</v>
      </c>
      <c r="AE881" s="67"/>
      <c r="AF881" s="6">
        <v>46142</v>
      </c>
      <c r="AG881" s="62">
        <f t="shared" si="175"/>
        <v>1</v>
      </c>
      <c r="AH881" s="62" t="str">
        <f t="shared" si="176"/>
        <v>Wednesday</v>
      </c>
      <c r="AI881" s="62" t="str">
        <f t="shared" si="170"/>
        <v>Thursday</v>
      </c>
      <c r="AJ881" s="62" t="str">
        <f>VLOOKUP(AC881,'Currency Sheet'!A:C,3,)</f>
        <v>DOLLAR</v>
      </c>
      <c r="AK881" s="62" t="str">
        <f>VLOOKUP(X881,'Customer List'!B:D,3,)</f>
        <v>OutStation</v>
      </c>
    </row>
    <row r="882" spans="1:37" hidden="1" x14ac:dyDescent="0.25">
      <c r="A882" s="62">
        <f t="shared" si="177"/>
        <v>867</v>
      </c>
      <c r="B882" s="62" t="s">
        <v>27</v>
      </c>
      <c r="C882" s="62" t="s">
        <v>2192</v>
      </c>
      <c r="D882" s="6">
        <v>46136</v>
      </c>
      <c r="E882" s="6">
        <v>46141</v>
      </c>
      <c r="F882" s="63">
        <v>441</v>
      </c>
      <c r="G882" s="64">
        <f t="shared" si="171"/>
        <v>38808</v>
      </c>
      <c r="H882" s="64">
        <f t="shared" si="172"/>
        <v>38808</v>
      </c>
      <c r="I882" s="70" t="s">
        <v>2198</v>
      </c>
      <c r="J882" s="62" t="s">
        <v>2205</v>
      </c>
      <c r="K882" s="8">
        <v>3864032</v>
      </c>
      <c r="L882" s="10">
        <v>47919</v>
      </c>
      <c r="M882" s="62">
        <v>1</v>
      </c>
      <c r="N882" s="8">
        <v>1</v>
      </c>
      <c r="O882" s="62">
        <f t="shared" si="173"/>
        <v>0</v>
      </c>
      <c r="P882" s="70">
        <v>242</v>
      </c>
      <c r="Q882" s="71">
        <v>46141</v>
      </c>
      <c r="R882" s="6">
        <v>46141</v>
      </c>
      <c r="S882" s="64">
        <v>66150</v>
      </c>
      <c r="T882" s="22">
        <v>18</v>
      </c>
      <c r="U882" s="64">
        <f t="shared" si="174"/>
        <v>11907</v>
      </c>
      <c r="V882" s="22">
        <v>0</v>
      </c>
      <c r="W882" s="22">
        <v>93574</v>
      </c>
      <c r="X882" s="62" t="s">
        <v>267</v>
      </c>
      <c r="Y882" s="62">
        <v>58164889624</v>
      </c>
      <c r="Z882" s="62" t="s">
        <v>1112</v>
      </c>
      <c r="AA882" s="65">
        <v>-20</v>
      </c>
      <c r="AB882" s="66"/>
      <c r="AC882" s="1" t="s">
        <v>1418</v>
      </c>
      <c r="AD882" s="62" t="str">
        <f>VLOOKUP(X882,'Customer List'!B:C,2,)</f>
        <v>Hyderabad</v>
      </c>
      <c r="AE882" s="67"/>
      <c r="AF882" s="6">
        <v>46142</v>
      </c>
      <c r="AG882" s="62">
        <f t="shared" si="175"/>
        <v>1</v>
      </c>
      <c r="AH882" s="62" t="str">
        <f t="shared" si="176"/>
        <v>Saturday</v>
      </c>
      <c r="AI882" s="62" t="str">
        <f t="shared" si="170"/>
        <v>Thursday</v>
      </c>
      <c r="AJ882" s="62" t="str">
        <f>VLOOKUP(AC882,'Currency Sheet'!A:C,3,)</f>
        <v>DOLLAR</v>
      </c>
      <c r="AK882" s="62" t="str">
        <f>VLOOKUP(X882,'Customer List'!B:D,3,)</f>
        <v>OutStation</v>
      </c>
    </row>
    <row r="883" spans="1:37" hidden="1" x14ac:dyDescent="0.25">
      <c r="A883" s="62">
        <f t="shared" si="177"/>
        <v>868</v>
      </c>
      <c r="B883" s="62" t="s">
        <v>27</v>
      </c>
      <c r="C883" s="62" t="s">
        <v>2192</v>
      </c>
      <c r="D883" s="6">
        <v>46136</v>
      </c>
      <c r="E883" s="6">
        <v>46141</v>
      </c>
      <c r="F883" s="63">
        <v>14</v>
      </c>
      <c r="G883" s="64">
        <f t="shared" si="171"/>
        <v>1232</v>
      </c>
      <c r="H883" s="64">
        <f t="shared" si="172"/>
        <v>1232</v>
      </c>
      <c r="I883" s="70" t="s">
        <v>2199</v>
      </c>
      <c r="J883" s="62" t="s">
        <v>2206</v>
      </c>
      <c r="K883" s="8" t="s">
        <v>2207</v>
      </c>
      <c r="L883" s="10">
        <v>46415</v>
      </c>
      <c r="M883" s="62">
        <v>1</v>
      </c>
      <c r="N883" s="8">
        <v>1</v>
      </c>
      <c r="O883" s="62">
        <f t="shared" si="173"/>
        <v>0</v>
      </c>
      <c r="P883" s="70">
        <v>242</v>
      </c>
      <c r="Q883" s="71">
        <v>46141</v>
      </c>
      <c r="R883" s="6">
        <v>46141</v>
      </c>
      <c r="S883" s="64">
        <v>2100</v>
      </c>
      <c r="T883" s="22">
        <v>18</v>
      </c>
      <c r="U883" s="64">
        <f t="shared" si="174"/>
        <v>378</v>
      </c>
      <c r="V883" s="22">
        <v>0</v>
      </c>
      <c r="W883" s="22">
        <v>93574</v>
      </c>
      <c r="X883" s="62" t="s">
        <v>267</v>
      </c>
      <c r="Y883" s="62">
        <v>58164889624</v>
      </c>
      <c r="Z883" s="62" t="s">
        <v>1112</v>
      </c>
      <c r="AA883" s="65">
        <v>4</v>
      </c>
      <c r="AB883" s="66"/>
      <c r="AC883" s="1" t="s">
        <v>1418</v>
      </c>
      <c r="AD883" s="62" t="str">
        <f>VLOOKUP(X883,'Customer List'!B:C,2,)</f>
        <v>Hyderabad</v>
      </c>
      <c r="AE883" s="67"/>
      <c r="AF883" s="6">
        <v>46142</v>
      </c>
      <c r="AG883" s="62">
        <f t="shared" si="175"/>
        <v>1</v>
      </c>
      <c r="AH883" s="62" t="str">
        <f t="shared" si="176"/>
        <v>Saturday</v>
      </c>
      <c r="AI883" s="62" t="str">
        <f t="shared" si="170"/>
        <v>Thursday</v>
      </c>
      <c r="AJ883" s="62" t="str">
        <f>VLOOKUP(AC883,'Currency Sheet'!A:C,3,)</f>
        <v>DOLLAR</v>
      </c>
      <c r="AK883" s="62" t="str">
        <f>VLOOKUP(X883,'Customer List'!B:D,3,)</f>
        <v>OutStation</v>
      </c>
    </row>
    <row r="884" spans="1:37" hidden="1" x14ac:dyDescent="0.25">
      <c r="A884" s="62">
        <f t="shared" si="177"/>
        <v>869</v>
      </c>
      <c r="B884" s="62" t="s">
        <v>903</v>
      </c>
      <c r="C884" s="62" t="s">
        <v>2208</v>
      </c>
      <c r="D884" s="6">
        <v>46134</v>
      </c>
      <c r="E884" s="6">
        <v>46141</v>
      </c>
      <c r="F884" s="63">
        <v>213</v>
      </c>
      <c r="G884" s="64">
        <f t="shared" si="171"/>
        <v>18744</v>
      </c>
      <c r="H884" s="64">
        <f t="shared" si="172"/>
        <v>18744</v>
      </c>
      <c r="I884" s="70" t="s">
        <v>2209</v>
      </c>
      <c r="J884" s="62" t="s">
        <v>2210</v>
      </c>
      <c r="K884" s="8">
        <v>125</v>
      </c>
      <c r="L884" s="10">
        <v>46934</v>
      </c>
      <c r="M884" s="62">
        <v>1</v>
      </c>
      <c r="N884" s="8">
        <v>1</v>
      </c>
      <c r="O884" s="62">
        <f t="shared" si="173"/>
        <v>0</v>
      </c>
      <c r="P884" s="70" t="s">
        <v>2245</v>
      </c>
      <c r="Q884" s="71">
        <v>46144</v>
      </c>
      <c r="R884" s="6">
        <v>46144</v>
      </c>
      <c r="S884" s="64">
        <v>0</v>
      </c>
      <c r="T884" s="22">
        <v>5</v>
      </c>
      <c r="U884" s="64">
        <f t="shared" si="174"/>
        <v>0</v>
      </c>
      <c r="V884" s="22" t="s">
        <v>2247</v>
      </c>
      <c r="W884" s="22">
        <v>0</v>
      </c>
      <c r="X884" s="62" t="s">
        <v>1596</v>
      </c>
      <c r="Y884" s="62">
        <v>58164991846</v>
      </c>
      <c r="Z884" s="62" t="s">
        <v>1112</v>
      </c>
      <c r="AA884" s="65">
        <v>4</v>
      </c>
      <c r="AB884" s="66" t="s">
        <v>2246</v>
      </c>
      <c r="AC884" s="1" t="s">
        <v>903</v>
      </c>
      <c r="AD884" s="62" t="str">
        <f>VLOOKUP(X884,'Customer List'!B:C,2,)</f>
        <v>Gujrat</v>
      </c>
      <c r="AE884" s="67" t="s">
        <v>2233</v>
      </c>
      <c r="AF884" s="6">
        <v>46147</v>
      </c>
      <c r="AG884" s="62">
        <f t="shared" si="175"/>
        <v>3</v>
      </c>
      <c r="AH884" s="62" t="str">
        <f t="shared" si="176"/>
        <v>Saturday</v>
      </c>
      <c r="AI884" s="62" t="str">
        <f t="shared" si="170"/>
        <v>Tuesday</v>
      </c>
      <c r="AJ884" s="62" t="str">
        <f>VLOOKUP(AC884,'Currency Sheet'!A:C,3,)</f>
        <v>DOLLAR</v>
      </c>
      <c r="AK884" s="62" t="str">
        <f>VLOOKUP(X884,'Customer List'!B:D,3,)</f>
        <v>OutStation</v>
      </c>
    </row>
    <row r="885" spans="1:37" hidden="1" x14ac:dyDescent="0.25">
      <c r="A885" s="62">
        <f t="shared" si="177"/>
        <v>870</v>
      </c>
      <c r="B885" s="62" t="s">
        <v>903</v>
      </c>
      <c r="C885" s="62" t="s">
        <v>2208</v>
      </c>
      <c r="D885" s="6">
        <v>46134</v>
      </c>
      <c r="E885" s="6">
        <v>46141</v>
      </c>
      <c r="F885" s="63">
        <v>142.5</v>
      </c>
      <c r="G885" s="64">
        <f t="shared" si="171"/>
        <v>12540</v>
      </c>
      <c r="H885" s="64">
        <f t="shared" si="172"/>
        <v>12540</v>
      </c>
      <c r="I885" s="70" t="s">
        <v>2211</v>
      </c>
      <c r="J885" s="62" t="s">
        <v>2212</v>
      </c>
      <c r="K885" s="8">
        <v>1</v>
      </c>
      <c r="L885" s="10">
        <v>46873</v>
      </c>
      <c r="M885" s="62">
        <v>1</v>
      </c>
      <c r="N885" s="8">
        <v>1</v>
      </c>
      <c r="O885" s="62">
        <f t="shared" si="173"/>
        <v>0</v>
      </c>
      <c r="P885" s="70" t="s">
        <v>2245</v>
      </c>
      <c r="Q885" s="71">
        <v>46144</v>
      </c>
      <c r="R885" s="6">
        <v>46144</v>
      </c>
      <c r="S885" s="64">
        <v>0</v>
      </c>
      <c r="T885" s="22">
        <v>5</v>
      </c>
      <c r="U885" s="64">
        <f t="shared" si="174"/>
        <v>0</v>
      </c>
      <c r="V885" s="22">
        <v>0</v>
      </c>
      <c r="W885" s="22">
        <v>0</v>
      </c>
      <c r="X885" s="62" t="s">
        <v>1596</v>
      </c>
      <c r="Y885" s="62">
        <v>58164991846</v>
      </c>
      <c r="Z885" s="62" t="s">
        <v>1112</v>
      </c>
      <c r="AA885" s="65">
        <v>-20</v>
      </c>
      <c r="AB885" s="66" t="s">
        <v>2246</v>
      </c>
      <c r="AC885" s="1" t="s">
        <v>903</v>
      </c>
      <c r="AD885" s="62" t="str">
        <f>VLOOKUP(X885,'Customer List'!B:C,2,)</f>
        <v>Gujrat</v>
      </c>
      <c r="AE885" s="67" t="s">
        <v>2233</v>
      </c>
      <c r="AF885" s="6">
        <v>46147</v>
      </c>
      <c r="AG885" s="62">
        <f t="shared" si="175"/>
        <v>3</v>
      </c>
      <c r="AH885" s="62" t="str">
        <f t="shared" si="176"/>
        <v>Saturday</v>
      </c>
      <c r="AI885" s="62" t="str">
        <f t="shared" si="170"/>
        <v>Tuesday</v>
      </c>
      <c r="AJ885" s="62" t="str">
        <f>VLOOKUP(AC885,'Currency Sheet'!A:C,3,)</f>
        <v>DOLLAR</v>
      </c>
      <c r="AK885" s="62" t="str">
        <f>VLOOKUP(X885,'Customer List'!B:D,3,)</f>
        <v>OutStation</v>
      </c>
    </row>
    <row r="886" spans="1:37" hidden="1" x14ac:dyDescent="0.25">
      <c r="A886" s="62">
        <f t="shared" si="177"/>
        <v>871</v>
      </c>
      <c r="B886" s="62" t="s">
        <v>903</v>
      </c>
      <c r="C886" s="62" t="s">
        <v>2208</v>
      </c>
      <c r="D886" s="6">
        <v>46134</v>
      </c>
      <c r="E886" s="6">
        <v>46141</v>
      </c>
      <c r="F886" s="63">
        <v>142.5</v>
      </c>
      <c r="G886" s="64">
        <f t="shared" si="171"/>
        <v>12540</v>
      </c>
      <c r="H886" s="64">
        <f t="shared" si="172"/>
        <v>12540</v>
      </c>
      <c r="I886" s="70" t="s">
        <v>2213</v>
      </c>
      <c r="J886" s="62" t="s">
        <v>2214</v>
      </c>
      <c r="K886" s="8">
        <v>1</v>
      </c>
      <c r="L886" s="10">
        <v>46873</v>
      </c>
      <c r="M886" s="62">
        <v>1</v>
      </c>
      <c r="N886" s="8">
        <v>1</v>
      </c>
      <c r="O886" s="62">
        <f t="shared" si="173"/>
        <v>0</v>
      </c>
      <c r="P886" s="70" t="s">
        <v>2245</v>
      </c>
      <c r="Q886" s="71">
        <v>46144</v>
      </c>
      <c r="R886" s="6">
        <v>46144</v>
      </c>
      <c r="S886" s="64">
        <v>0</v>
      </c>
      <c r="T886" s="22">
        <v>5</v>
      </c>
      <c r="U886" s="64">
        <f t="shared" si="174"/>
        <v>0</v>
      </c>
      <c r="V886" s="22">
        <v>0</v>
      </c>
      <c r="W886" s="22">
        <v>0</v>
      </c>
      <c r="X886" s="62" t="s">
        <v>1596</v>
      </c>
      <c r="Y886" s="62">
        <v>58164991846</v>
      </c>
      <c r="Z886" s="62" t="s">
        <v>1112</v>
      </c>
      <c r="AA886" s="65">
        <v>-20</v>
      </c>
      <c r="AB886" s="66" t="s">
        <v>2246</v>
      </c>
      <c r="AC886" s="1" t="s">
        <v>903</v>
      </c>
      <c r="AD886" s="62" t="str">
        <f>VLOOKUP(X886,'Customer List'!B:C,2,)</f>
        <v>Gujrat</v>
      </c>
      <c r="AE886" s="67" t="s">
        <v>2233</v>
      </c>
      <c r="AF886" s="6">
        <v>46147</v>
      </c>
      <c r="AG886" s="62">
        <f t="shared" si="175"/>
        <v>3</v>
      </c>
      <c r="AH886" s="62" t="str">
        <f t="shared" si="176"/>
        <v>Saturday</v>
      </c>
      <c r="AI886" s="62" t="str">
        <f t="shared" si="170"/>
        <v>Tuesday</v>
      </c>
      <c r="AJ886" s="62" t="str">
        <f>VLOOKUP(AC886,'Currency Sheet'!A:C,3,)</f>
        <v>DOLLAR</v>
      </c>
      <c r="AK886" s="62" t="str">
        <f>VLOOKUP(X886,'Customer List'!B:D,3,)</f>
        <v>OutStation</v>
      </c>
    </row>
    <row r="887" spans="1:37" hidden="1" x14ac:dyDescent="0.25">
      <c r="A887" s="62">
        <f t="shared" si="177"/>
        <v>872</v>
      </c>
      <c r="B887" s="62" t="s">
        <v>903</v>
      </c>
      <c r="C887" s="62" t="s">
        <v>2208</v>
      </c>
      <c r="D887" s="6">
        <v>46134</v>
      </c>
      <c r="E887" s="6">
        <v>46141</v>
      </c>
      <c r="F887" s="63">
        <v>142.5</v>
      </c>
      <c r="G887" s="64">
        <f t="shared" si="171"/>
        <v>12540</v>
      </c>
      <c r="H887" s="64">
        <f t="shared" si="172"/>
        <v>12540</v>
      </c>
      <c r="I887" s="70" t="s">
        <v>2215</v>
      </c>
      <c r="J887" s="62" t="s">
        <v>2216</v>
      </c>
      <c r="K887" s="8">
        <v>1</v>
      </c>
      <c r="L887" s="10">
        <v>46873</v>
      </c>
      <c r="M887" s="62">
        <v>1</v>
      </c>
      <c r="N887" s="8">
        <v>1</v>
      </c>
      <c r="O887" s="62">
        <f t="shared" si="173"/>
        <v>0</v>
      </c>
      <c r="P887" s="70" t="s">
        <v>2245</v>
      </c>
      <c r="Q887" s="71">
        <v>46144</v>
      </c>
      <c r="R887" s="6">
        <v>46144</v>
      </c>
      <c r="S887" s="64">
        <v>0</v>
      </c>
      <c r="T887" s="22">
        <v>5</v>
      </c>
      <c r="U887" s="64">
        <f t="shared" si="174"/>
        <v>0</v>
      </c>
      <c r="V887" s="22">
        <v>0</v>
      </c>
      <c r="W887" s="22">
        <v>0</v>
      </c>
      <c r="X887" s="62" t="s">
        <v>1596</v>
      </c>
      <c r="Y887" s="62">
        <v>58164991846</v>
      </c>
      <c r="Z887" s="62" t="s">
        <v>1112</v>
      </c>
      <c r="AA887" s="65">
        <v>-20</v>
      </c>
      <c r="AB887" s="66" t="s">
        <v>2246</v>
      </c>
      <c r="AC887" s="1" t="s">
        <v>903</v>
      </c>
      <c r="AD887" s="62" t="str">
        <f>VLOOKUP(X887,'Customer List'!B:C,2,)</f>
        <v>Gujrat</v>
      </c>
      <c r="AE887" s="67" t="s">
        <v>2233</v>
      </c>
      <c r="AF887" s="6">
        <v>46147</v>
      </c>
      <c r="AG887" s="62">
        <f t="shared" si="175"/>
        <v>3</v>
      </c>
      <c r="AH887" s="62" t="str">
        <f t="shared" si="176"/>
        <v>Saturday</v>
      </c>
      <c r="AI887" s="62" t="str">
        <f t="shared" si="170"/>
        <v>Tuesday</v>
      </c>
      <c r="AJ887" s="62" t="str">
        <f>VLOOKUP(AC887,'Currency Sheet'!A:C,3,)</f>
        <v>DOLLAR</v>
      </c>
      <c r="AK887" s="62" t="str">
        <f>VLOOKUP(X887,'Customer List'!B:D,3,)</f>
        <v>OutStation</v>
      </c>
    </row>
    <row r="888" spans="1:37" hidden="1" x14ac:dyDescent="0.25">
      <c r="A888" s="62">
        <f t="shared" si="177"/>
        <v>873</v>
      </c>
      <c r="B888" s="62" t="s">
        <v>903</v>
      </c>
      <c r="C888" s="62" t="s">
        <v>2208</v>
      </c>
      <c r="D888" s="6">
        <v>46134</v>
      </c>
      <c r="E888" s="6">
        <v>46141</v>
      </c>
      <c r="F888" s="63">
        <v>172</v>
      </c>
      <c r="G888" s="64">
        <f t="shared" si="171"/>
        <v>15136</v>
      </c>
      <c r="H888" s="64">
        <f t="shared" si="172"/>
        <v>15136</v>
      </c>
      <c r="I888" s="70" t="s">
        <v>2217</v>
      </c>
      <c r="J888" s="62" t="s">
        <v>2218</v>
      </c>
      <c r="K888" s="8">
        <v>11</v>
      </c>
      <c r="L888" s="10">
        <v>46703</v>
      </c>
      <c r="M888" s="62">
        <v>1</v>
      </c>
      <c r="N888" s="8">
        <v>1</v>
      </c>
      <c r="O888" s="62">
        <f t="shared" si="173"/>
        <v>0</v>
      </c>
      <c r="P888" s="70">
        <v>250</v>
      </c>
      <c r="Q888" s="71">
        <v>46142</v>
      </c>
      <c r="R888" s="6">
        <v>46142</v>
      </c>
      <c r="S888" s="64">
        <v>28326.25</v>
      </c>
      <c r="T888" s="22">
        <v>5</v>
      </c>
      <c r="U888" s="64">
        <f t="shared" si="174"/>
        <v>1416.3125</v>
      </c>
      <c r="V888" s="22">
        <v>0.43</v>
      </c>
      <c r="W888" s="22">
        <v>29743</v>
      </c>
      <c r="X888" s="62" t="s">
        <v>793</v>
      </c>
      <c r="Y888" s="62" t="s">
        <v>1120</v>
      </c>
      <c r="Z888" s="62" t="s">
        <v>1863</v>
      </c>
      <c r="AA888" s="65">
        <v>-20</v>
      </c>
      <c r="AB888" s="66"/>
      <c r="AC888" s="1" t="s">
        <v>903</v>
      </c>
      <c r="AD888" s="62" t="str">
        <f>VLOOKUP(X888,'Customer List'!B:C,2,)</f>
        <v>Delhi</v>
      </c>
      <c r="AE888" s="67"/>
      <c r="AF888" s="6"/>
      <c r="AG888" s="62" t="str">
        <f t="shared" si="175"/>
        <v/>
      </c>
      <c r="AH888" s="62" t="str">
        <f t="shared" si="176"/>
        <v>Wednesday</v>
      </c>
      <c r="AI888" s="62" t="str">
        <f t="shared" si="170"/>
        <v/>
      </c>
      <c r="AJ888" s="62" t="str">
        <f>VLOOKUP(AC888,'Currency Sheet'!A:C,3,)</f>
        <v>DOLLAR</v>
      </c>
      <c r="AK888" s="62" t="str">
        <f>VLOOKUP(X888,'Customer List'!B:D,3,)</f>
        <v>Local</v>
      </c>
    </row>
    <row r="889" spans="1:37" hidden="1" x14ac:dyDescent="0.25">
      <c r="A889" s="62">
        <f t="shared" si="177"/>
        <v>874</v>
      </c>
      <c r="B889" s="62" t="s">
        <v>903</v>
      </c>
      <c r="C889" s="62" t="s">
        <v>2208</v>
      </c>
      <c r="D889" s="6">
        <v>46134</v>
      </c>
      <c r="E889" s="6">
        <v>46141</v>
      </c>
      <c r="F889" s="63">
        <v>172</v>
      </c>
      <c r="G889" s="64">
        <f t="shared" si="171"/>
        <v>15136</v>
      </c>
      <c r="H889" s="64">
        <f t="shared" si="172"/>
        <v>15136</v>
      </c>
      <c r="I889" s="70" t="s">
        <v>2217</v>
      </c>
      <c r="J889" s="62" t="s">
        <v>2218</v>
      </c>
      <c r="K889" s="8">
        <v>11</v>
      </c>
      <c r="L889" s="10">
        <v>46703</v>
      </c>
      <c r="M889" s="62">
        <v>1</v>
      </c>
      <c r="N889" s="8">
        <v>1</v>
      </c>
      <c r="O889" s="62">
        <f t="shared" si="173"/>
        <v>0</v>
      </c>
      <c r="P889" s="70">
        <v>250</v>
      </c>
      <c r="Q889" s="71">
        <v>46142</v>
      </c>
      <c r="R889" s="6">
        <v>46142</v>
      </c>
      <c r="S889" s="64">
        <v>28326.25</v>
      </c>
      <c r="T889" s="22">
        <v>5</v>
      </c>
      <c r="U889" s="64">
        <f t="shared" si="174"/>
        <v>1416.3125</v>
      </c>
      <c r="V889" s="22">
        <v>0.43</v>
      </c>
      <c r="W889" s="22">
        <v>29743</v>
      </c>
      <c r="X889" s="62" t="s">
        <v>793</v>
      </c>
      <c r="Y889" s="62" t="s">
        <v>1120</v>
      </c>
      <c r="Z889" s="62" t="s">
        <v>1863</v>
      </c>
      <c r="AA889" s="65">
        <v>-20</v>
      </c>
      <c r="AB889" s="66"/>
      <c r="AC889" s="1" t="s">
        <v>903</v>
      </c>
      <c r="AD889" s="62" t="str">
        <f>VLOOKUP(X889,'Customer List'!B:C,2,)</f>
        <v>Delhi</v>
      </c>
      <c r="AE889" s="67"/>
      <c r="AF889" s="6"/>
      <c r="AG889" s="62" t="str">
        <f t="shared" si="175"/>
        <v/>
      </c>
      <c r="AH889" s="62" t="str">
        <f t="shared" si="176"/>
        <v>Wednesday</v>
      </c>
      <c r="AI889" s="62" t="str">
        <f t="shared" si="170"/>
        <v/>
      </c>
      <c r="AJ889" s="62" t="str">
        <f>VLOOKUP(AC889,'Currency Sheet'!A:C,3,)</f>
        <v>DOLLAR</v>
      </c>
      <c r="AK889" s="62" t="str">
        <f>VLOOKUP(X889,'Customer List'!B:D,3,)</f>
        <v>Local</v>
      </c>
    </row>
    <row r="890" spans="1:37" hidden="1" x14ac:dyDescent="0.25">
      <c r="A890" s="62">
        <f t="shared" si="177"/>
        <v>875</v>
      </c>
      <c r="B890" s="62" t="s">
        <v>903</v>
      </c>
      <c r="C890" s="62" t="s">
        <v>2208</v>
      </c>
      <c r="D890" s="6">
        <v>46134</v>
      </c>
      <c r="E890" s="6">
        <v>46141</v>
      </c>
      <c r="F890" s="63">
        <v>164</v>
      </c>
      <c r="G890" s="64">
        <f t="shared" si="171"/>
        <v>14432</v>
      </c>
      <c r="H890" s="64">
        <f t="shared" si="172"/>
        <v>28864</v>
      </c>
      <c r="I890" s="70" t="s">
        <v>2219</v>
      </c>
      <c r="J890" s="62" t="s">
        <v>2220</v>
      </c>
      <c r="K890" s="8">
        <v>5</v>
      </c>
      <c r="L890" s="10">
        <v>46664</v>
      </c>
      <c r="M890" s="62">
        <v>2</v>
      </c>
      <c r="N890" s="8">
        <v>2</v>
      </c>
      <c r="O890" s="62">
        <f t="shared" si="173"/>
        <v>0</v>
      </c>
      <c r="P890" s="70">
        <v>235</v>
      </c>
      <c r="Q890" s="71">
        <v>46141</v>
      </c>
      <c r="R890" s="6">
        <v>46141</v>
      </c>
      <c r="S890" s="64">
        <v>44485</v>
      </c>
      <c r="T890" s="22">
        <v>5</v>
      </c>
      <c r="U890" s="64">
        <f t="shared" si="174"/>
        <v>2224.25</v>
      </c>
      <c r="V890" s="22">
        <v>-0.25</v>
      </c>
      <c r="W890" s="22">
        <v>46709</v>
      </c>
      <c r="X890" s="62" t="s">
        <v>1596</v>
      </c>
      <c r="Y890" s="62">
        <v>58164890825</v>
      </c>
      <c r="Z890" s="62" t="s">
        <v>1112</v>
      </c>
      <c r="AA890" s="65">
        <v>-20</v>
      </c>
      <c r="AB890" s="66"/>
      <c r="AC890" s="1" t="s">
        <v>903</v>
      </c>
      <c r="AD890" s="62" t="str">
        <f>VLOOKUP(X890,'Customer List'!B:C,2,)</f>
        <v>Gujrat</v>
      </c>
      <c r="AE890" s="67"/>
      <c r="AF890" s="6">
        <v>46142</v>
      </c>
      <c r="AG890" s="62">
        <f t="shared" si="175"/>
        <v>1</v>
      </c>
      <c r="AH890" s="62" t="str">
        <f t="shared" si="176"/>
        <v>Saturday</v>
      </c>
      <c r="AI890" s="62" t="str">
        <f t="shared" si="170"/>
        <v>Thursday</v>
      </c>
      <c r="AJ890" s="62" t="str">
        <f>VLOOKUP(AC890,'Currency Sheet'!A:C,3,)</f>
        <v>DOLLAR</v>
      </c>
      <c r="AK890" s="62" t="str">
        <f>VLOOKUP(X890,'Customer List'!B:D,3,)</f>
        <v>OutStation</v>
      </c>
    </row>
    <row r="891" spans="1:37" hidden="1" x14ac:dyDescent="0.25">
      <c r="A891" s="62">
        <f t="shared" si="177"/>
        <v>876</v>
      </c>
      <c r="B891" s="62" t="s">
        <v>903</v>
      </c>
      <c r="C891" s="62" t="s">
        <v>2208</v>
      </c>
      <c r="D891" s="6">
        <v>46134</v>
      </c>
      <c r="E891" s="6">
        <v>46141</v>
      </c>
      <c r="F891" s="63">
        <v>654.5</v>
      </c>
      <c r="G891" s="64">
        <f t="shared" si="171"/>
        <v>57596</v>
      </c>
      <c r="H891" s="64">
        <f t="shared" si="172"/>
        <v>172788</v>
      </c>
      <c r="I891" s="70" t="s">
        <v>899</v>
      </c>
      <c r="J891" s="62" t="s">
        <v>2221</v>
      </c>
      <c r="K891" s="8">
        <v>6.7</v>
      </c>
      <c r="L891" s="10">
        <v>47026</v>
      </c>
      <c r="M891" s="62">
        <v>3</v>
      </c>
      <c r="N891" s="8">
        <v>3</v>
      </c>
      <c r="O891" s="62">
        <f t="shared" si="173"/>
        <v>0</v>
      </c>
      <c r="P891" s="70">
        <v>234</v>
      </c>
      <c r="Q891" s="71">
        <v>46141</v>
      </c>
      <c r="R891" s="6">
        <v>46141</v>
      </c>
      <c r="S891" s="64">
        <v>286951.5</v>
      </c>
      <c r="T891" s="22">
        <v>5</v>
      </c>
      <c r="U891" s="64">
        <f t="shared" si="174"/>
        <v>14347.575000000001</v>
      </c>
      <c r="V891" s="22">
        <v>0.12</v>
      </c>
      <c r="W891" s="22">
        <v>550502</v>
      </c>
      <c r="X891" s="62" t="s">
        <v>902</v>
      </c>
      <c r="Y891" s="62">
        <v>58164890523</v>
      </c>
      <c r="Z891" s="62" t="s">
        <v>1112</v>
      </c>
      <c r="AA891" s="65">
        <v>4</v>
      </c>
      <c r="AB891" s="66"/>
      <c r="AC891" s="1" t="s">
        <v>903</v>
      </c>
      <c r="AD891" s="62" t="str">
        <f>VLOOKUP(X891,'Customer List'!B:C,2,)</f>
        <v>Hyderabad</v>
      </c>
      <c r="AE891" s="67"/>
      <c r="AF891" s="6">
        <v>46142</v>
      </c>
      <c r="AG891" s="62">
        <f t="shared" si="175"/>
        <v>1</v>
      </c>
      <c r="AH891" s="62" t="str">
        <f t="shared" si="176"/>
        <v>Saturday</v>
      </c>
      <c r="AI891" s="62" t="str">
        <f t="shared" si="170"/>
        <v>Thursday</v>
      </c>
      <c r="AJ891" s="62" t="str">
        <f>VLOOKUP(AC891,'Currency Sheet'!A:C,3,)</f>
        <v>DOLLAR</v>
      </c>
      <c r="AK891" s="62" t="str">
        <f>VLOOKUP(X891,'Customer List'!B:D,3,)</f>
        <v>OutStation</v>
      </c>
    </row>
    <row r="892" spans="1:37" hidden="1" x14ac:dyDescent="0.25">
      <c r="A892" s="62">
        <f t="shared" si="177"/>
        <v>877</v>
      </c>
      <c r="B892" s="62" t="s">
        <v>903</v>
      </c>
      <c r="C892" s="62" t="s">
        <v>2208</v>
      </c>
      <c r="D892" s="6">
        <v>46134</v>
      </c>
      <c r="E892" s="6">
        <v>46141</v>
      </c>
      <c r="F892" s="63">
        <v>812</v>
      </c>
      <c r="G892" s="64">
        <f t="shared" si="171"/>
        <v>71456</v>
      </c>
      <c r="H892" s="64">
        <f t="shared" si="172"/>
        <v>142912</v>
      </c>
      <c r="I892" s="70" t="s">
        <v>900</v>
      </c>
      <c r="J892" s="62" t="s">
        <v>2222</v>
      </c>
      <c r="K892" s="8">
        <v>11.9</v>
      </c>
      <c r="L892" s="10">
        <v>46811</v>
      </c>
      <c r="M892" s="62">
        <v>2</v>
      </c>
      <c r="N892" s="8">
        <v>2</v>
      </c>
      <c r="O892" s="62">
        <f t="shared" si="173"/>
        <v>0</v>
      </c>
      <c r="P892" s="70">
        <v>234</v>
      </c>
      <c r="Q892" s="71">
        <v>46141</v>
      </c>
      <c r="R892" s="6">
        <v>46141</v>
      </c>
      <c r="S892" s="64">
        <v>237336</v>
      </c>
      <c r="T892" s="22">
        <v>5</v>
      </c>
      <c r="U892" s="64">
        <f t="shared" si="174"/>
        <v>11866.800000000001</v>
      </c>
      <c r="V892" s="22">
        <v>0</v>
      </c>
      <c r="W892" s="22">
        <v>550502</v>
      </c>
      <c r="X892" s="62" t="s">
        <v>902</v>
      </c>
      <c r="Y892" s="62">
        <v>58164890523</v>
      </c>
      <c r="Z892" s="62" t="s">
        <v>1112</v>
      </c>
      <c r="AA892" s="65">
        <v>4</v>
      </c>
      <c r="AB892" s="66"/>
      <c r="AC892" s="1" t="s">
        <v>903</v>
      </c>
      <c r="AD892" s="62" t="str">
        <f>VLOOKUP(X892,'Customer List'!B:C,2,)</f>
        <v>Hyderabad</v>
      </c>
      <c r="AE892" s="67"/>
      <c r="AF892" s="6">
        <v>46142</v>
      </c>
      <c r="AG892" s="62">
        <f t="shared" si="175"/>
        <v>1</v>
      </c>
      <c r="AH892" s="62" t="str">
        <f t="shared" si="176"/>
        <v>Sunday</v>
      </c>
      <c r="AI892" s="62" t="str">
        <f t="shared" si="170"/>
        <v>Thursday</v>
      </c>
      <c r="AJ892" s="62" t="str">
        <f>VLOOKUP(AC892,'Currency Sheet'!A:C,3,)</f>
        <v>DOLLAR</v>
      </c>
      <c r="AK892" s="62" t="str">
        <f>VLOOKUP(X892,'Customer List'!B:D,3,)</f>
        <v>OutStation</v>
      </c>
    </row>
    <row r="893" spans="1:37" hidden="1" x14ac:dyDescent="0.25">
      <c r="A893" s="62">
        <f t="shared" si="177"/>
        <v>878</v>
      </c>
      <c r="B893" s="62" t="s">
        <v>903</v>
      </c>
      <c r="C893" s="62" t="s">
        <v>2208</v>
      </c>
      <c r="D893" s="6">
        <v>46134</v>
      </c>
      <c r="E893" s="6">
        <v>46141</v>
      </c>
      <c r="F893" s="63">
        <v>423.5</v>
      </c>
      <c r="G893" s="64">
        <f t="shared" si="171"/>
        <v>37268</v>
      </c>
      <c r="H893" s="64">
        <f t="shared" si="172"/>
        <v>74536</v>
      </c>
      <c r="I893" s="70" t="s">
        <v>2223</v>
      </c>
      <c r="J893" s="62" t="s">
        <v>2224</v>
      </c>
      <c r="K893" s="8">
        <v>115</v>
      </c>
      <c r="L893" s="10">
        <v>46873</v>
      </c>
      <c r="M893" s="62">
        <v>2</v>
      </c>
      <c r="N893" s="8"/>
      <c r="O893" s="62">
        <f t="shared" si="173"/>
        <v>2</v>
      </c>
      <c r="P893" s="70"/>
      <c r="Q893" s="71"/>
      <c r="R893" s="6"/>
      <c r="S893" s="64">
        <v>131285</v>
      </c>
      <c r="T893" s="22">
        <v>5</v>
      </c>
      <c r="U893" s="64">
        <f t="shared" si="174"/>
        <v>6564.25</v>
      </c>
      <c r="V893" s="22">
        <v>-0.25</v>
      </c>
      <c r="W893" s="22">
        <v>137849</v>
      </c>
      <c r="X893" s="62" t="s">
        <v>359</v>
      </c>
      <c r="Y893" s="62"/>
      <c r="Z893" s="62"/>
      <c r="AA893" s="65">
        <v>4</v>
      </c>
      <c r="AB893" s="66"/>
      <c r="AC893" s="1" t="s">
        <v>903</v>
      </c>
      <c r="AD893" s="62" t="str">
        <f>VLOOKUP(X893,'Customer List'!B:C,2,)</f>
        <v>Mumbai</v>
      </c>
      <c r="AE893" s="67" t="s">
        <v>2007</v>
      </c>
      <c r="AF893" s="6"/>
      <c r="AG893" s="62" t="str">
        <f t="shared" si="175"/>
        <v/>
      </c>
      <c r="AH893" s="62" t="str">
        <f t="shared" si="176"/>
        <v>Saturday</v>
      </c>
      <c r="AI893" s="62" t="str">
        <f t="shared" ref="AI893:AI956" si="178">IF(AF893="", "", TEXT(AF893, "dddd"))</f>
        <v/>
      </c>
      <c r="AJ893" s="62" t="str">
        <f>VLOOKUP(AC893,'Currency Sheet'!A:C,3,)</f>
        <v>DOLLAR</v>
      </c>
      <c r="AK893" s="62" t="str">
        <f>VLOOKUP(X893,'Customer List'!B:D,3,)</f>
        <v>OutStation</v>
      </c>
    </row>
    <row r="894" spans="1:37" hidden="1" x14ac:dyDescent="0.25">
      <c r="A894" s="62">
        <f t="shared" si="177"/>
        <v>879</v>
      </c>
      <c r="B894" s="62" t="s">
        <v>903</v>
      </c>
      <c r="C894" s="62" t="s">
        <v>2208</v>
      </c>
      <c r="D894" s="6">
        <v>46134</v>
      </c>
      <c r="E894" s="6">
        <v>46141</v>
      </c>
      <c r="F894" s="63">
        <v>483</v>
      </c>
      <c r="G894" s="64">
        <f t="shared" si="171"/>
        <v>42504</v>
      </c>
      <c r="H894" s="64">
        <f t="shared" si="172"/>
        <v>42504</v>
      </c>
      <c r="I894" s="70" t="s">
        <v>2225</v>
      </c>
      <c r="J894" s="62" t="s">
        <v>2224</v>
      </c>
      <c r="K894" s="8">
        <v>180</v>
      </c>
      <c r="L894" s="10">
        <v>46873</v>
      </c>
      <c r="M894" s="62">
        <v>1</v>
      </c>
      <c r="N894" s="8"/>
      <c r="O894" s="62">
        <f t="shared" si="173"/>
        <v>1</v>
      </c>
      <c r="P894" s="70"/>
      <c r="Q894" s="71"/>
      <c r="R894" s="6"/>
      <c r="S894" s="64">
        <v>74865</v>
      </c>
      <c r="T894" s="22">
        <v>5</v>
      </c>
      <c r="U894" s="64">
        <f t="shared" si="174"/>
        <v>3743.25</v>
      </c>
      <c r="V894" s="22">
        <v>-0.25</v>
      </c>
      <c r="W894" s="22">
        <v>78608</v>
      </c>
      <c r="X894" s="62" t="s">
        <v>359</v>
      </c>
      <c r="Y894" s="62"/>
      <c r="Z894" s="62"/>
      <c r="AA894" s="65">
        <v>4</v>
      </c>
      <c r="AB894" s="66"/>
      <c r="AC894" s="1" t="s">
        <v>903</v>
      </c>
      <c r="AD894" s="62" t="str">
        <f>VLOOKUP(X894,'Customer List'!B:C,2,)</f>
        <v>Mumbai</v>
      </c>
      <c r="AE894" s="67" t="s">
        <v>2007</v>
      </c>
      <c r="AF894" s="6"/>
      <c r="AG894" s="62" t="str">
        <f t="shared" si="175"/>
        <v/>
      </c>
      <c r="AH894" s="62" t="str">
        <f t="shared" si="176"/>
        <v>Saturday</v>
      </c>
      <c r="AI894" s="62" t="str">
        <f t="shared" si="178"/>
        <v/>
      </c>
      <c r="AJ894" s="62" t="str">
        <f>VLOOKUP(AC894,'Currency Sheet'!A:C,3,)</f>
        <v>DOLLAR</v>
      </c>
      <c r="AK894" s="62" t="str">
        <f>VLOOKUP(X894,'Customer List'!B:D,3,)</f>
        <v>OutStation</v>
      </c>
    </row>
    <row r="895" spans="1:37" hidden="1" x14ac:dyDescent="0.25">
      <c r="A895" s="62">
        <f t="shared" si="177"/>
        <v>880</v>
      </c>
      <c r="B895" s="62" t="s">
        <v>34</v>
      </c>
      <c r="C895" s="62" t="s">
        <v>2251</v>
      </c>
      <c r="D895" s="6">
        <v>46136</v>
      </c>
      <c r="E895" s="6">
        <v>46146</v>
      </c>
      <c r="F895" s="63">
        <v>693</v>
      </c>
      <c r="G895" s="64">
        <f t="shared" si="171"/>
        <v>60984</v>
      </c>
      <c r="H895" s="64">
        <f t="shared" si="172"/>
        <v>60984</v>
      </c>
      <c r="I895" s="70">
        <v>72009</v>
      </c>
      <c r="J895" s="62" t="s">
        <v>2252</v>
      </c>
      <c r="K895" s="8" t="s">
        <v>2253</v>
      </c>
      <c r="L895" s="10">
        <v>46282</v>
      </c>
      <c r="M895" s="62">
        <v>1</v>
      </c>
      <c r="N895" s="8">
        <v>1</v>
      </c>
      <c r="O895" s="62">
        <f t="shared" si="173"/>
        <v>0</v>
      </c>
      <c r="P895" s="70">
        <v>261</v>
      </c>
      <c r="Q895" s="71">
        <v>46148</v>
      </c>
      <c r="R895" s="6">
        <v>46148</v>
      </c>
      <c r="S895" s="64">
        <v>137445</v>
      </c>
      <c r="T895" s="22">
        <v>5</v>
      </c>
      <c r="U895" s="64">
        <f t="shared" si="174"/>
        <v>6872.25</v>
      </c>
      <c r="V895" s="22">
        <v>-0.25</v>
      </c>
      <c r="W895" s="22">
        <v>144317</v>
      </c>
      <c r="X895" s="62" t="s">
        <v>803</v>
      </c>
      <c r="Y895" s="62" t="s">
        <v>1120</v>
      </c>
      <c r="Z895" s="62" t="s">
        <v>1116</v>
      </c>
      <c r="AA895" s="65">
        <v>-80</v>
      </c>
      <c r="AB895" s="66"/>
      <c r="AC895" s="1" t="s">
        <v>34</v>
      </c>
      <c r="AD895" s="62" t="str">
        <f>VLOOKUP(X895,'Customer List'!B:C,2,)</f>
        <v>Faridabad</v>
      </c>
      <c r="AE895" s="67"/>
      <c r="AF895" s="6"/>
      <c r="AG895" s="62" t="str">
        <f t="shared" si="175"/>
        <v/>
      </c>
      <c r="AH895" s="62" t="str">
        <f t="shared" si="176"/>
        <v>Saturday</v>
      </c>
      <c r="AI895" s="62" t="str">
        <f t="shared" si="178"/>
        <v/>
      </c>
      <c r="AJ895" s="62" t="str">
        <f>VLOOKUP(AC895,'Currency Sheet'!A:C,3,)</f>
        <v>DOLLAR</v>
      </c>
      <c r="AK895" s="62" t="str">
        <f>VLOOKUP(X895,'Customer List'!B:D,3,)</f>
        <v>Local</v>
      </c>
    </row>
    <row r="896" spans="1:37" hidden="1" x14ac:dyDescent="0.25">
      <c r="A896" s="62">
        <f t="shared" si="177"/>
        <v>881</v>
      </c>
      <c r="B896" s="62" t="s">
        <v>34</v>
      </c>
      <c r="C896" s="62" t="s">
        <v>2269</v>
      </c>
      <c r="D896" s="6">
        <v>46136</v>
      </c>
      <c r="E896" s="6">
        <v>46146</v>
      </c>
      <c r="F896" s="63">
        <v>392.5</v>
      </c>
      <c r="G896" s="64">
        <f t="shared" si="171"/>
        <v>34540</v>
      </c>
      <c r="H896" s="64">
        <f t="shared" si="172"/>
        <v>69080</v>
      </c>
      <c r="I896" s="70" t="s">
        <v>2254</v>
      </c>
      <c r="J896" s="62" t="s">
        <v>2255</v>
      </c>
      <c r="K896" s="8">
        <v>260331</v>
      </c>
      <c r="L896" s="10">
        <v>46295</v>
      </c>
      <c r="M896" s="62">
        <v>2</v>
      </c>
      <c r="N896" s="8">
        <v>2</v>
      </c>
      <c r="O896" s="62">
        <f t="shared" si="173"/>
        <v>0</v>
      </c>
      <c r="P896" s="70">
        <v>256</v>
      </c>
      <c r="Q896" s="71">
        <v>46146</v>
      </c>
      <c r="R896" s="6">
        <v>46146</v>
      </c>
      <c r="S896" s="64">
        <v>137375</v>
      </c>
      <c r="T896" s="22">
        <v>5</v>
      </c>
      <c r="U896" s="64">
        <f t="shared" si="174"/>
        <v>6868.75</v>
      </c>
      <c r="V896" s="22">
        <v>0</v>
      </c>
      <c r="W896" s="22">
        <v>904050</v>
      </c>
      <c r="X896" s="62" t="s">
        <v>352</v>
      </c>
      <c r="Y896" s="62" t="s">
        <v>1120</v>
      </c>
      <c r="Z896" s="62" t="s">
        <v>1863</v>
      </c>
      <c r="AA896" s="65">
        <v>-80</v>
      </c>
      <c r="AB896" s="66"/>
      <c r="AC896" s="1" t="s">
        <v>34</v>
      </c>
      <c r="AD896" s="62" t="str">
        <f>VLOOKUP(X896,'Customer List'!B:C,2,)</f>
        <v>DELHI</v>
      </c>
      <c r="AE896" s="67"/>
      <c r="AF896" s="6"/>
      <c r="AG896" s="62" t="str">
        <f t="shared" si="175"/>
        <v/>
      </c>
      <c r="AH896" s="62" t="str">
        <f t="shared" si="176"/>
        <v>Saturday</v>
      </c>
      <c r="AI896" s="62" t="str">
        <f t="shared" si="178"/>
        <v/>
      </c>
      <c r="AJ896" s="62" t="str">
        <f>VLOOKUP(AC896,'Currency Sheet'!A:C,3,)</f>
        <v>DOLLAR</v>
      </c>
      <c r="AK896" s="62" t="str">
        <f>VLOOKUP(X896,'Customer List'!B:D,3,)</f>
        <v>Local</v>
      </c>
    </row>
    <row r="897" spans="1:37" hidden="1" x14ac:dyDescent="0.25">
      <c r="A897" s="62">
        <f t="shared" si="177"/>
        <v>882</v>
      </c>
      <c r="B897" s="62" t="s">
        <v>34</v>
      </c>
      <c r="C897" s="62" t="s">
        <v>2269</v>
      </c>
      <c r="D897" s="6">
        <v>46136</v>
      </c>
      <c r="E897" s="6">
        <v>46146</v>
      </c>
      <c r="F897" s="63">
        <v>415</v>
      </c>
      <c r="G897" s="64">
        <f t="shared" si="171"/>
        <v>36520</v>
      </c>
      <c r="H897" s="64">
        <f t="shared" si="172"/>
        <v>73040</v>
      </c>
      <c r="I897" s="70" t="s">
        <v>2256</v>
      </c>
      <c r="J897" s="62" t="s">
        <v>2257</v>
      </c>
      <c r="K897" s="8">
        <v>260224</v>
      </c>
      <c r="L897" s="10">
        <v>46258</v>
      </c>
      <c r="M897" s="62">
        <v>2</v>
      </c>
      <c r="N897" s="8">
        <v>2</v>
      </c>
      <c r="O897" s="62">
        <f t="shared" si="173"/>
        <v>0</v>
      </c>
      <c r="P897" s="70">
        <v>256</v>
      </c>
      <c r="Q897" s="71">
        <v>46146</v>
      </c>
      <c r="R897" s="6">
        <v>46146</v>
      </c>
      <c r="S897" s="64">
        <v>145250</v>
      </c>
      <c r="T897" s="22">
        <v>5</v>
      </c>
      <c r="U897" s="64">
        <f t="shared" si="174"/>
        <v>7262.5</v>
      </c>
      <c r="V897" s="22">
        <v>0</v>
      </c>
      <c r="W897" s="22">
        <v>904050</v>
      </c>
      <c r="X897" s="62" t="s">
        <v>352</v>
      </c>
      <c r="Y897" s="62" t="s">
        <v>1120</v>
      </c>
      <c r="Z897" s="62" t="s">
        <v>1863</v>
      </c>
      <c r="AA897" s="65">
        <v>-80</v>
      </c>
      <c r="AB897" s="66"/>
      <c r="AC897" s="1" t="s">
        <v>34</v>
      </c>
      <c r="AD897" s="62" t="str">
        <f>VLOOKUP(X897,'Customer List'!B:C,2,)</f>
        <v>DELHI</v>
      </c>
      <c r="AE897" s="67"/>
      <c r="AF897" s="6"/>
      <c r="AG897" s="62" t="str">
        <f t="shared" si="175"/>
        <v/>
      </c>
      <c r="AH897" s="62" t="str">
        <f t="shared" si="176"/>
        <v>Saturday</v>
      </c>
      <c r="AI897" s="62" t="str">
        <f t="shared" si="178"/>
        <v/>
      </c>
      <c r="AJ897" s="62" t="str">
        <f>VLOOKUP(AC897,'Currency Sheet'!A:C,3,)</f>
        <v>DOLLAR</v>
      </c>
      <c r="AK897" s="62" t="str">
        <f>VLOOKUP(X897,'Customer List'!B:D,3,)</f>
        <v>Local</v>
      </c>
    </row>
    <row r="898" spans="1:37" hidden="1" x14ac:dyDescent="0.25">
      <c r="A898" s="62">
        <f t="shared" si="177"/>
        <v>883</v>
      </c>
      <c r="B898" s="62" t="s">
        <v>34</v>
      </c>
      <c r="C898" s="62" t="s">
        <v>2269</v>
      </c>
      <c r="D898" s="6">
        <v>46136</v>
      </c>
      <c r="E898" s="6">
        <v>46146</v>
      </c>
      <c r="F898" s="63">
        <v>522.5</v>
      </c>
      <c r="G898" s="64">
        <f t="shared" si="171"/>
        <v>45980</v>
      </c>
      <c r="H898" s="64">
        <f t="shared" si="172"/>
        <v>275880</v>
      </c>
      <c r="I898" s="70" t="s">
        <v>2258</v>
      </c>
      <c r="J898" s="62" t="s">
        <v>2259</v>
      </c>
      <c r="K898" s="8" t="s">
        <v>2260</v>
      </c>
      <c r="L898" s="10">
        <v>46283</v>
      </c>
      <c r="M898" s="62">
        <v>6</v>
      </c>
      <c r="N898" s="8">
        <v>6</v>
      </c>
      <c r="O898" s="62">
        <f t="shared" si="173"/>
        <v>0</v>
      </c>
      <c r="P898" s="70">
        <v>256</v>
      </c>
      <c r="Q898" s="71">
        <v>46146</v>
      </c>
      <c r="R898" s="6">
        <v>46146</v>
      </c>
      <c r="S898" s="64">
        <v>548625</v>
      </c>
      <c r="T898" s="22">
        <v>5</v>
      </c>
      <c r="U898" s="64">
        <f t="shared" si="174"/>
        <v>27431.25</v>
      </c>
      <c r="V898" s="22">
        <v>0</v>
      </c>
      <c r="W898" s="22">
        <v>904050</v>
      </c>
      <c r="X898" s="62" t="s">
        <v>352</v>
      </c>
      <c r="Y898" s="62" t="s">
        <v>1120</v>
      </c>
      <c r="Z898" s="62" t="s">
        <v>1863</v>
      </c>
      <c r="AA898" s="65">
        <v>-80</v>
      </c>
      <c r="AB898" s="66"/>
      <c r="AC898" s="1" t="s">
        <v>34</v>
      </c>
      <c r="AD898" s="62" t="str">
        <f>VLOOKUP(X898,'Customer List'!B:C,2,)</f>
        <v>DELHI</v>
      </c>
      <c r="AE898" s="67"/>
      <c r="AF898" s="6"/>
      <c r="AG898" s="62" t="str">
        <f t="shared" si="175"/>
        <v/>
      </c>
      <c r="AH898" s="62" t="str">
        <f t="shared" si="176"/>
        <v>Saturday</v>
      </c>
      <c r="AI898" s="62" t="str">
        <f t="shared" si="178"/>
        <v/>
      </c>
      <c r="AJ898" s="62" t="str">
        <f>VLOOKUP(AC898,'Currency Sheet'!A:C,3,)</f>
        <v>DOLLAR</v>
      </c>
      <c r="AK898" s="62" t="str">
        <f>VLOOKUP(X898,'Customer List'!B:D,3,)</f>
        <v>Local</v>
      </c>
    </row>
    <row r="899" spans="1:37" hidden="1" x14ac:dyDescent="0.25">
      <c r="A899" s="62">
        <f t="shared" si="177"/>
        <v>884</v>
      </c>
      <c r="B899" s="62" t="s">
        <v>34</v>
      </c>
      <c r="C899" s="62" t="s">
        <v>2269</v>
      </c>
      <c r="D899" s="6">
        <v>46136</v>
      </c>
      <c r="E899" s="6">
        <v>46146</v>
      </c>
      <c r="F899" s="63">
        <v>85</v>
      </c>
      <c r="G899" s="64">
        <f t="shared" si="171"/>
        <v>7480</v>
      </c>
      <c r="H899" s="64">
        <f t="shared" si="172"/>
        <v>14960</v>
      </c>
      <c r="I899" s="70" t="s">
        <v>2261</v>
      </c>
      <c r="J899" s="62" t="s">
        <v>2262</v>
      </c>
      <c r="K899" s="8">
        <v>260331</v>
      </c>
      <c r="L899" s="10">
        <v>46356</v>
      </c>
      <c r="M899" s="62">
        <v>2</v>
      </c>
      <c r="N899" s="8">
        <v>2</v>
      </c>
      <c r="O899" s="62">
        <f t="shared" si="173"/>
        <v>0</v>
      </c>
      <c r="P899" s="70">
        <v>256</v>
      </c>
      <c r="Q899" s="71">
        <v>46146</v>
      </c>
      <c r="R899" s="6">
        <v>46146</v>
      </c>
      <c r="S899" s="64">
        <v>29750</v>
      </c>
      <c r="T899" s="22">
        <v>5</v>
      </c>
      <c r="U899" s="64">
        <f t="shared" si="174"/>
        <v>1487.5</v>
      </c>
      <c r="V899" s="22">
        <v>0</v>
      </c>
      <c r="W899" s="22">
        <v>904050</v>
      </c>
      <c r="X899" s="62" t="s">
        <v>352</v>
      </c>
      <c r="Y899" s="62" t="s">
        <v>1120</v>
      </c>
      <c r="Z899" s="62" t="s">
        <v>1863</v>
      </c>
      <c r="AA899" s="65">
        <v>-80</v>
      </c>
      <c r="AB899" s="66"/>
      <c r="AC899" s="1" t="s">
        <v>34</v>
      </c>
      <c r="AD899" s="62" t="str">
        <f>VLOOKUP(X899,'Customer List'!B:C,2,)</f>
        <v>DELHI</v>
      </c>
      <c r="AE899" s="67"/>
      <c r="AF899" s="6"/>
      <c r="AG899" s="62" t="str">
        <f t="shared" si="175"/>
        <v/>
      </c>
      <c r="AH899" s="62" t="str">
        <f t="shared" si="176"/>
        <v>Saturday</v>
      </c>
      <c r="AI899" s="62" t="str">
        <f t="shared" si="178"/>
        <v/>
      </c>
      <c r="AJ899" s="62" t="str">
        <f>VLOOKUP(AC899,'Currency Sheet'!A:C,3,)</f>
        <v>DOLLAR</v>
      </c>
      <c r="AK899" s="62" t="str">
        <f>VLOOKUP(X899,'Customer List'!B:D,3,)</f>
        <v>Local</v>
      </c>
    </row>
    <row r="900" spans="1:37" hidden="1" x14ac:dyDescent="0.25">
      <c r="A900" s="62">
        <f t="shared" si="177"/>
        <v>885</v>
      </c>
      <c r="B900" s="62" t="s">
        <v>34</v>
      </c>
      <c r="C900" s="62" t="s">
        <v>2270</v>
      </c>
      <c r="D900" s="6">
        <v>46136</v>
      </c>
      <c r="E900" s="6">
        <v>46146</v>
      </c>
      <c r="F900" s="63">
        <v>68.75</v>
      </c>
      <c r="G900" s="64">
        <f t="shared" si="171"/>
        <v>6050</v>
      </c>
      <c r="H900" s="64">
        <f t="shared" si="172"/>
        <v>12100</v>
      </c>
      <c r="I900" s="70">
        <v>50031</v>
      </c>
      <c r="J900" s="62" t="s">
        <v>2263</v>
      </c>
      <c r="K900" s="8">
        <v>260204</v>
      </c>
      <c r="L900" s="10">
        <v>46238</v>
      </c>
      <c r="M900" s="62">
        <v>2</v>
      </c>
      <c r="N900" s="8">
        <v>2</v>
      </c>
      <c r="O900" s="62">
        <f t="shared" si="173"/>
        <v>0</v>
      </c>
      <c r="P900" s="70">
        <v>255</v>
      </c>
      <c r="Q900" s="71">
        <v>46146</v>
      </c>
      <c r="R900" s="6">
        <v>46146</v>
      </c>
      <c r="S900" s="64">
        <v>21450</v>
      </c>
      <c r="T900" s="22">
        <v>5</v>
      </c>
      <c r="U900" s="64">
        <f t="shared" si="174"/>
        <v>1072.5</v>
      </c>
      <c r="V900" s="22">
        <v>0.1</v>
      </c>
      <c r="W900" s="22">
        <v>892792</v>
      </c>
      <c r="X900" s="62" t="s">
        <v>315</v>
      </c>
      <c r="Y900" s="62">
        <v>58165045551</v>
      </c>
      <c r="Z900" s="62" t="s">
        <v>1112</v>
      </c>
      <c r="AA900" s="65">
        <v>-80</v>
      </c>
      <c r="AB900" s="66"/>
      <c r="AC900" s="1" t="s">
        <v>34</v>
      </c>
      <c r="AD900" s="62" t="str">
        <f>VLOOKUP(X900,'Customer List'!B:C,2,)</f>
        <v>Kolkata</v>
      </c>
      <c r="AE900" s="67"/>
      <c r="AF900" s="6">
        <v>46147</v>
      </c>
      <c r="AG900" s="62">
        <f t="shared" si="175"/>
        <v>1</v>
      </c>
      <c r="AH900" s="62" t="str">
        <f t="shared" si="176"/>
        <v>Monday</v>
      </c>
      <c r="AI900" s="62" t="str">
        <f t="shared" si="178"/>
        <v>Tuesday</v>
      </c>
      <c r="AJ900" s="62" t="str">
        <f>VLOOKUP(AC900,'Currency Sheet'!A:C,3,)</f>
        <v>DOLLAR</v>
      </c>
      <c r="AK900" s="62" t="str">
        <f>VLOOKUP(X900,'Customer List'!B:D,3,)</f>
        <v>OutStation</v>
      </c>
    </row>
    <row r="901" spans="1:37" hidden="1" x14ac:dyDescent="0.25">
      <c r="A901" s="62">
        <f t="shared" si="177"/>
        <v>886</v>
      </c>
      <c r="B901" s="62" t="s">
        <v>34</v>
      </c>
      <c r="C901" s="62" t="s">
        <v>2270</v>
      </c>
      <c r="D901" s="6">
        <v>46136</v>
      </c>
      <c r="E901" s="6">
        <v>46146</v>
      </c>
      <c r="F901" s="63">
        <v>126.5</v>
      </c>
      <c r="G901" s="64">
        <f t="shared" si="171"/>
        <v>11132</v>
      </c>
      <c r="H901" s="64">
        <f t="shared" si="172"/>
        <v>22264</v>
      </c>
      <c r="I901" s="70">
        <v>50030</v>
      </c>
      <c r="J901" s="62" t="s">
        <v>2264</v>
      </c>
      <c r="K901" s="8">
        <v>260306</v>
      </c>
      <c r="L901" s="10">
        <v>46271</v>
      </c>
      <c r="M901" s="62">
        <v>2</v>
      </c>
      <c r="N901" s="8">
        <v>2</v>
      </c>
      <c r="O901" s="62">
        <f t="shared" si="173"/>
        <v>0</v>
      </c>
      <c r="P901" s="70">
        <v>255</v>
      </c>
      <c r="Q901" s="71">
        <v>46146</v>
      </c>
      <c r="R901" s="6">
        <v>46146</v>
      </c>
      <c r="S901" s="64">
        <v>39468</v>
      </c>
      <c r="T901" s="22">
        <v>5</v>
      </c>
      <c r="U901" s="64">
        <f t="shared" si="174"/>
        <v>1973.4</v>
      </c>
      <c r="V901" s="22">
        <v>0</v>
      </c>
      <c r="W901" s="22">
        <v>892792</v>
      </c>
      <c r="X901" s="62" t="s">
        <v>315</v>
      </c>
      <c r="Y901" s="62">
        <v>58165045551</v>
      </c>
      <c r="Z901" s="62" t="s">
        <v>1112</v>
      </c>
      <c r="AA901" s="65">
        <v>-80</v>
      </c>
      <c r="AB901" s="66"/>
      <c r="AC901" s="1" t="s">
        <v>34</v>
      </c>
      <c r="AD901" s="62" t="str">
        <f>VLOOKUP(X901,'Customer List'!B:C,2,)</f>
        <v>Kolkata</v>
      </c>
      <c r="AE901" s="67"/>
      <c r="AF901" s="6">
        <v>46147</v>
      </c>
      <c r="AG901" s="62">
        <f t="shared" si="175"/>
        <v>1</v>
      </c>
      <c r="AH901" s="62" t="str">
        <f t="shared" si="176"/>
        <v>Monday</v>
      </c>
      <c r="AI901" s="62" t="str">
        <f t="shared" si="178"/>
        <v>Tuesday</v>
      </c>
      <c r="AJ901" s="62" t="str">
        <f>VLOOKUP(AC901,'Currency Sheet'!A:C,3,)</f>
        <v>DOLLAR</v>
      </c>
      <c r="AK901" s="62" t="str">
        <f>VLOOKUP(X901,'Customer List'!B:D,3,)</f>
        <v>OutStation</v>
      </c>
    </row>
    <row r="902" spans="1:37" hidden="1" x14ac:dyDescent="0.25">
      <c r="A902" s="62">
        <f t="shared" si="177"/>
        <v>887</v>
      </c>
      <c r="B902" s="62" t="s">
        <v>34</v>
      </c>
      <c r="C902" s="62" t="s">
        <v>2270</v>
      </c>
      <c r="D902" s="6">
        <v>46136</v>
      </c>
      <c r="E902" s="6">
        <v>46146</v>
      </c>
      <c r="F902" s="63">
        <v>324.5</v>
      </c>
      <c r="G902" s="64">
        <f t="shared" si="171"/>
        <v>28556</v>
      </c>
      <c r="H902" s="64">
        <f t="shared" si="172"/>
        <v>142780</v>
      </c>
      <c r="I902" s="70">
        <v>50061</v>
      </c>
      <c r="J902" s="62" t="s">
        <v>2265</v>
      </c>
      <c r="K902" s="8" t="s">
        <v>2266</v>
      </c>
      <c r="L902" s="10">
        <v>46363</v>
      </c>
      <c r="M902" s="62">
        <v>5</v>
      </c>
      <c r="N902" s="8">
        <v>5</v>
      </c>
      <c r="O902" s="62">
        <f t="shared" si="173"/>
        <v>0</v>
      </c>
      <c r="P902" s="70">
        <v>255</v>
      </c>
      <c r="Q902" s="71">
        <v>46146</v>
      </c>
      <c r="R902" s="6">
        <v>46146</v>
      </c>
      <c r="S902" s="64">
        <v>253110</v>
      </c>
      <c r="T902" s="22">
        <v>5</v>
      </c>
      <c r="U902" s="64">
        <f t="shared" si="174"/>
        <v>12655.5</v>
      </c>
      <c r="V902" s="22">
        <v>0</v>
      </c>
      <c r="W902" s="22">
        <v>892792</v>
      </c>
      <c r="X902" s="62" t="s">
        <v>315</v>
      </c>
      <c r="Y902" s="62">
        <v>58165045551</v>
      </c>
      <c r="Z902" s="62" t="s">
        <v>1112</v>
      </c>
      <c r="AA902" s="65">
        <v>-80</v>
      </c>
      <c r="AB902" s="66"/>
      <c r="AC902" s="1" t="s">
        <v>34</v>
      </c>
      <c r="AD902" s="62" t="str">
        <f>VLOOKUP(X902,'Customer List'!B:C,2,)</f>
        <v>Kolkata</v>
      </c>
      <c r="AE902" s="67"/>
      <c r="AF902" s="6">
        <v>46147</v>
      </c>
      <c r="AG902" s="62">
        <f t="shared" si="175"/>
        <v>1</v>
      </c>
      <c r="AH902" s="62" t="str">
        <f t="shared" si="176"/>
        <v>Wednesday</v>
      </c>
      <c r="AI902" s="62" t="str">
        <f t="shared" si="178"/>
        <v>Tuesday</v>
      </c>
      <c r="AJ902" s="62" t="str">
        <f>VLOOKUP(AC902,'Currency Sheet'!A:C,3,)</f>
        <v>DOLLAR</v>
      </c>
      <c r="AK902" s="62" t="str">
        <f>VLOOKUP(X902,'Customer List'!B:D,3,)</f>
        <v>OutStation</v>
      </c>
    </row>
    <row r="903" spans="1:37" hidden="1" x14ac:dyDescent="0.25">
      <c r="A903" s="62">
        <f t="shared" si="177"/>
        <v>888</v>
      </c>
      <c r="B903" s="62" t="s">
        <v>34</v>
      </c>
      <c r="C903" s="62" t="s">
        <v>2270</v>
      </c>
      <c r="D903" s="6">
        <v>46136</v>
      </c>
      <c r="E903" s="6">
        <v>46146</v>
      </c>
      <c r="F903" s="63">
        <v>343.75</v>
      </c>
      <c r="G903" s="64">
        <f t="shared" si="171"/>
        <v>30250</v>
      </c>
      <c r="H903" s="64">
        <f t="shared" si="172"/>
        <v>302500</v>
      </c>
      <c r="I903" s="70" t="s">
        <v>2267</v>
      </c>
      <c r="J903" s="62" t="s">
        <v>2268</v>
      </c>
      <c r="K903" s="8" t="s">
        <v>2266</v>
      </c>
      <c r="L903" s="10">
        <v>46363</v>
      </c>
      <c r="M903" s="62">
        <v>10</v>
      </c>
      <c r="N903" s="8">
        <v>10</v>
      </c>
      <c r="O903" s="62">
        <f t="shared" si="173"/>
        <v>0</v>
      </c>
      <c r="P903" s="70">
        <v>255</v>
      </c>
      <c r="Q903" s="71">
        <v>46146</v>
      </c>
      <c r="R903" s="6">
        <v>46146</v>
      </c>
      <c r="S903" s="64">
        <v>536250</v>
      </c>
      <c r="T903" s="22">
        <v>5</v>
      </c>
      <c r="U903" s="64">
        <f t="shared" si="174"/>
        <v>26812.5</v>
      </c>
      <c r="V903" s="22">
        <v>0</v>
      </c>
      <c r="W903" s="22">
        <v>892792</v>
      </c>
      <c r="X903" s="62" t="s">
        <v>315</v>
      </c>
      <c r="Y903" s="62">
        <v>58165045551</v>
      </c>
      <c r="Z903" s="62" t="s">
        <v>1112</v>
      </c>
      <c r="AA903" s="65">
        <v>-80</v>
      </c>
      <c r="AB903" s="66"/>
      <c r="AC903" s="1" t="s">
        <v>34</v>
      </c>
      <c r="AD903" s="62" t="str">
        <f>VLOOKUP(X903,'Customer List'!B:C,2,)</f>
        <v>Kolkata</v>
      </c>
      <c r="AE903" s="67"/>
      <c r="AF903" s="6">
        <v>46147</v>
      </c>
      <c r="AG903" s="62">
        <f t="shared" si="175"/>
        <v>1</v>
      </c>
      <c r="AH903" s="62" t="str">
        <f t="shared" si="176"/>
        <v>Sunday</v>
      </c>
      <c r="AI903" s="62" t="str">
        <f t="shared" si="178"/>
        <v>Tuesday</v>
      </c>
      <c r="AJ903" s="62" t="str">
        <f>VLOOKUP(AC903,'Currency Sheet'!A:C,3,)</f>
        <v>DOLLAR</v>
      </c>
      <c r="AK903" s="62" t="str">
        <f>VLOOKUP(X903,'Customer List'!B:D,3,)</f>
        <v>OutStation</v>
      </c>
    </row>
    <row r="904" spans="1:37" hidden="1" x14ac:dyDescent="0.25">
      <c r="A904" s="62">
        <f t="shared" si="177"/>
        <v>889</v>
      </c>
      <c r="B904" s="62" t="s">
        <v>1663</v>
      </c>
      <c r="C904" s="62" t="s">
        <v>2271</v>
      </c>
      <c r="D904" s="6">
        <v>46142</v>
      </c>
      <c r="E904" s="6">
        <v>46146</v>
      </c>
      <c r="F904" s="63">
        <v>189</v>
      </c>
      <c r="G904" s="64">
        <f t="shared" si="171"/>
        <v>16632</v>
      </c>
      <c r="H904" s="64">
        <f t="shared" si="172"/>
        <v>16632</v>
      </c>
      <c r="I904" s="70" t="s">
        <v>2272</v>
      </c>
      <c r="J904" s="62"/>
      <c r="K904" s="8"/>
      <c r="L904" s="10"/>
      <c r="M904" s="62">
        <v>1</v>
      </c>
      <c r="N904" s="8">
        <v>1</v>
      </c>
      <c r="O904" s="62">
        <f t="shared" si="173"/>
        <v>0</v>
      </c>
      <c r="P904" s="70">
        <v>262</v>
      </c>
      <c r="Q904" s="71">
        <v>46148</v>
      </c>
      <c r="R904" s="6">
        <v>46148</v>
      </c>
      <c r="S904" s="64">
        <v>31972.5</v>
      </c>
      <c r="T904" s="22">
        <v>5</v>
      </c>
      <c r="U904" s="64">
        <f t="shared" si="174"/>
        <v>1598.625</v>
      </c>
      <c r="V904" s="22">
        <v>-0.12</v>
      </c>
      <c r="W904" s="22">
        <v>33571</v>
      </c>
      <c r="X904" s="62" t="s">
        <v>2280</v>
      </c>
      <c r="Y904" s="62" t="s">
        <v>1105</v>
      </c>
      <c r="Z904" s="62" t="s">
        <v>1843</v>
      </c>
      <c r="AA904" s="65">
        <v>-20</v>
      </c>
      <c r="AB904" s="66"/>
      <c r="AC904" s="1" t="s">
        <v>1663</v>
      </c>
      <c r="AD904" s="62" t="str">
        <f>VLOOKUP(X904,'Customer List'!B:C,2,)</f>
        <v>DELHI</v>
      </c>
      <c r="AE904" s="67"/>
      <c r="AF904" s="6"/>
      <c r="AG904" s="62" t="str">
        <f t="shared" si="175"/>
        <v/>
      </c>
      <c r="AH904" s="62" t="str">
        <f t="shared" si="176"/>
        <v>Tuesday</v>
      </c>
      <c r="AI904" s="62" t="str">
        <f t="shared" si="178"/>
        <v/>
      </c>
      <c r="AJ904" s="62" t="str">
        <f>VLOOKUP(AC904,'Currency Sheet'!A:C,3,)</f>
        <v>DOLLAR</v>
      </c>
      <c r="AK904" s="62" t="str">
        <f>VLOOKUP(X904,'Customer List'!B:D,3,)</f>
        <v>Local</v>
      </c>
    </row>
    <row r="905" spans="1:37" hidden="1" x14ac:dyDescent="0.25">
      <c r="A905" s="62">
        <f t="shared" si="177"/>
        <v>890</v>
      </c>
      <c r="B905" s="62" t="s">
        <v>1663</v>
      </c>
      <c r="C905" s="62" t="s">
        <v>2273</v>
      </c>
      <c r="D905" s="6">
        <v>46142</v>
      </c>
      <c r="E905" s="6">
        <v>46146</v>
      </c>
      <c r="F905" s="63">
        <v>23.4</v>
      </c>
      <c r="G905" s="64">
        <f t="shared" si="171"/>
        <v>2059.1999999999998</v>
      </c>
      <c r="H905" s="64">
        <f t="shared" si="172"/>
        <v>2059.1999999999998</v>
      </c>
      <c r="I905" s="70" t="s">
        <v>2274</v>
      </c>
      <c r="J905" s="62"/>
      <c r="K905" s="8"/>
      <c r="L905" s="10"/>
      <c r="M905" s="62">
        <v>1</v>
      </c>
      <c r="N905" s="8">
        <v>1</v>
      </c>
      <c r="O905" s="62">
        <f t="shared" si="173"/>
        <v>0</v>
      </c>
      <c r="P905" s="70" t="s">
        <v>2295</v>
      </c>
      <c r="Q905" s="71">
        <v>46147</v>
      </c>
      <c r="R905" s="6">
        <v>46147</v>
      </c>
      <c r="S905" s="64">
        <v>0</v>
      </c>
      <c r="T905" s="22">
        <v>5</v>
      </c>
      <c r="U905" s="64">
        <f t="shared" si="174"/>
        <v>0</v>
      </c>
      <c r="V905" s="22">
        <v>0</v>
      </c>
      <c r="W905" s="22">
        <v>0</v>
      </c>
      <c r="X905" s="62" t="s">
        <v>902</v>
      </c>
      <c r="Y905" s="62">
        <v>58165084213</v>
      </c>
      <c r="Z905" s="62" t="s">
        <v>1112</v>
      </c>
      <c r="AA905" s="65">
        <v>-20</v>
      </c>
      <c r="AB905" s="66" t="s">
        <v>2284</v>
      </c>
      <c r="AC905" s="1" t="s">
        <v>1663</v>
      </c>
      <c r="AD905" s="62" t="str">
        <f>VLOOKUP(X905,'Customer List'!B:C,2,)</f>
        <v>Hyderabad</v>
      </c>
      <c r="AE905" s="67"/>
      <c r="AF905" s="6">
        <v>46148</v>
      </c>
      <c r="AG905" s="62">
        <f t="shared" si="175"/>
        <v>1</v>
      </c>
      <c r="AH905" s="62" t="str">
        <f t="shared" si="176"/>
        <v>Saturday</v>
      </c>
      <c r="AI905" s="62" t="str">
        <f t="shared" si="178"/>
        <v>Wednesday</v>
      </c>
      <c r="AJ905" s="62" t="str">
        <f>VLOOKUP(AC905,'Currency Sheet'!A:C,3,)</f>
        <v>DOLLAR</v>
      </c>
      <c r="AK905" s="62" t="str">
        <f>VLOOKUP(X905,'Customer List'!B:D,3,)</f>
        <v>OutStation</v>
      </c>
    </row>
    <row r="906" spans="1:37" hidden="1" x14ac:dyDescent="0.25">
      <c r="A906" s="62">
        <f t="shared" si="177"/>
        <v>891</v>
      </c>
      <c r="B906" s="62" t="s">
        <v>1663</v>
      </c>
      <c r="C906" s="62" t="s">
        <v>2273</v>
      </c>
      <c r="D906" s="6">
        <v>46142</v>
      </c>
      <c r="E906" s="6">
        <v>46146</v>
      </c>
      <c r="F906" s="63">
        <v>102</v>
      </c>
      <c r="G906" s="64">
        <f t="shared" ref="G906:G969" si="179">IF(AJ906="DOLLAR",F906*88,F906)</f>
        <v>8976</v>
      </c>
      <c r="H906" s="64">
        <f t="shared" ref="H906:H969" si="180">G906*M906</f>
        <v>8976</v>
      </c>
      <c r="I906" s="70" t="s">
        <v>2275</v>
      </c>
      <c r="J906" s="62"/>
      <c r="K906" s="8"/>
      <c r="L906" s="10"/>
      <c r="M906" s="62">
        <v>1</v>
      </c>
      <c r="N906" s="8">
        <v>1</v>
      </c>
      <c r="O906" s="62">
        <f t="shared" ref="O906:O969" si="181">M906-N906</f>
        <v>0</v>
      </c>
      <c r="P906" s="70" t="s">
        <v>2295</v>
      </c>
      <c r="Q906" s="71">
        <v>46147</v>
      </c>
      <c r="R906" s="6">
        <v>46147</v>
      </c>
      <c r="S906" s="64">
        <v>0</v>
      </c>
      <c r="T906" s="22">
        <v>5</v>
      </c>
      <c r="U906" s="64">
        <f t="shared" ref="U906:U969" si="182">S906*T906%</f>
        <v>0</v>
      </c>
      <c r="V906" s="22">
        <v>0</v>
      </c>
      <c r="W906" s="22">
        <v>0</v>
      </c>
      <c r="X906" s="62" t="s">
        <v>902</v>
      </c>
      <c r="Y906" s="62">
        <v>58165084213</v>
      </c>
      <c r="Z906" s="62" t="s">
        <v>1112</v>
      </c>
      <c r="AA906" s="65">
        <v>-20</v>
      </c>
      <c r="AB906" s="66" t="s">
        <v>2284</v>
      </c>
      <c r="AC906" s="1" t="s">
        <v>1663</v>
      </c>
      <c r="AD906" s="62" t="str">
        <f>VLOOKUP(X906,'Customer List'!B:C,2,)</f>
        <v>Hyderabad</v>
      </c>
      <c r="AE906" s="67"/>
      <c r="AF906" s="6">
        <v>46148</v>
      </c>
      <c r="AG906" s="62">
        <f t="shared" ref="AG906:AG969" si="183">IF(AF906="", "", AF906-R906)</f>
        <v>1</v>
      </c>
      <c r="AH906" s="62" t="str">
        <f t="shared" ref="AH906:AH969" si="184">IF(S906="", "", TEXT(S906, "dddd"))</f>
        <v>Saturday</v>
      </c>
      <c r="AI906" s="62" t="str">
        <f t="shared" si="178"/>
        <v>Wednesday</v>
      </c>
      <c r="AJ906" s="62" t="str">
        <f>VLOOKUP(AC906,'Currency Sheet'!A:C,3,)</f>
        <v>DOLLAR</v>
      </c>
      <c r="AK906" s="62" t="str">
        <f>VLOOKUP(X906,'Customer List'!B:D,3,)</f>
        <v>OutStation</v>
      </c>
    </row>
    <row r="907" spans="1:37" hidden="1" x14ac:dyDescent="0.25">
      <c r="A907" s="62">
        <f t="shared" si="177"/>
        <v>892</v>
      </c>
      <c r="B907" s="62" t="s">
        <v>1663</v>
      </c>
      <c r="C907" s="62" t="s">
        <v>2273</v>
      </c>
      <c r="D907" s="6">
        <v>46142</v>
      </c>
      <c r="E907" s="6">
        <v>46146</v>
      </c>
      <c r="F907" s="63">
        <v>270.60000000000002</v>
      </c>
      <c r="G907" s="64">
        <f t="shared" si="179"/>
        <v>23812.800000000003</v>
      </c>
      <c r="H907" s="64">
        <f t="shared" si="180"/>
        <v>23812.800000000003</v>
      </c>
      <c r="I907" s="70" t="s">
        <v>2276</v>
      </c>
      <c r="J907" s="62"/>
      <c r="K907" s="8"/>
      <c r="L907" s="10"/>
      <c r="M907" s="62">
        <v>1</v>
      </c>
      <c r="N907" s="8">
        <v>1</v>
      </c>
      <c r="O907" s="62">
        <f t="shared" si="181"/>
        <v>0</v>
      </c>
      <c r="P907" s="70">
        <v>259</v>
      </c>
      <c r="Q907" s="71">
        <v>46147</v>
      </c>
      <c r="R907" s="6">
        <v>46147</v>
      </c>
      <c r="S907" s="64">
        <v>45776.5</v>
      </c>
      <c r="T907" s="22">
        <v>5</v>
      </c>
      <c r="U907" s="64">
        <f t="shared" si="182"/>
        <v>2288.8250000000003</v>
      </c>
      <c r="V907" s="22">
        <v>-0.33</v>
      </c>
      <c r="W907" s="22">
        <v>48065</v>
      </c>
      <c r="X907" s="62" t="s">
        <v>1366</v>
      </c>
      <c r="Y907" s="62">
        <v>58165084434</v>
      </c>
      <c r="Z907" s="62" t="s">
        <v>1112</v>
      </c>
      <c r="AA907" s="65">
        <v>-20</v>
      </c>
      <c r="AB907" s="66"/>
      <c r="AC907" s="1" t="s">
        <v>1663</v>
      </c>
      <c r="AD907" s="62" t="str">
        <f>VLOOKUP(X907,'Customer List'!B:C,2,)</f>
        <v>Lucknow</v>
      </c>
      <c r="AE907" s="67"/>
      <c r="AF907" s="6">
        <v>46149</v>
      </c>
      <c r="AG907" s="62">
        <f t="shared" si="183"/>
        <v>2</v>
      </c>
      <c r="AH907" s="62" t="str">
        <f t="shared" si="184"/>
        <v>Tuesday</v>
      </c>
      <c r="AI907" s="62" t="str">
        <f t="shared" si="178"/>
        <v>Thursday</v>
      </c>
      <c r="AJ907" s="62" t="str">
        <f>VLOOKUP(AC907,'Currency Sheet'!A:C,3,)</f>
        <v>DOLLAR</v>
      </c>
      <c r="AK907" s="62" t="str">
        <f>VLOOKUP(X907,'Customer List'!B:D,3,)</f>
        <v>OutStation</v>
      </c>
    </row>
    <row r="908" spans="1:37" hidden="1" x14ac:dyDescent="0.25">
      <c r="A908" s="62">
        <f t="shared" si="177"/>
        <v>893</v>
      </c>
      <c r="B908" s="62" t="s">
        <v>1663</v>
      </c>
      <c r="C908" s="62" t="s">
        <v>2273</v>
      </c>
      <c r="D908" s="6">
        <v>46142</v>
      </c>
      <c r="E908" s="6">
        <v>46146</v>
      </c>
      <c r="F908" s="63">
        <v>48.6</v>
      </c>
      <c r="G908" s="64">
        <f t="shared" si="179"/>
        <v>4276.8</v>
      </c>
      <c r="H908" s="64">
        <f t="shared" si="180"/>
        <v>4276.8</v>
      </c>
      <c r="I908" s="70" t="s">
        <v>2277</v>
      </c>
      <c r="J908" s="62"/>
      <c r="K908" s="8"/>
      <c r="L908" s="10"/>
      <c r="M908" s="62">
        <v>1</v>
      </c>
      <c r="N908" s="8">
        <v>1</v>
      </c>
      <c r="O908" s="62">
        <f t="shared" si="181"/>
        <v>0</v>
      </c>
      <c r="P908" s="70" t="s">
        <v>2283</v>
      </c>
      <c r="Q908" s="71">
        <v>46147</v>
      </c>
      <c r="R908" s="6">
        <v>46147</v>
      </c>
      <c r="S908" s="64">
        <v>7634.25</v>
      </c>
      <c r="T908" s="22">
        <v>5</v>
      </c>
      <c r="U908" s="64">
        <f t="shared" si="182"/>
        <v>381.71250000000003</v>
      </c>
      <c r="V908" s="22">
        <v>-0.25</v>
      </c>
      <c r="W908" s="22">
        <v>7634</v>
      </c>
      <c r="X908" s="62" t="s">
        <v>1594</v>
      </c>
      <c r="Y908" s="62">
        <v>58165083841</v>
      </c>
      <c r="Z908" s="62" t="s">
        <v>1112</v>
      </c>
      <c r="AA908" s="65">
        <v>-20</v>
      </c>
      <c r="AB908" s="66"/>
      <c r="AC908" s="1" t="s">
        <v>1663</v>
      </c>
      <c r="AD908" s="62" t="str">
        <f>VLOOKUP(X908,'Customer List'!B:C,2,)</f>
        <v>Banglore</v>
      </c>
      <c r="AE908" s="67"/>
      <c r="AF908" s="6">
        <v>46148</v>
      </c>
      <c r="AG908" s="62">
        <f t="shared" si="183"/>
        <v>1</v>
      </c>
      <c r="AH908" s="62" t="str">
        <f t="shared" si="184"/>
        <v>Wednesday</v>
      </c>
      <c r="AI908" s="62" t="str">
        <f t="shared" si="178"/>
        <v>Wednesday</v>
      </c>
      <c r="AJ908" s="62" t="str">
        <f>VLOOKUP(AC908,'Currency Sheet'!A:C,3,)</f>
        <v>DOLLAR</v>
      </c>
      <c r="AK908" s="62" t="str">
        <f>VLOOKUP(X908,'Customer List'!B:D,3,)</f>
        <v>OutStation</v>
      </c>
    </row>
    <row r="909" spans="1:37" hidden="1" x14ac:dyDescent="0.25">
      <c r="A909" s="62">
        <f t="shared" si="177"/>
        <v>894</v>
      </c>
      <c r="B909" s="62" t="s">
        <v>1663</v>
      </c>
      <c r="C909" s="62" t="s">
        <v>2278</v>
      </c>
      <c r="D909" s="6">
        <v>46142</v>
      </c>
      <c r="E909" s="6">
        <v>46146</v>
      </c>
      <c r="F909" s="63">
        <v>17.399999999999999</v>
      </c>
      <c r="G909" s="64">
        <f t="shared" si="179"/>
        <v>1531.1999999999998</v>
      </c>
      <c r="H909" s="64">
        <f t="shared" si="180"/>
        <v>1531.1999999999998</v>
      </c>
      <c r="I909" s="70" t="s">
        <v>2279</v>
      </c>
      <c r="J909" s="62"/>
      <c r="K909" s="8"/>
      <c r="L909" s="10"/>
      <c r="M909" s="62">
        <v>1</v>
      </c>
      <c r="N909" s="8">
        <v>1</v>
      </c>
      <c r="O909" s="62">
        <f t="shared" si="181"/>
        <v>0</v>
      </c>
      <c r="P909" s="70">
        <v>260</v>
      </c>
      <c r="Q909" s="71">
        <v>46147</v>
      </c>
      <c r="R909" s="6">
        <v>46147</v>
      </c>
      <c r="S909" s="64">
        <v>3153.75</v>
      </c>
      <c r="T909" s="22">
        <v>5</v>
      </c>
      <c r="U909" s="64">
        <f t="shared" si="182"/>
        <v>157.6875</v>
      </c>
      <c r="V909" s="22">
        <v>1800</v>
      </c>
      <c r="W909" s="22">
        <v>5201</v>
      </c>
      <c r="X909" s="62" t="s">
        <v>204</v>
      </c>
      <c r="Y909" s="62">
        <v>58165084692</v>
      </c>
      <c r="Z909" s="62" t="s">
        <v>1112</v>
      </c>
      <c r="AA909" s="65">
        <v>-20</v>
      </c>
      <c r="AB909" s="66"/>
      <c r="AC909" s="1" t="s">
        <v>1663</v>
      </c>
      <c r="AD909" s="62" t="str">
        <f>VLOOKUP(X909,'Customer List'!B:C,2,)</f>
        <v>Kerala</v>
      </c>
      <c r="AE909" s="67"/>
      <c r="AF909" s="6"/>
      <c r="AG909" s="62" t="str">
        <f t="shared" si="183"/>
        <v/>
      </c>
      <c r="AH909" s="62" t="str">
        <f t="shared" si="184"/>
        <v>Tuesday</v>
      </c>
      <c r="AI909" s="62" t="str">
        <f t="shared" si="178"/>
        <v/>
      </c>
      <c r="AJ909" s="62" t="str">
        <f>VLOOKUP(AC909,'Currency Sheet'!A:C,3,)</f>
        <v>DOLLAR</v>
      </c>
      <c r="AK909" s="62" t="str">
        <f>VLOOKUP(X909,'Customer List'!B:D,3,)</f>
        <v>OutStation</v>
      </c>
    </row>
    <row r="910" spans="1:37" hidden="1" x14ac:dyDescent="0.25">
      <c r="A910" s="62">
        <f t="shared" si="177"/>
        <v>895</v>
      </c>
      <c r="B910" s="62" t="s">
        <v>2286</v>
      </c>
      <c r="C910" s="62">
        <v>300088734</v>
      </c>
      <c r="D910" s="6">
        <v>46139</v>
      </c>
      <c r="E910" s="6">
        <v>46148</v>
      </c>
      <c r="F910" s="63">
        <v>340</v>
      </c>
      <c r="G910" s="64">
        <f t="shared" si="179"/>
        <v>29920</v>
      </c>
      <c r="H910" s="64">
        <f t="shared" si="180"/>
        <v>29920</v>
      </c>
      <c r="I910" s="70" t="s">
        <v>2287</v>
      </c>
      <c r="J910" s="62"/>
      <c r="K910" s="8"/>
      <c r="L910" s="10"/>
      <c r="M910" s="62">
        <v>1</v>
      </c>
      <c r="N910" s="8">
        <v>1</v>
      </c>
      <c r="O910" s="62">
        <f t="shared" si="181"/>
        <v>0</v>
      </c>
      <c r="P910" s="70" t="s">
        <v>2489</v>
      </c>
      <c r="Q910" s="71">
        <v>46151</v>
      </c>
      <c r="R910" s="6">
        <v>46151</v>
      </c>
      <c r="S910" s="64">
        <v>0</v>
      </c>
      <c r="T910" s="22">
        <v>5</v>
      </c>
      <c r="U910" s="64">
        <f t="shared" si="182"/>
        <v>0</v>
      </c>
      <c r="V910" s="22">
        <v>0</v>
      </c>
      <c r="W910" s="22">
        <v>0</v>
      </c>
      <c r="X910" s="62" t="s">
        <v>902</v>
      </c>
      <c r="Y910" s="62">
        <v>58165287143</v>
      </c>
      <c r="Z910" s="62" t="s">
        <v>1112</v>
      </c>
      <c r="AA910" s="65" t="s">
        <v>2288</v>
      </c>
      <c r="AB910" s="66" t="s">
        <v>2289</v>
      </c>
      <c r="AC910" s="1" t="s">
        <v>209</v>
      </c>
      <c r="AD910" s="62" t="str">
        <f>VLOOKUP(X910,'Customer List'!B:C,2,)</f>
        <v>Hyderabad</v>
      </c>
      <c r="AE910" s="67"/>
      <c r="AF910" s="6">
        <v>46153</v>
      </c>
      <c r="AG910" s="62">
        <f t="shared" si="183"/>
        <v>2</v>
      </c>
      <c r="AH910" s="62" t="str">
        <f t="shared" si="184"/>
        <v>Saturday</v>
      </c>
      <c r="AI910" s="62" t="str">
        <f t="shared" si="178"/>
        <v>Monday</v>
      </c>
      <c r="AJ910" s="62" t="str">
        <f>VLOOKUP(AC910,'Currency Sheet'!A:C,3,)</f>
        <v>DOLLAR</v>
      </c>
      <c r="AK910" s="62" t="str">
        <f>VLOOKUP(X910,'Customer List'!B:D,3,)</f>
        <v>OutStation</v>
      </c>
    </row>
    <row r="911" spans="1:37" hidden="1" x14ac:dyDescent="0.25">
      <c r="A911" s="62">
        <f t="shared" si="177"/>
        <v>896</v>
      </c>
      <c r="B911" s="62" t="s">
        <v>2003</v>
      </c>
      <c r="C911" s="62">
        <v>347154</v>
      </c>
      <c r="D911" s="6">
        <v>46142</v>
      </c>
      <c r="E911" s="6">
        <v>46148</v>
      </c>
      <c r="F911" s="63">
        <v>78</v>
      </c>
      <c r="G911" s="64">
        <f t="shared" si="179"/>
        <v>6864</v>
      </c>
      <c r="H911" s="64">
        <f t="shared" si="180"/>
        <v>13728</v>
      </c>
      <c r="I911" s="70" t="s">
        <v>2292</v>
      </c>
      <c r="J911" s="62"/>
      <c r="K911" s="8" t="s">
        <v>2293</v>
      </c>
      <c r="L911" s="10">
        <v>46507</v>
      </c>
      <c r="M911" s="62">
        <v>2</v>
      </c>
      <c r="N911" s="8">
        <v>2</v>
      </c>
      <c r="O911" s="62">
        <f t="shared" si="181"/>
        <v>0</v>
      </c>
      <c r="P911" s="70" t="s">
        <v>2490</v>
      </c>
      <c r="Q911" s="71">
        <v>46151</v>
      </c>
      <c r="R911" s="6">
        <v>46151</v>
      </c>
      <c r="S911" s="64">
        <v>0</v>
      </c>
      <c r="T911" s="22">
        <v>5</v>
      </c>
      <c r="U911" s="64">
        <f t="shared" si="182"/>
        <v>0</v>
      </c>
      <c r="V911" s="22">
        <v>0</v>
      </c>
      <c r="W911" s="22">
        <v>0</v>
      </c>
      <c r="X911" s="62" t="s">
        <v>2294</v>
      </c>
      <c r="Y911" s="62">
        <v>58165285835</v>
      </c>
      <c r="Z911" s="62" t="s">
        <v>1112</v>
      </c>
      <c r="AA911" s="65">
        <v>4</v>
      </c>
      <c r="AB911" s="66" t="s">
        <v>2491</v>
      </c>
      <c r="AC911" s="1" t="s">
        <v>2003</v>
      </c>
      <c r="AD911" s="62" t="str">
        <f>VLOOKUP(X911,'Customer List'!B:C,2,)</f>
        <v>Banglore</v>
      </c>
      <c r="AE911" s="67"/>
      <c r="AF911" s="6">
        <v>46154</v>
      </c>
      <c r="AG911" s="62">
        <f t="shared" si="183"/>
        <v>3</v>
      </c>
      <c r="AH911" s="62" t="str">
        <f t="shared" si="184"/>
        <v>Saturday</v>
      </c>
      <c r="AI911" s="62" t="str">
        <f t="shared" si="178"/>
        <v>Tuesday</v>
      </c>
      <c r="AJ911" s="62" t="str">
        <f>VLOOKUP(AC911,'Currency Sheet'!A:C,3,)</f>
        <v>DOLLAR</v>
      </c>
      <c r="AK911" s="62" t="str">
        <f>VLOOKUP(X911,'Customer List'!B:D,3,)</f>
        <v>OutStation</v>
      </c>
    </row>
    <row r="912" spans="1:37" hidden="1" x14ac:dyDescent="0.25">
      <c r="A912" s="62">
        <f t="shared" si="177"/>
        <v>897</v>
      </c>
      <c r="B912" s="62" t="s">
        <v>824</v>
      </c>
      <c r="C912" s="62" t="s">
        <v>2296</v>
      </c>
      <c r="D912" s="6">
        <v>46136</v>
      </c>
      <c r="E912" s="6">
        <v>46149</v>
      </c>
      <c r="F912" s="63">
        <v>231.75</v>
      </c>
      <c r="G912" s="64">
        <f t="shared" si="179"/>
        <v>20394</v>
      </c>
      <c r="H912" s="64">
        <f t="shared" si="180"/>
        <v>61182</v>
      </c>
      <c r="I912" s="70">
        <v>100467</v>
      </c>
      <c r="J912" s="62" t="s">
        <v>1675</v>
      </c>
      <c r="K912" s="8" t="s">
        <v>2297</v>
      </c>
      <c r="L912" s="10">
        <v>46976</v>
      </c>
      <c r="M912" s="62">
        <v>3</v>
      </c>
      <c r="N912" s="8">
        <v>3</v>
      </c>
      <c r="O912" s="62">
        <f t="shared" si="181"/>
        <v>0</v>
      </c>
      <c r="P912" s="70">
        <v>269</v>
      </c>
      <c r="Q912" s="71">
        <v>46151</v>
      </c>
      <c r="R912" s="6">
        <v>46151</v>
      </c>
      <c r="S912" s="64">
        <v>86211</v>
      </c>
      <c r="T912" s="22">
        <v>5</v>
      </c>
      <c r="U912" s="64">
        <f t="shared" si="182"/>
        <v>4310.55</v>
      </c>
      <c r="V912" s="22">
        <v>0.5</v>
      </c>
      <c r="W912" s="22">
        <v>444308</v>
      </c>
      <c r="X912" s="62" t="s">
        <v>37</v>
      </c>
      <c r="Y912" s="62">
        <v>58165285673</v>
      </c>
      <c r="Z912" s="62" t="s">
        <v>1112</v>
      </c>
      <c r="AA912" s="65">
        <v>4</v>
      </c>
      <c r="AB912" s="66"/>
      <c r="AC912" s="1" t="s">
        <v>1842</v>
      </c>
      <c r="AD912" s="62" t="str">
        <f>VLOOKUP(X912,'Customer List'!B:C,2,)</f>
        <v>Hyderabad</v>
      </c>
      <c r="AE912" s="67"/>
      <c r="AF912" s="6">
        <v>46153</v>
      </c>
      <c r="AG912" s="62">
        <f t="shared" si="183"/>
        <v>2</v>
      </c>
      <c r="AH912" s="62" t="str">
        <f t="shared" si="184"/>
        <v>Friday</v>
      </c>
      <c r="AI912" s="62" t="str">
        <f t="shared" si="178"/>
        <v>Monday</v>
      </c>
      <c r="AJ912" s="62" t="str">
        <f>VLOOKUP(AC912,'Currency Sheet'!A:C,3,)</f>
        <v>DOLLAR</v>
      </c>
      <c r="AK912" s="62" t="str">
        <f>VLOOKUP(X912,'Customer List'!B:D,3,)</f>
        <v>OutStation</v>
      </c>
    </row>
    <row r="913" spans="1:37" hidden="1" x14ac:dyDescent="0.25">
      <c r="A913" s="62">
        <f t="shared" si="177"/>
        <v>898</v>
      </c>
      <c r="B913" s="62" t="s">
        <v>824</v>
      </c>
      <c r="C913" s="62" t="s">
        <v>2296</v>
      </c>
      <c r="D913" s="6">
        <v>46136</v>
      </c>
      <c r="E913" s="6">
        <v>46149</v>
      </c>
      <c r="F913" s="63">
        <v>226.1</v>
      </c>
      <c r="G913" s="64">
        <f t="shared" si="179"/>
        <v>19896.8</v>
      </c>
      <c r="H913" s="64">
        <f t="shared" si="180"/>
        <v>19896.8</v>
      </c>
      <c r="I913" s="70">
        <v>102604</v>
      </c>
      <c r="J913" s="62" t="s">
        <v>2298</v>
      </c>
      <c r="K913" s="8" t="s">
        <v>2299</v>
      </c>
      <c r="L913" s="10">
        <v>47391</v>
      </c>
      <c r="M913" s="62">
        <v>1</v>
      </c>
      <c r="N913" s="8">
        <v>1</v>
      </c>
      <c r="O913" s="62">
        <f t="shared" si="181"/>
        <v>0</v>
      </c>
      <c r="P913" s="70">
        <v>272</v>
      </c>
      <c r="Q913" s="71">
        <v>46151</v>
      </c>
      <c r="R913" s="6">
        <v>46151</v>
      </c>
      <c r="S913" s="64">
        <v>33915</v>
      </c>
      <c r="T913" s="22">
        <v>5</v>
      </c>
      <c r="U913" s="64">
        <f t="shared" si="182"/>
        <v>1695.75</v>
      </c>
      <c r="V913" s="22">
        <v>0.25</v>
      </c>
      <c r="W913" s="22">
        <v>224359</v>
      </c>
      <c r="X913" s="62" t="s">
        <v>136</v>
      </c>
      <c r="Y913" s="62"/>
      <c r="Z913" s="62"/>
      <c r="AA913" s="65">
        <v>4</v>
      </c>
      <c r="AB913" s="66"/>
      <c r="AC913" s="1" t="s">
        <v>1842</v>
      </c>
      <c r="AD913" s="62" t="str">
        <f>VLOOKUP(X913,'Customer List'!B:C,2,)</f>
        <v>Kolkata</v>
      </c>
      <c r="AE913" s="67"/>
      <c r="AF913" s="6">
        <v>46153</v>
      </c>
      <c r="AG913" s="62">
        <f t="shared" si="183"/>
        <v>2</v>
      </c>
      <c r="AH913" s="62" t="str">
        <f t="shared" si="184"/>
        <v>Saturday</v>
      </c>
      <c r="AI913" s="62" t="str">
        <f t="shared" si="178"/>
        <v>Monday</v>
      </c>
      <c r="AJ913" s="62" t="str">
        <f>VLOOKUP(AC913,'Currency Sheet'!A:C,3,)</f>
        <v>DOLLAR</v>
      </c>
      <c r="AK913" s="62" t="str">
        <f>VLOOKUP(X913,'Customer List'!B:D,3,)</f>
        <v>OutStation</v>
      </c>
    </row>
    <row r="914" spans="1:37" hidden="1" x14ac:dyDescent="0.25">
      <c r="A914" s="62">
        <f t="shared" si="177"/>
        <v>899</v>
      </c>
      <c r="B914" s="62" t="s">
        <v>824</v>
      </c>
      <c r="C914" s="62" t="s">
        <v>2296</v>
      </c>
      <c r="D914" s="6">
        <v>46136</v>
      </c>
      <c r="E914" s="6">
        <v>46149</v>
      </c>
      <c r="F914" s="63">
        <v>73.5</v>
      </c>
      <c r="G914" s="64">
        <f t="shared" si="179"/>
        <v>6468</v>
      </c>
      <c r="H914" s="64">
        <f t="shared" si="180"/>
        <v>6468</v>
      </c>
      <c r="I914" s="70">
        <v>103206</v>
      </c>
      <c r="J914" s="62" t="s">
        <v>2300</v>
      </c>
      <c r="K914" s="8" t="s">
        <v>2301</v>
      </c>
      <c r="L914" s="10">
        <v>48376</v>
      </c>
      <c r="M914" s="62">
        <v>1</v>
      </c>
      <c r="N914" s="8">
        <v>1</v>
      </c>
      <c r="O914" s="62">
        <f t="shared" si="181"/>
        <v>0</v>
      </c>
      <c r="P914" s="70">
        <v>283</v>
      </c>
      <c r="Q914" s="71">
        <v>46151</v>
      </c>
      <c r="R914" s="6">
        <v>46151</v>
      </c>
      <c r="S914" s="64">
        <v>11392.5</v>
      </c>
      <c r="T914" s="22">
        <v>5</v>
      </c>
      <c r="U914" s="64">
        <f t="shared" si="182"/>
        <v>569.625</v>
      </c>
      <c r="V914" s="22">
        <v>0.49</v>
      </c>
      <c r="W914" s="22">
        <v>152660</v>
      </c>
      <c r="X914" s="62" t="s">
        <v>21</v>
      </c>
      <c r="Y914" s="62"/>
      <c r="Z914" s="62"/>
      <c r="AA914" s="65">
        <v>4</v>
      </c>
      <c r="AB914" s="66"/>
      <c r="AC914" s="1" t="s">
        <v>1842</v>
      </c>
      <c r="AD914" s="62" t="str">
        <f>VLOOKUP(X914,'Customer List'!B:C,2,)</f>
        <v>Chandigarh</v>
      </c>
      <c r="AE914" s="67"/>
      <c r="AF914" s="6">
        <v>46153</v>
      </c>
      <c r="AG914" s="62">
        <f t="shared" si="183"/>
        <v>2</v>
      </c>
      <c r="AH914" s="62" t="str">
        <f t="shared" si="184"/>
        <v>Tuesday</v>
      </c>
      <c r="AI914" s="62" t="str">
        <f t="shared" si="178"/>
        <v>Monday</v>
      </c>
      <c r="AJ914" s="62" t="str">
        <f>VLOOKUP(AC914,'Currency Sheet'!A:C,3,)</f>
        <v>DOLLAR</v>
      </c>
      <c r="AK914" s="62" t="str">
        <f>VLOOKUP(X914,'Customer List'!B:D,3,)</f>
        <v>OutStation</v>
      </c>
    </row>
    <row r="915" spans="1:37" hidden="1" x14ac:dyDescent="0.25">
      <c r="A915" s="62">
        <f t="shared" si="177"/>
        <v>900</v>
      </c>
      <c r="B915" s="62" t="s">
        <v>824</v>
      </c>
      <c r="C915" s="62" t="s">
        <v>2296</v>
      </c>
      <c r="D915" s="6">
        <v>46136</v>
      </c>
      <c r="E915" s="6">
        <v>46149</v>
      </c>
      <c r="F915" s="63">
        <v>204.4</v>
      </c>
      <c r="G915" s="64">
        <f t="shared" si="179"/>
        <v>17987.2</v>
      </c>
      <c r="H915" s="64">
        <f t="shared" si="180"/>
        <v>17987.2</v>
      </c>
      <c r="I915" s="70">
        <v>107630</v>
      </c>
      <c r="J915" s="62" t="s">
        <v>2302</v>
      </c>
      <c r="K915" s="8" t="s">
        <v>2303</v>
      </c>
      <c r="L915" s="10">
        <v>46704</v>
      </c>
      <c r="M915" s="62">
        <v>1</v>
      </c>
      <c r="N915" s="8">
        <v>1</v>
      </c>
      <c r="O915" s="62">
        <f t="shared" si="181"/>
        <v>0</v>
      </c>
      <c r="P915" s="70">
        <v>283</v>
      </c>
      <c r="Q915" s="71">
        <v>46151</v>
      </c>
      <c r="R915" s="6">
        <v>46151</v>
      </c>
      <c r="S915" s="64">
        <v>31682</v>
      </c>
      <c r="T915" s="22">
        <v>5</v>
      </c>
      <c r="U915" s="64">
        <f t="shared" si="182"/>
        <v>1584.1000000000001</v>
      </c>
      <c r="V915" s="22">
        <v>0</v>
      </c>
      <c r="W915" s="22">
        <v>152660</v>
      </c>
      <c r="X915" s="62" t="s">
        <v>21</v>
      </c>
      <c r="Y915" s="62"/>
      <c r="Z915" s="62"/>
      <c r="AA915" s="65">
        <v>4</v>
      </c>
      <c r="AB915" s="66"/>
      <c r="AC915" s="1" t="s">
        <v>1842</v>
      </c>
      <c r="AD915" s="62" t="str">
        <f>VLOOKUP(X915,'Customer List'!B:C,2,)</f>
        <v>Chandigarh</v>
      </c>
      <c r="AE915" s="67"/>
      <c r="AF915" s="6">
        <v>46153</v>
      </c>
      <c r="AG915" s="62">
        <f t="shared" si="183"/>
        <v>2</v>
      </c>
      <c r="AH915" s="62" t="str">
        <f t="shared" si="184"/>
        <v>Saturday</v>
      </c>
      <c r="AI915" s="62" t="str">
        <f t="shared" si="178"/>
        <v>Monday</v>
      </c>
      <c r="AJ915" s="62" t="str">
        <f>VLOOKUP(AC915,'Currency Sheet'!A:C,3,)</f>
        <v>DOLLAR</v>
      </c>
      <c r="AK915" s="62" t="str">
        <f>VLOOKUP(X915,'Customer List'!B:D,3,)</f>
        <v>OutStation</v>
      </c>
    </row>
    <row r="916" spans="1:37" hidden="1" x14ac:dyDescent="0.25">
      <c r="A916" s="62">
        <f t="shared" si="177"/>
        <v>901</v>
      </c>
      <c r="B916" s="62" t="s">
        <v>824</v>
      </c>
      <c r="C916" s="62" t="s">
        <v>2296</v>
      </c>
      <c r="D916" s="6">
        <v>46136</v>
      </c>
      <c r="E916" s="6">
        <v>46149</v>
      </c>
      <c r="F916" s="63">
        <v>187.6</v>
      </c>
      <c r="G916" s="64">
        <f t="shared" si="179"/>
        <v>16508.8</v>
      </c>
      <c r="H916" s="64">
        <f t="shared" si="180"/>
        <v>16508.8</v>
      </c>
      <c r="I916" s="70">
        <v>109828</v>
      </c>
      <c r="J916" s="62" t="s">
        <v>2304</v>
      </c>
      <c r="K916" s="8" t="s">
        <v>2305</v>
      </c>
      <c r="L916" s="10">
        <v>47426</v>
      </c>
      <c r="M916" s="62">
        <v>1</v>
      </c>
      <c r="N916" s="8">
        <v>1</v>
      </c>
      <c r="O916" s="62">
        <f t="shared" si="181"/>
        <v>0</v>
      </c>
      <c r="P916" s="70">
        <v>290</v>
      </c>
      <c r="Q916" s="71">
        <v>46153</v>
      </c>
      <c r="R916" s="6">
        <v>46153</v>
      </c>
      <c r="S916" s="64">
        <v>22512</v>
      </c>
      <c r="T916" s="22">
        <v>5</v>
      </c>
      <c r="U916" s="64">
        <f t="shared" si="182"/>
        <v>1125.6000000000001</v>
      </c>
      <c r="V916" s="22">
        <v>0.4</v>
      </c>
      <c r="W916" s="22">
        <v>23638</v>
      </c>
      <c r="X916" s="62" t="s">
        <v>793</v>
      </c>
      <c r="Y916" s="62" t="s">
        <v>1120</v>
      </c>
      <c r="Z916" s="62" t="s">
        <v>1863</v>
      </c>
      <c r="AA916" s="65">
        <v>4</v>
      </c>
      <c r="AB916" s="66"/>
      <c r="AC916" s="1" t="s">
        <v>1842</v>
      </c>
      <c r="AD916" s="62" t="str">
        <f>VLOOKUP(X916,'Customer List'!B:C,2,)</f>
        <v>Delhi</v>
      </c>
      <c r="AE916" s="67"/>
      <c r="AF916" s="6"/>
      <c r="AG916" s="62" t="str">
        <f t="shared" si="183"/>
        <v/>
      </c>
      <c r="AH916" s="62" t="str">
        <f t="shared" si="184"/>
        <v>Saturday</v>
      </c>
      <c r="AI916" s="62" t="str">
        <f t="shared" si="178"/>
        <v/>
      </c>
      <c r="AJ916" s="62" t="str">
        <f>VLOOKUP(AC916,'Currency Sheet'!A:C,3,)</f>
        <v>DOLLAR</v>
      </c>
      <c r="AK916" s="62" t="str">
        <f>VLOOKUP(X916,'Customer List'!B:D,3,)</f>
        <v>Local</v>
      </c>
    </row>
    <row r="917" spans="1:37" hidden="1" x14ac:dyDescent="0.25">
      <c r="A917" s="62">
        <f t="shared" si="177"/>
        <v>902</v>
      </c>
      <c r="B917" s="62" t="s">
        <v>824</v>
      </c>
      <c r="C917" s="62" t="s">
        <v>2296</v>
      </c>
      <c r="D917" s="6">
        <v>46136</v>
      </c>
      <c r="E917" s="6">
        <v>46149</v>
      </c>
      <c r="F917" s="63">
        <v>77</v>
      </c>
      <c r="G917" s="64">
        <f t="shared" si="179"/>
        <v>6776</v>
      </c>
      <c r="H917" s="64">
        <f t="shared" si="180"/>
        <v>6776</v>
      </c>
      <c r="I917" s="70">
        <v>117003</v>
      </c>
      <c r="J917" s="62" t="s">
        <v>2306</v>
      </c>
      <c r="K917" s="8" t="s">
        <v>2307</v>
      </c>
      <c r="L917" s="10">
        <v>46604</v>
      </c>
      <c r="M917" s="62">
        <v>1</v>
      </c>
      <c r="N917" s="8">
        <v>1</v>
      </c>
      <c r="O917" s="62">
        <f t="shared" si="181"/>
        <v>0</v>
      </c>
      <c r="P917" s="70" t="s">
        <v>2495</v>
      </c>
      <c r="Q917" s="71">
        <v>46150</v>
      </c>
      <c r="R917" s="6">
        <v>46150</v>
      </c>
      <c r="S917" s="64">
        <v>0</v>
      </c>
      <c r="T917" s="22">
        <v>5</v>
      </c>
      <c r="U917" s="64">
        <f t="shared" si="182"/>
        <v>0</v>
      </c>
      <c r="V917" s="22">
        <v>0</v>
      </c>
      <c r="W917" s="22">
        <v>0</v>
      </c>
      <c r="X917" s="62" t="s">
        <v>1591</v>
      </c>
      <c r="Y917" s="62" t="s">
        <v>1105</v>
      </c>
      <c r="Z917" s="62" t="s">
        <v>1105</v>
      </c>
      <c r="AA917" s="65">
        <v>4</v>
      </c>
      <c r="AB917" s="66" t="s">
        <v>2188</v>
      </c>
      <c r="AC917" s="1" t="s">
        <v>1842</v>
      </c>
      <c r="AD917" s="62" t="str">
        <f>VLOOKUP(X917,'Customer List'!B:C,2,)</f>
        <v>Noida</v>
      </c>
      <c r="AE917" s="67"/>
      <c r="AF917" s="6"/>
      <c r="AG917" s="62" t="str">
        <f t="shared" si="183"/>
        <v/>
      </c>
      <c r="AH917" s="62" t="str">
        <f t="shared" si="184"/>
        <v>Saturday</v>
      </c>
      <c r="AI917" s="62" t="str">
        <f t="shared" si="178"/>
        <v/>
      </c>
      <c r="AJ917" s="62" t="str">
        <f>VLOOKUP(AC917,'Currency Sheet'!A:C,3,)</f>
        <v>DOLLAR</v>
      </c>
      <c r="AK917" s="62" t="str">
        <f>VLOOKUP(X917,'Customer List'!B:D,3,)</f>
        <v>Local</v>
      </c>
    </row>
    <row r="918" spans="1:37" hidden="1" x14ac:dyDescent="0.25">
      <c r="A918" s="62">
        <f t="shared" si="177"/>
        <v>903</v>
      </c>
      <c r="B918" s="62" t="s">
        <v>824</v>
      </c>
      <c r="C918" s="62" t="s">
        <v>2296</v>
      </c>
      <c r="D918" s="6">
        <v>46136</v>
      </c>
      <c r="E918" s="6">
        <v>46149</v>
      </c>
      <c r="F918" s="63">
        <v>81.2</v>
      </c>
      <c r="G918" s="64">
        <f t="shared" si="179"/>
        <v>7145.6</v>
      </c>
      <c r="H918" s="64">
        <f t="shared" si="180"/>
        <v>7145.6</v>
      </c>
      <c r="I918" s="70">
        <v>117310</v>
      </c>
      <c r="J918" s="62" t="s">
        <v>2308</v>
      </c>
      <c r="K918" s="8" t="s">
        <v>2309</v>
      </c>
      <c r="L918" s="10">
        <v>47925</v>
      </c>
      <c r="M918" s="62">
        <v>1</v>
      </c>
      <c r="N918" s="8">
        <v>1</v>
      </c>
      <c r="O918" s="62">
        <f t="shared" si="181"/>
        <v>0</v>
      </c>
      <c r="P918" s="70" t="s">
        <v>2527</v>
      </c>
      <c r="Q918" s="71">
        <v>46157</v>
      </c>
      <c r="R918" s="6">
        <v>46157</v>
      </c>
      <c r="S918" s="64">
        <v>0</v>
      </c>
      <c r="T918" s="22">
        <v>5</v>
      </c>
      <c r="U918" s="64">
        <f t="shared" si="182"/>
        <v>0</v>
      </c>
      <c r="V918" s="22">
        <v>0</v>
      </c>
      <c r="W918" s="22">
        <v>0</v>
      </c>
      <c r="X918" s="62" t="s">
        <v>1589</v>
      </c>
      <c r="Y918" s="62" t="s">
        <v>1120</v>
      </c>
      <c r="Z918" s="62" t="s">
        <v>1863</v>
      </c>
      <c r="AA918" s="65">
        <v>4</v>
      </c>
      <c r="AB918" s="66" t="s">
        <v>46</v>
      </c>
      <c r="AC918" s="1" t="s">
        <v>1842</v>
      </c>
      <c r="AD918" s="62" t="str">
        <f>VLOOKUP(X918,'Customer List'!B:C,2,)</f>
        <v>Delhi</v>
      </c>
      <c r="AE918" s="67"/>
      <c r="AF918" s="6"/>
      <c r="AG918" s="62" t="str">
        <f t="shared" si="183"/>
        <v/>
      </c>
      <c r="AH918" s="62" t="str">
        <f t="shared" si="184"/>
        <v>Saturday</v>
      </c>
      <c r="AI918" s="62" t="str">
        <f t="shared" si="178"/>
        <v/>
      </c>
      <c r="AJ918" s="62" t="str">
        <f>VLOOKUP(AC918,'Currency Sheet'!A:C,3,)</f>
        <v>DOLLAR</v>
      </c>
      <c r="AK918" s="62" t="str">
        <f>VLOOKUP(X918,'Customer List'!B:D,3,)</f>
        <v>Local</v>
      </c>
    </row>
    <row r="919" spans="1:37" hidden="1" x14ac:dyDescent="0.25">
      <c r="A919" s="62">
        <f t="shared" si="177"/>
        <v>904</v>
      </c>
      <c r="B919" s="62" t="s">
        <v>824</v>
      </c>
      <c r="C919" s="62" t="s">
        <v>2296</v>
      </c>
      <c r="D919" s="6">
        <v>46136</v>
      </c>
      <c r="E919" s="6">
        <v>46149</v>
      </c>
      <c r="F919" s="63">
        <v>202.5</v>
      </c>
      <c r="G919" s="64">
        <f t="shared" si="179"/>
        <v>17820</v>
      </c>
      <c r="H919" s="64">
        <f t="shared" si="180"/>
        <v>17820</v>
      </c>
      <c r="I919" s="70">
        <v>121525</v>
      </c>
      <c r="J919" s="62" t="s">
        <v>2310</v>
      </c>
      <c r="K919" s="8" t="s">
        <v>1485</v>
      </c>
      <c r="L919" s="10">
        <v>46340</v>
      </c>
      <c r="M919" s="62">
        <v>1</v>
      </c>
      <c r="N919" s="8">
        <v>1</v>
      </c>
      <c r="O919" s="62">
        <f t="shared" si="181"/>
        <v>0</v>
      </c>
      <c r="P919" s="70">
        <v>270</v>
      </c>
      <c r="Q919" s="71">
        <v>46151</v>
      </c>
      <c r="R919" s="6">
        <v>46151</v>
      </c>
      <c r="S919" s="64">
        <v>25110</v>
      </c>
      <c r="T919" s="22">
        <v>5</v>
      </c>
      <c r="U919" s="64">
        <f t="shared" si="182"/>
        <v>1255.5</v>
      </c>
      <c r="V919" s="22">
        <v>0.5</v>
      </c>
      <c r="W919" s="22">
        <v>26366</v>
      </c>
      <c r="X919" s="62" t="s">
        <v>1448</v>
      </c>
      <c r="Y919" s="62">
        <v>58165285673</v>
      </c>
      <c r="Z919" s="62" t="s">
        <v>1112</v>
      </c>
      <c r="AA919" s="65">
        <v>4</v>
      </c>
      <c r="AB919" s="66"/>
      <c r="AC919" s="1" t="s">
        <v>1842</v>
      </c>
      <c r="AD919" s="62" t="str">
        <f>VLOOKUP(X919,'Customer List'!B:C,2,)</f>
        <v>Hyderabad</v>
      </c>
      <c r="AE919" s="67"/>
      <c r="AF919" s="6">
        <v>46153</v>
      </c>
      <c r="AG919" s="62">
        <f t="shared" si="183"/>
        <v>2</v>
      </c>
      <c r="AH919" s="62" t="str">
        <f t="shared" si="184"/>
        <v>Sunday</v>
      </c>
      <c r="AI919" s="62" t="str">
        <f t="shared" si="178"/>
        <v>Monday</v>
      </c>
      <c r="AJ919" s="62" t="str">
        <f>VLOOKUP(AC919,'Currency Sheet'!A:C,3,)</f>
        <v>DOLLAR</v>
      </c>
      <c r="AK919" s="62" t="str">
        <f>VLOOKUP(X919,'Customer List'!B:D,3,)</f>
        <v>OutStation</v>
      </c>
    </row>
    <row r="920" spans="1:37" hidden="1" x14ac:dyDescent="0.25">
      <c r="A920" s="62">
        <f t="shared" si="177"/>
        <v>905</v>
      </c>
      <c r="B920" s="62" t="s">
        <v>824</v>
      </c>
      <c r="C920" s="62" t="s">
        <v>2296</v>
      </c>
      <c r="D920" s="6">
        <v>46136</v>
      </c>
      <c r="E920" s="6">
        <v>46149</v>
      </c>
      <c r="F920" s="63">
        <v>250.6</v>
      </c>
      <c r="G920" s="64">
        <f t="shared" si="179"/>
        <v>22052.799999999999</v>
      </c>
      <c r="H920" s="64">
        <f t="shared" si="180"/>
        <v>22052.799999999999</v>
      </c>
      <c r="I920" s="70">
        <v>123128</v>
      </c>
      <c r="J920" s="62" t="s">
        <v>1689</v>
      </c>
      <c r="K920" s="8" t="s">
        <v>2311</v>
      </c>
      <c r="L920" s="10">
        <v>47330</v>
      </c>
      <c r="M920" s="62">
        <v>1</v>
      </c>
      <c r="N920" s="8">
        <v>1</v>
      </c>
      <c r="O920" s="62">
        <f t="shared" si="181"/>
        <v>0</v>
      </c>
      <c r="P920" s="70">
        <v>283</v>
      </c>
      <c r="Q920" s="71">
        <v>46151</v>
      </c>
      <c r="R920" s="6">
        <v>46151</v>
      </c>
      <c r="S920" s="64">
        <v>38843</v>
      </c>
      <c r="T920" s="22">
        <v>5</v>
      </c>
      <c r="U920" s="64">
        <f t="shared" si="182"/>
        <v>1942.15</v>
      </c>
      <c r="V920" s="22">
        <v>0</v>
      </c>
      <c r="W920" s="22">
        <v>152660</v>
      </c>
      <c r="X920" s="62" t="s">
        <v>1991</v>
      </c>
      <c r="Y920" s="62"/>
      <c r="Z920" s="62"/>
      <c r="AA920" s="65">
        <v>4</v>
      </c>
      <c r="AB920" s="66"/>
      <c r="AC920" s="1" t="s">
        <v>1842</v>
      </c>
      <c r="AD920" s="62" t="str">
        <f>VLOOKUP(X920,'Customer List'!B:C,2,)</f>
        <v>Chandigarh</v>
      </c>
      <c r="AE920" s="67"/>
      <c r="AF920" s="6">
        <v>46153</v>
      </c>
      <c r="AG920" s="62">
        <f t="shared" si="183"/>
        <v>2</v>
      </c>
      <c r="AH920" s="62" t="str">
        <f t="shared" si="184"/>
        <v>Saturday</v>
      </c>
      <c r="AI920" s="62" t="str">
        <f t="shared" si="178"/>
        <v>Monday</v>
      </c>
      <c r="AJ920" s="62" t="str">
        <f>VLOOKUP(AC920,'Currency Sheet'!A:C,3,)</f>
        <v>DOLLAR</v>
      </c>
      <c r="AK920" s="62" t="str">
        <f>VLOOKUP(X920,'Customer List'!B:D,3,)</f>
        <v>OutStation</v>
      </c>
    </row>
    <row r="921" spans="1:37" hidden="1" x14ac:dyDescent="0.25">
      <c r="A921" s="62">
        <f t="shared" si="177"/>
        <v>906</v>
      </c>
      <c r="B921" s="62" t="s">
        <v>824</v>
      </c>
      <c r="C921" s="62" t="s">
        <v>2296</v>
      </c>
      <c r="D921" s="6">
        <v>46136</v>
      </c>
      <c r="E921" s="6">
        <v>46149</v>
      </c>
      <c r="F921" s="63">
        <v>259</v>
      </c>
      <c r="G921" s="64">
        <f t="shared" si="179"/>
        <v>22792</v>
      </c>
      <c r="H921" s="64">
        <f t="shared" si="180"/>
        <v>22792</v>
      </c>
      <c r="I921" s="70">
        <v>126406</v>
      </c>
      <c r="J921" s="62" t="s">
        <v>2312</v>
      </c>
      <c r="K921" s="8" t="s">
        <v>2313</v>
      </c>
      <c r="L921" s="10">
        <v>46826</v>
      </c>
      <c r="M921" s="62">
        <v>1</v>
      </c>
      <c r="N921" s="8">
        <v>1</v>
      </c>
      <c r="O921" s="62">
        <f t="shared" si="181"/>
        <v>0</v>
      </c>
      <c r="P921" s="70">
        <v>283</v>
      </c>
      <c r="Q921" s="71">
        <v>46151</v>
      </c>
      <c r="R921" s="6">
        <v>46151</v>
      </c>
      <c r="S921" s="64">
        <v>40145</v>
      </c>
      <c r="T921" s="22">
        <v>5</v>
      </c>
      <c r="U921" s="64">
        <f t="shared" si="182"/>
        <v>2007.25</v>
      </c>
      <c r="V921" s="22">
        <v>0</v>
      </c>
      <c r="W921" s="22">
        <v>152660</v>
      </c>
      <c r="X921" s="62" t="s">
        <v>21</v>
      </c>
      <c r="Y921" s="62"/>
      <c r="Z921" s="62"/>
      <c r="AA921" s="65">
        <v>4</v>
      </c>
      <c r="AB921" s="66"/>
      <c r="AC921" s="1" t="s">
        <v>1842</v>
      </c>
      <c r="AD921" s="62" t="str">
        <f>VLOOKUP(X921,'Customer List'!B:C,2,)</f>
        <v>Chandigarh</v>
      </c>
      <c r="AE921" s="67"/>
      <c r="AF921" s="6">
        <v>46153</v>
      </c>
      <c r="AG921" s="62">
        <f t="shared" si="183"/>
        <v>2</v>
      </c>
      <c r="AH921" s="62" t="str">
        <f t="shared" si="184"/>
        <v>Saturday</v>
      </c>
      <c r="AI921" s="62" t="str">
        <f t="shared" si="178"/>
        <v>Monday</v>
      </c>
      <c r="AJ921" s="62" t="str">
        <f>VLOOKUP(AC921,'Currency Sheet'!A:C,3,)</f>
        <v>DOLLAR</v>
      </c>
      <c r="AK921" s="62" t="str">
        <f>VLOOKUP(X921,'Customer List'!B:D,3,)</f>
        <v>OutStation</v>
      </c>
    </row>
    <row r="922" spans="1:37" hidden="1" x14ac:dyDescent="0.25">
      <c r="A922" s="62">
        <f t="shared" si="177"/>
        <v>907</v>
      </c>
      <c r="B922" s="62" t="s">
        <v>824</v>
      </c>
      <c r="C922" s="62" t="s">
        <v>2296</v>
      </c>
      <c r="D922" s="6">
        <v>46136</v>
      </c>
      <c r="E922" s="6">
        <v>46149</v>
      </c>
      <c r="F922" s="63">
        <v>321.75</v>
      </c>
      <c r="G922" s="64">
        <f t="shared" si="179"/>
        <v>28314</v>
      </c>
      <c r="H922" s="64">
        <f t="shared" si="180"/>
        <v>84942</v>
      </c>
      <c r="I922" s="70">
        <v>126522</v>
      </c>
      <c r="J922" s="62" t="s">
        <v>2314</v>
      </c>
      <c r="K922" s="8" t="s">
        <v>2315</v>
      </c>
      <c r="L922" s="10">
        <v>46844</v>
      </c>
      <c r="M922" s="62">
        <v>3</v>
      </c>
      <c r="N922" s="8">
        <v>3</v>
      </c>
      <c r="O922" s="62">
        <f t="shared" si="181"/>
        <v>0</v>
      </c>
      <c r="P922" s="70">
        <v>269</v>
      </c>
      <c r="Q922" s="71">
        <v>46151</v>
      </c>
      <c r="R922" s="6">
        <v>46151</v>
      </c>
      <c r="S922" s="64">
        <v>119691</v>
      </c>
      <c r="T922" s="22">
        <v>5</v>
      </c>
      <c r="U922" s="64">
        <f t="shared" si="182"/>
        <v>5984.55</v>
      </c>
      <c r="V922" s="22">
        <v>0</v>
      </c>
      <c r="W922" s="22">
        <v>444308</v>
      </c>
      <c r="X922" s="62" t="s">
        <v>37</v>
      </c>
      <c r="Y922" s="62">
        <v>58165285673</v>
      </c>
      <c r="Z922" s="62" t="s">
        <v>1112</v>
      </c>
      <c r="AA922" s="65">
        <v>4</v>
      </c>
      <c r="AB922" s="66"/>
      <c r="AC922" s="1" t="s">
        <v>1842</v>
      </c>
      <c r="AD922" s="62" t="str">
        <f>VLOOKUP(X922,'Customer List'!B:C,2,)</f>
        <v>Hyderabad</v>
      </c>
      <c r="AE922" s="67"/>
      <c r="AF922" s="6">
        <v>46153</v>
      </c>
      <c r="AG922" s="62">
        <f t="shared" si="183"/>
        <v>2</v>
      </c>
      <c r="AH922" s="62" t="str">
        <f t="shared" si="184"/>
        <v>Thursday</v>
      </c>
      <c r="AI922" s="62" t="str">
        <f t="shared" si="178"/>
        <v>Monday</v>
      </c>
      <c r="AJ922" s="62" t="str">
        <f>VLOOKUP(AC922,'Currency Sheet'!A:C,3,)</f>
        <v>DOLLAR</v>
      </c>
      <c r="AK922" s="62" t="str">
        <f>VLOOKUP(X922,'Customer List'!B:D,3,)</f>
        <v>OutStation</v>
      </c>
    </row>
    <row r="923" spans="1:37" hidden="1" x14ac:dyDescent="0.25">
      <c r="A923" s="62">
        <f t="shared" si="177"/>
        <v>908</v>
      </c>
      <c r="B923" s="62" t="s">
        <v>824</v>
      </c>
      <c r="C923" s="62" t="s">
        <v>2296</v>
      </c>
      <c r="D923" s="6">
        <v>46136</v>
      </c>
      <c r="E923" s="6">
        <v>46149</v>
      </c>
      <c r="F923" s="63">
        <v>219</v>
      </c>
      <c r="G923" s="64">
        <f t="shared" si="179"/>
        <v>19272</v>
      </c>
      <c r="H923" s="64">
        <f t="shared" si="180"/>
        <v>154176</v>
      </c>
      <c r="I923" s="70">
        <v>129819</v>
      </c>
      <c r="J923" s="62" t="s">
        <v>2316</v>
      </c>
      <c r="K923" s="8" t="s">
        <v>2317</v>
      </c>
      <c r="L923" s="10">
        <v>47043</v>
      </c>
      <c r="M923" s="62">
        <v>8</v>
      </c>
      <c r="N923" s="8">
        <v>8</v>
      </c>
      <c r="O923" s="62">
        <f t="shared" si="181"/>
        <v>0</v>
      </c>
      <c r="P923" s="70">
        <v>269</v>
      </c>
      <c r="Q923" s="71">
        <v>46151</v>
      </c>
      <c r="R923" s="6">
        <v>46151</v>
      </c>
      <c r="S923" s="64">
        <v>217248</v>
      </c>
      <c r="T923" s="22">
        <v>5</v>
      </c>
      <c r="U923" s="64">
        <f t="shared" si="182"/>
        <v>10862.400000000001</v>
      </c>
      <c r="V923" s="22">
        <v>0</v>
      </c>
      <c r="W923" s="22">
        <v>444308</v>
      </c>
      <c r="X923" s="62" t="s">
        <v>37</v>
      </c>
      <c r="Y923" s="62">
        <v>58165285673</v>
      </c>
      <c r="Z923" s="62" t="s">
        <v>1112</v>
      </c>
      <c r="AA923" s="65">
        <v>4</v>
      </c>
      <c r="AB923" s="66"/>
      <c r="AC923" s="1" t="s">
        <v>1842</v>
      </c>
      <c r="AD923" s="62" t="str">
        <f>VLOOKUP(X923,'Customer List'!B:C,2,)</f>
        <v>Hyderabad</v>
      </c>
      <c r="AE923" s="67"/>
      <c r="AF923" s="6">
        <v>46153</v>
      </c>
      <c r="AG923" s="62">
        <f t="shared" si="183"/>
        <v>2</v>
      </c>
      <c r="AH923" s="62" t="str">
        <f t="shared" si="184"/>
        <v>Tuesday</v>
      </c>
      <c r="AI923" s="62" t="str">
        <f t="shared" si="178"/>
        <v>Monday</v>
      </c>
      <c r="AJ923" s="62" t="str">
        <f>VLOOKUP(AC923,'Currency Sheet'!A:C,3,)</f>
        <v>DOLLAR</v>
      </c>
      <c r="AK923" s="62" t="str">
        <f>VLOOKUP(X923,'Customer List'!B:D,3,)</f>
        <v>OutStation</v>
      </c>
    </row>
    <row r="924" spans="1:37" hidden="1" x14ac:dyDescent="0.25">
      <c r="A924" s="62">
        <f t="shared" si="177"/>
        <v>909</v>
      </c>
      <c r="B924" s="62" t="s">
        <v>824</v>
      </c>
      <c r="C924" s="62" t="s">
        <v>2296</v>
      </c>
      <c r="D924" s="6">
        <v>46136</v>
      </c>
      <c r="E924" s="6">
        <v>46149</v>
      </c>
      <c r="F924" s="63">
        <v>93.8</v>
      </c>
      <c r="G924" s="64">
        <f t="shared" si="179"/>
        <v>8254.4</v>
      </c>
      <c r="H924" s="64">
        <f t="shared" si="180"/>
        <v>8254.4</v>
      </c>
      <c r="I924" s="70">
        <v>137603</v>
      </c>
      <c r="J924" s="62" t="s">
        <v>2318</v>
      </c>
      <c r="K924" s="8" t="s">
        <v>2319</v>
      </c>
      <c r="L924" s="10">
        <v>47812</v>
      </c>
      <c r="M924" s="62">
        <v>1</v>
      </c>
      <c r="N924" s="8">
        <v>1</v>
      </c>
      <c r="O924" s="62">
        <f t="shared" si="181"/>
        <v>0</v>
      </c>
      <c r="P924" s="70">
        <v>272</v>
      </c>
      <c r="Q924" s="71">
        <v>46151</v>
      </c>
      <c r="R924" s="6">
        <v>46151</v>
      </c>
      <c r="S924" s="64">
        <v>14070</v>
      </c>
      <c r="T924" s="22">
        <v>5</v>
      </c>
      <c r="U924" s="64">
        <f t="shared" si="182"/>
        <v>703.5</v>
      </c>
      <c r="V924" s="22">
        <v>0</v>
      </c>
      <c r="W924" s="22">
        <v>224359</v>
      </c>
      <c r="X924" s="62" t="s">
        <v>136</v>
      </c>
      <c r="Y924" s="62">
        <v>58165285441</v>
      </c>
      <c r="Z924" s="62" t="s">
        <v>1112</v>
      </c>
      <c r="AA924" s="65">
        <v>4</v>
      </c>
      <c r="AB924" s="66"/>
      <c r="AC924" s="1" t="s">
        <v>1842</v>
      </c>
      <c r="AD924" s="62" t="str">
        <f>VLOOKUP(X924,'Customer List'!B:C,2,)</f>
        <v>Kolkata</v>
      </c>
      <c r="AE924" s="67"/>
      <c r="AF924" s="6">
        <v>46153</v>
      </c>
      <c r="AG924" s="62">
        <f t="shared" si="183"/>
        <v>2</v>
      </c>
      <c r="AH924" s="62" t="str">
        <f t="shared" si="184"/>
        <v>Saturday</v>
      </c>
      <c r="AI924" s="62" t="str">
        <f t="shared" si="178"/>
        <v>Monday</v>
      </c>
      <c r="AJ924" s="62" t="str">
        <f>VLOOKUP(AC924,'Currency Sheet'!A:C,3,)</f>
        <v>DOLLAR</v>
      </c>
      <c r="AK924" s="62" t="str">
        <f>VLOOKUP(X924,'Customer List'!B:D,3,)</f>
        <v>OutStation</v>
      </c>
    </row>
    <row r="925" spans="1:37" hidden="1" x14ac:dyDescent="0.25">
      <c r="A925" s="62">
        <f t="shared" si="177"/>
        <v>910</v>
      </c>
      <c r="B925" s="62" t="s">
        <v>824</v>
      </c>
      <c r="C925" s="62" t="s">
        <v>2296</v>
      </c>
      <c r="D925" s="6">
        <v>46136</v>
      </c>
      <c r="E925" s="6">
        <v>46149</v>
      </c>
      <c r="F925" s="63">
        <v>150.5</v>
      </c>
      <c r="G925" s="64">
        <f t="shared" si="179"/>
        <v>13244</v>
      </c>
      <c r="H925" s="64">
        <f t="shared" si="180"/>
        <v>13244</v>
      </c>
      <c r="I925" s="70">
        <v>152418</v>
      </c>
      <c r="J925" s="62" t="s">
        <v>2320</v>
      </c>
      <c r="K925" s="8" t="s">
        <v>2321</v>
      </c>
      <c r="L925" s="10">
        <v>47492</v>
      </c>
      <c r="M925" s="62">
        <v>1</v>
      </c>
      <c r="N925" s="8">
        <v>1</v>
      </c>
      <c r="O925" s="62">
        <f t="shared" si="181"/>
        <v>0</v>
      </c>
      <c r="P925" s="70">
        <v>283</v>
      </c>
      <c r="Q925" s="71">
        <v>46151</v>
      </c>
      <c r="R925" s="6">
        <v>46151</v>
      </c>
      <c r="S925" s="64">
        <v>23327.5</v>
      </c>
      <c r="T925" s="22">
        <v>5</v>
      </c>
      <c r="U925" s="64">
        <f t="shared" si="182"/>
        <v>1166.375</v>
      </c>
      <c r="V925" s="22">
        <v>0</v>
      </c>
      <c r="W925" s="22">
        <v>152660</v>
      </c>
      <c r="X925" s="62" t="s">
        <v>21</v>
      </c>
      <c r="Y925" s="62" t="s">
        <v>2484</v>
      </c>
      <c r="Z925" s="62" t="s">
        <v>1112</v>
      </c>
      <c r="AA925" s="65">
        <v>4</v>
      </c>
      <c r="AB925" s="66"/>
      <c r="AC925" s="1" t="s">
        <v>1842</v>
      </c>
      <c r="AD925" s="62" t="str">
        <f>VLOOKUP(X925,'Customer List'!B:C,2,)</f>
        <v>Chandigarh</v>
      </c>
      <c r="AE925" s="67"/>
      <c r="AF925" s="6">
        <v>46153</v>
      </c>
      <c r="AG925" s="62">
        <f t="shared" si="183"/>
        <v>2</v>
      </c>
      <c r="AH925" s="62" t="str">
        <f t="shared" si="184"/>
        <v>Tuesday</v>
      </c>
      <c r="AI925" s="62" t="str">
        <f t="shared" si="178"/>
        <v>Monday</v>
      </c>
      <c r="AJ925" s="62" t="str">
        <f>VLOOKUP(AC925,'Currency Sheet'!A:C,3,)</f>
        <v>DOLLAR</v>
      </c>
      <c r="AK925" s="62" t="str">
        <f>VLOOKUP(X925,'Customer List'!B:D,3,)</f>
        <v>OutStation</v>
      </c>
    </row>
    <row r="926" spans="1:37" hidden="1" x14ac:dyDescent="0.25">
      <c r="A926" s="62">
        <f t="shared" ref="A926:A989" si="185">A925+1</f>
        <v>911</v>
      </c>
      <c r="B926" s="62" t="s">
        <v>824</v>
      </c>
      <c r="C926" s="62" t="s">
        <v>2296</v>
      </c>
      <c r="D926" s="6">
        <v>46136</v>
      </c>
      <c r="E926" s="6">
        <v>46149</v>
      </c>
      <c r="F926" s="63">
        <v>29.4</v>
      </c>
      <c r="G926" s="64">
        <f t="shared" si="179"/>
        <v>2587.1999999999998</v>
      </c>
      <c r="H926" s="64">
        <f t="shared" si="180"/>
        <v>2587.1999999999998</v>
      </c>
      <c r="I926" s="70">
        <v>156507</v>
      </c>
      <c r="J926" s="62" t="s">
        <v>2322</v>
      </c>
      <c r="K926" s="8" t="s">
        <v>2323</v>
      </c>
      <c r="L926" s="10">
        <v>48542</v>
      </c>
      <c r="M926" s="62">
        <v>1</v>
      </c>
      <c r="N926" s="8">
        <v>1</v>
      </c>
      <c r="O926" s="62">
        <f t="shared" si="181"/>
        <v>0</v>
      </c>
      <c r="P926" s="70">
        <v>278</v>
      </c>
      <c r="Q926" s="71">
        <v>46151</v>
      </c>
      <c r="R926" s="6">
        <v>46151</v>
      </c>
      <c r="S926" s="64">
        <v>4426.8</v>
      </c>
      <c r="T926" s="22">
        <v>5</v>
      </c>
      <c r="U926" s="64">
        <f t="shared" si="182"/>
        <v>221.34000000000003</v>
      </c>
      <c r="V926" s="22">
        <v>-0.14000000000000001</v>
      </c>
      <c r="W926" s="22">
        <v>4648</v>
      </c>
      <c r="X926" s="62" t="s">
        <v>1364</v>
      </c>
      <c r="Y926" s="62">
        <v>58165283105</v>
      </c>
      <c r="Z926" s="62" t="s">
        <v>1112</v>
      </c>
      <c r="AA926" s="65">
        <v>4</v>
      </c>
      <c r="AB926" s="66"/>
      <c r="AC926" s="1" t="s">
        <v>1842</v>
      </c>
      <c r="AD926" s="62" t="str">
        <f>VLOOKUP(X926,'Customer List'!B:C,2,)</f>
        <v>Kolkata</v>
      </c>
      <c r="AE926" s="67"/>
      <c r="AF926" s="6">
        <v>46153</v>
      </c>
      <c r="AG926" s="62">
        <f t="shared" si="183"/>
        <v>2</v>
      </c>
      <c r="AH926" s="62" t="str">
        <f t="shared" si="184"/>
        <v>Monday</v>
      </c>
      <c r="AI926" s="62" t="str">
        <f t="shared" si="178"/>
        <v>Monday</v>
      </c>
      <c r="AJ926" s="62" t="str">
        <f>VLOOKUP(AC926,'Currency Sheet'!A:C,3,)</f>
        <v>DOLLAR</v>
      </c>
      <c r="AK926" s="62" t="str">
        <f>VLOOKUP(X926,'Customer List'!B:D,3,)</f>
        <v>OutStation</v>
      </c>
    </row>
    <row r="927" spans="1:37" hidden="1" x14ac:dyDescent="0.25">
      <c r="A927" s="62">
        <f t="shared" si="185"/>
        <v>912</v>
      </c>
      <c r="B927" s="62" t="s">
        <v>824</v>
      </c>
      <c r="C927" s="62" t="s">
        <v>2296</v>
      </c>
      <c r="D927" s="6">
        <v>46136</v>
      </c>
      <c r="E927" s="6">
        <v>46149</v>
      </c>
      <c r="F927" s="63">
        <v>29.4</v>
      </c>
      <c r="G927" s="64">
        <f t="shared" si="179"/>
        <v>2587.1999999999998</v>
      </c>
      <c r="H927" s="64">
        <f t="shared" si="180"/>
        <v>2587.1999999999998</v>
      </c>
      <c r="I927" s="70">
        <v>156507</v>
      </c>
      <c r="J927" s="62" t="s">
        <v>2322</v>
      </c>
      <c r="K927" s="8" t="s">
        <v>2323</v>
      </c>
      <c r="L927" s="10">
        <v>48542</v>
      </c>
      <c r="M927" s="62">
        <v>1</v>
      </c>
      <c r="N927" s="8">
        <v>1</v>
      </c>
      <c r="O927" s="62">
        <f t="shared" si="181"/>
        <v>0</v>
      </c>
      <c r="P927" s="70">
        <v>272</v>
      </c>
      <c r="Q927" s="71">
        <v>46151</v>
      </c>
      <c r="R927" s="6">
        <v>46151</v>
      </c>
      <c r="S927" s="64">
        <v>4410</v>
      </c>
      <c r="T927" s="22">
        <v>5</v>
      </c>
      <c r="U927" s="64">
        <f t="shared" si="182"/>
        <v>220.5</v>
      </c>
      <c r="V927" s="22">
        <v>0</v>
      </c>
      <c r="W927" s="22">
        <v>224359</v>
      </c>
      <c r="X927" s="62" t="s">
        <v>136</v>
      </c>
      <c r="Y927" s="62">
        <v>58165285441</v>
      </c>
      <c r="Z927" s="62" t="s">
        <v>1112</v>
      </c>
      <c r="AA927" s="65">
        <v>4</v>
      </c>
      <c r="AB927" s="66"/>
      <c r="AC927" s="1" t="s">
        <v>1842</v>
      </c>
      <c r="AD927" s="62" t="str">
        <f>VLOOKUP(X927,'Customer List'!B:C,2,)</f>
        <v>Kolkata</v>
      </c>
      <c r="AE927" s="67"/>
      <c r="AF927" s="6">
        <v>46153</v>
      </c>
      <c r="AG927" s="62">
        <f t="shared" si="183"/>
        <v>2</v>
      </c>
      <c r="AH927" s="62" t="str">
        <f t="shared" si="184"/>
        <v>Saturday</v>
      </c>
      <c r="AI927" s="62" t="str">
        <f t="shared" si="178"/>
        <v>Monday</v>
      </c>
      <c r="AJ927" s="62" t="str">
        <f>VLOOKUP(AC927,'Currency Sheet'!A:C,3,)</f>
        <v>DOLLAR</v>
      </c>
      <c r="AK927" s="62" t="str">
        <f>VLOOKUP(X927,'Customer List'!B:D,3,)</f>
        <v>OutStation</v>
      </c>
    </row>
    <row r="928" spans="1:37" hidden="1" x14ac:dyDescent="0.25">
      <c r="A928" s="62">
        <f t="shared" si="185"/>
        <v>913</v>
      </c>
      <c r="B928" s="62" t="s">
        <v>824</v>
      </c>
      <c r="C928" s="62" t="s">
        <v>2296</v>
      </c>
      <c r="D928" s="6">
        <v>46136</v>
      </c>
      <c r="E928" s="6">
        <v>46149</v>
      </c>
      <c r="F928" s="63">
        <v>35</v>
      </c>
      <c r="G928" s="64">
        <f t="shared" si="179"/>
        <v>3080</v>
      </c>
      <c r="H928" s="64">
        <f t="shared" si="180"/>
        <v>3080</v>
      </c>
      <c r="I928" s="70">
        <v>300406</v>
      </c>
      <c r="J928" s="62" t="s">
        <v>1724</v>
      </c>
      <c r="K928" s="8" t="s">
        <v>947</v>
      </c>
      <c r="L928" s="10">
        <v>48348</v>
      </c>
      <c r="M928" s="62">
        <v>1</v>
      </c>
      <c r="N928" s="8">
        <v>1</v>
      </c>
      <c r="O928" s="62">
        <f t="shared" si="181"/>
        <v>0</v>
      </c>
      <c r="P928" s="70" t="s">
        <v>2530</v>
      </c>
      <c r="Q928" s="71">
        <v>46157</v>
      </c>
      <c r="R928" s="6">
        <v>46157</v>
      </c>
      <c r="S928" s="64">
        <v>6975</v>
      </c>
      <c r="T928" s="22">
        <v>5</v>
      </c>
      <c r="U928" s="64">
        <f t="shared" si="182"/>
        <v>348.75</v>
      </c>
      <c r="V928" s="22"/>
      <c r="W928" s="22"/>
      <c r="X928" s="62" t="s">
        <v>792</v>
      </c>
      <c r="Y928" s="62"/>
      <c r="Z928" s="62"/>
      <c r="AA928" s="65">
        <v>4</v>
      </c>
      <c r="AB928" s="66"/>
      <c r="AC928" s="1" t="s">
        <v>1842</v>
      </c>
      <c r="AD928" s="62" t="str">
        <f>VLOOKUP(X928,'Customer List'!B:C,2,)</f>
        <v>Delhi</v>
      </c>
      <c r="AE928" s="67"/>
      <c r="AF928" s="6"/>
      <c r="AG928" s="62" t="str">
        <f t="shared" si="183"/>
        <v/>
      </c>
      <c r="AH928" s="62" t="str">
        <f t="shared" si="184"/>
        <v>Tuesday</v>
      </c>
      <c r="AI928" s="62" t="str">
        <f t="shared" si="178"/>
        <v/>
      </c>
      <c r="AJ928" s="62" t="str">
        <f>VLOOKUP(AC928,'Currency Sheet'!A:C,3,)</f>
        <v>DOLLAR</v>
      </c>
      <c r="AK928" s="62" t="str">
        <f>VLOOKUP(X928,'Customer List'!B:D,3,)</f>
        <v>Local</v>
      </c>
    </row>
    <row r="929" spans="1:37" hidden="1" x14ac:dyDescent="0.25">
      <c r="A929" s="62">
        <f t="shared" si="185"/>
        <v>914</v>
      </c>
      <c r="B929" s="62" t="s">
        <v>824</v>
      </c>
      <c r="C929" s="62" t="s">
        <v>2296</v>
      </c>
      <c r="D929" s="6">
        <v>46136</v>
      </c>
      <c r="E929" s="6">
        <v>46149</v>
      </c>
      <c r="F929" s="63">
        <v>169.4</v>
      </c>
      <c r="G929" s="64">
        <f t="shared" si="179"/>
        <v>14907.2</v>
      </c>
      <c r="H929" s="64">
        <f t="shared" si="180"/>
        <v>29814.400000000001</v>
      </c>
      <c r="I929" s="70">
        <v>302008</v>
      </c>
      <c r="J929" s="62" t="s">
        <v>2324</v>
      </c>
      <c r="K929" s="8" t="s">
        <v>950</v>
      </c>
      <c r="L929" s="10">
        <v>47121</v>
      </c>
      <c r="M929" s="62">
        <v>2</v>
      </c>
      <c r="N929" s="8">
        <v>2</v>
      </c>
      <c r="O929" s="62">
        <f t="shared" si="181"/>
        <v>0</v>
      </c>
      <c r="P929" s="70" t="s">
        <v>2529</v>
      </c>
      <c r="Q929" s="6">
        <v>46157</v>
      </c>
      <c r="R929" s="6">
        <v>46157</v>
      </c>
      <c r="S929" s="64">
        <v>45012</v>
      </c>
      <c r="T929" s="22">
        <v>5</v>
      </c>
      <c r="U929" s="64">
        <f t="shared" si="182"/>
        <v>2250.6</v>
      </c>
      <c r="V929" s="22"/>
      <c r="W929" s="22"/>
      <c r="X929" s="62" t="s">
        <v>792</v>
      </c>
      <c r="Y929" s="62"/>
      <c r="Z929" s="62"/>
      <c r="AA929" s="65">
        <v>4</v>
      </c>
      <c r="AB929" s="66"/>
      <c r="AC929" s="1" t="s">
        <v>1842</v>
      </c>
      <c r="AD929" s="62" t="str">
        <f>VLOOKUP(X929,'Customer List'!B:C,2,)</f>
        <v>Delhi</v>
      </c>
      <c r="AE929" s="67"/>
      <c r="AF929" s="6"/>
      <c r="AG929" s="62" t="str">
        <f t="shared" si="183"/>
        <v/>
      </c>
      <c r="AH929" s="62" t="str">
        <f t="shared" si="184"/>
        <v>Monday</v>
      </c>
      <c r="AI929" s="62" t="str">
        <f t="shared" si="178"/>
        <v/>
      </c>
      <c r="AJ929" s="62" t="str">
        <f>VLOOKUP(AC929,'Currency Sheet'!A:C,3,)</f>
        <v>DOLLAR</v>
      </c>
      <c r="AK929" s="62" t="str">
        <f>VLOOKUP(X929,'Customer List'!B:D,3,)</f>
        <v>Local</v>
      </c>
    </row>
    <row r="930" spans="1:37" hidden="1" x14ac:dyDescent="0.25">
      <c r="A930" s="62">
        <f t="shared" si="185"/>
        <v>915</v>
      </c>
      <c r="B930" s="62" t="s">
        <v>824</v>
      </c>
      <c r="C930" s="62" t="s">
        <v>2296</v>
      </c>
      <c r="D930" s="6">
        <v>46136</v>
      </c>
      <c r="E930" s="6">
        <v>46149</v>
      </c>
      <c r="F930" s="63">
        <v>73.5</v>
      </c>
      <c r="G930" s="64">
        <f t="shared" si="179"/>
        <v>6468</v>
      </c>
      <c r="H930" s="64">
        <f t="shared" si="180"/>
        <v>6468</v>
      </c>
      <c r="I930" s="70">
        <v>302212</v>
      </c>
      <c r="J930" s="62" t="s">
        <v>1706</v>
      </c>
      <c r="K930" s="8" t="s">
        <v>952</v>
      </c>
      <c r="L930" s="10">
        <v>47821</v>
      </c>
      <c r="M930" s="62">
        <v>1</v>
      </c>
      <c r="N930" s="8">
        <v>1</v>
      </c>
      <c r="O930" s="62">
        <f t="shared" si="181"/>
        <v>0</v>
      </c>
      <c r="P930" s="70" t="s">
        <v>2530</v>
      </c>
      <c r="Q930" s="71">
        <v>46157</v>
      </c>
      <c r="R930" s="6">
        <v>46157</v>
      </c>
      <c r="S930" s="64">
        <v>14647.5</v>
      </c>
      <c r="T930" s="22">
        <v>5</v>
      </c>
      <c r="U930" s="64">
        <f t="shared" si="182"/>
        <v>732.375</v>
      </c>
      <c r="V930" s="22"/>
      <c r="W930" s="22"/>
      <c r="X930" s="62" t="s">
        <v>792</v>
      </c>
      <c r="Y930" s="62"/>
      <c r="Z930" s="62"/>
      <c r="AA930" s="65">
        <v>4</v>
      </c>
      <c r="AB930" s="66"/>
      <c r="AC930" s="1" t="s">
        <v>1842</v>
      </c>
      <c r="AD930" s="62" t="str">
        <f>VLOOKUP(X930,'Customer List'!B:C,2,)</f>
        <v>Delhi</v>
      </c>
      <c r="AE930" s="67"/>
      <c r="AF930" s="6"/>
      <c r="AG930" s="62" t="str">
        <f t="shared" si="183"/>
        <v/>
      </c>
      <c r="AH930" s="62" t="str">
        <f t="shared" si="184"/>
        <v>Tuesday</v>
      </c>
      <c r="AI930" s="62" t="str">
        <f t="shared" si="178"/>
        <v/>
      </c>
      <c r="AJ930" s="62" t="str">
        <f>VLOOKUP(AC930,'Currency Sheet'!A:C,3,)</f>
        <v>DOLLAR</v>
      </c>
      <c r="AK930" s="62" t="str">
        <f>VLOOKUP(X930,'Customer List'!B:D,3,)</f>
        <v>Local</v>
      </c>
    </row>
    <row r="931" spans="1:37" hidden="1" x14ac:dyDescent="0.25">
      <c r="A931" s="62">
        <f t="shared" si="185"/>
        <v>916</v>
      </c>
      <c r="B931" s="62" t="s">
        <v>824</v>
      </c>
      <c r="C931" s="62" t="s">
        <v>2296</v>
      </c>
      <c r="D931" s="6">
        <v>46136</v>
      </c>
      <c r="E931" s="6">
        <v>46149</v>
      </c>
      <c r="F931" s="63">
        <v>204.4</v>
      </c>
      <c r="G931" s="64">
        <f t="shared" si="179"/>
        <v>17987.2</v>
      </c>
      <c r="H931" s="64">
        <f t="shared" si="180"/>
        <v>17987.2</v>
      </c>
      <c r="I931" s="70">
        <v>302216</v>
      </c>
      <c r="J931" s="62" t="s">
        <v>1706</v>
      </c>
      <c r="K931" s="8" t="s">
        <v>2325</v>
      </c>
      <c r="L931" s="10">
        <v>47555</v>
      </c>
      <c r="M931" s="62">
        <v>1</v>
      </c>
      <c r="N931" s="8">
        <v>1</v>
      </c>
      <c r="O931" s="62">
        <f t="shared" si="181"/>
        <v>0</v>
      </c>
      <c r="P931" s="70">
        <v>271</v>
      </c>
      <c r="Q931" s="71">
        <v>46151</v>
      </c>
      <c r="R931" s="6">
        <v>46151</v>
      </c>
      <c r="S931" s="64">
        <v>31682</v>
      </c>
      <c r="T931" s="22">
        <v>5</v>
      </c>
      <c r="U931" s="64">
        <f t="shared" si="182"/>
        <v>1584.1000000000001</v>
      </c>
      <c r="V931" s="22">
        <v>0.1</v>
      </c>
      <c r="W931" s="22">
        <v>33266</v>
      </c>
      <c r="X931" s="62" t="s">
        <v>1367</v>
      </c>
      <c r="Y931" s="62">
        <v>58165282490</v>
      </c>
      <c r="Z931" s="62" t="s">
        <v>1112</v>
      </c>
      <c r="AA931" s="65">
        <v>4</v>
      </c>
      <c r="AB931" s="66"/>
      <c r="AC931" s="1" t="s">
        <v>1842</v>
      </c>
      <c r="AD931" s="62" t="str">
        <f>VLOOKUP(X931,'Customer List'!B:C,2,)</f>
        <v>Banglore</v>
      </c>
      <c r="AE931" s="67"/>
      <c r="AF931" s="6">
        <v>46153</v>
      </c>
      <c r="AG931" s="62">
        <f t="shared" si="183"/>
        <v>2</v>
      </c>
      <c r="AH931" s="62" t="str">
        <f t="shared" si="184"/>
        <v>Saturday</v>
      </c>
      <c r="AI931" s="62" t="str">
        <f t="shared" si="178"/>
        <v>Monday</v>
      </c>
      <c r="AJ931" s="62" t="str">
        <f>VLOOKUP(AC931,'Currency Sheet'!A:C,3,)</f>
        <v>DOLLAR</v>
      </c>
      <c r="AK931" s="62" t="str">
        <f>VLOOKUP(X931,'Customer List'!B:D,3,)</f>
        <v>OutStation</v>
      </c>
    </row>
    <row r="932" spans="1:37" hidden="1" x14ac:dyDescent="0.25">
      <c r="A932" s="62">
        <f t="shared" si="185"/>
        <v>917</v>
      </c>
      <c r="B932" s="62" t="s">
        <v>824</v>
      </c>
      <c r="C932" s="62" t="s">
        <v>2296</v>
      </c>
      <c r="D932" s="6">
        <v>46136</v>
      </c>
      <c r="E932" s="6">
        <v>46149</v>
      </c>
      <c r="F932" s="63">
        <v>318</v>
      </c>
      <c r="G932" s="64">
        <f t="shared" si="179"/>
        <v>27984</v>
      </c>
      <c r="H932" s="64">
        <f t="shared" si="180"/>
        <v>139920</v>
      </c>
      <c r="I932" s="70">
        <v>302240</v>
      </c>
      <c r="J932" s="62" t="s">
        <v>1706</v>
      </c>
      <c r="K932" s="8" t="s">
        <v>2326</v>
      </c>
      <c r="L932" s="10">
        <v>47092</v>
      </c>
      <c r="M932" s="62">
        <v>5</v>
      </c>
      <c r="N932" s="8">
        <v>5</v>
      </c>
      <c r="O932" s="62">
        <f t="shared" si="181"/>
        <v>0</v>
      </c>
      <c r="P932" s="70">
        <v>282</v>
      </c>
      <c r="Q932" s="71">
        <v>46151</v>
      </c>
      <c r="R932" s="6">
        <v>46151</v>
      </c>
      <c r="S932" s="64">
        <v>246450</v>
      </c>
      <c r="T932" s="22">
        <v>5</v>
      </c>
      <c r="U932" s="64">
        <f t="shared" si="182"/>
        <v>12322.5</v>
      </c>
      <c r="V932" s="22">
        <v>-0.5</v>
      </c>
      <c r="W932" s="22">
        <v>258772</v>
      </c>
      <c r="X932" s="62" t="s">
        <v>2405</v>
      </c>
      <c r="Y932" s="62">
        <v>58165286034</v>
      </c>
      <c r="Z932" s="62" t="s">
        <v>1112</v>
      </c>
      <c r="AA932" s="65">
        <v>4</v>
      </c>
      <c r="AB932" s="66"/>
      <c r="AC932" s="1" t="s">
        <v>1842</v>
      </c>
      <c r="AD932" s="62" t="str">
        <f>VLOOKUP(X932,'Customer List'!B:C,2,)</f>
        <v>Vishakhapatnam</v>
      </c>
      <c r="AE932" s="67"/>
      <c r="AF932" s="6">
        <v>46155</v>
      </c>
      <c r="AG932" s="62">
        <f t="shared" si="183"/>
        <v>4</v>
      </c>
      <c r="AH932" s="62" t="str">
        <f t="shared" si="184"/>
        <v>Sunday</v>
      </c>
      <c r="AI932" s="62" t="str">
        <f t="shared" si="178"/>
        <v>Wednesday</v>
      </c>
      <c r="AJ932" s="62" t="str">
        <f>VLOOKUP(AC932,'Currency Sheet'!A:C,3,)</f>
        <v>DOLLAR</v>
      </c>
      <c r="AK932" s="62" t="str">
        <f>VLOOKUP(X932,'Customer List'!B:D,3,)</f>
        <v>OutStation</v>
      </c>
    </row>
    <row r="933" spans="1:37" hidden="1" x14ac:dyDescent="0.25">
      <c r="A933" s="62">
        <f t="shared" si="185"/>
        <v>918</v>
      </c>
      <c r="B933" s="62" t="s">
        <v>824</v>
      </c>
      <c r="C933" s="62" t="s">
        <v>2296</v>
      </c>
      <c r="D933" s="6">
        <v>46136</v>
      </c>
      <c r="E933" s="6">
        <v>46149</v>
      </c>
      <c r="F933" s="63">
        <v>326.25</v>
      </c>
      <c r="G933" s="64">
        <f t="shared" si="179"/>
        <v>28710</v>
      </c>
      <c r="H933" s="64">
        <f t="shared" si="180"/>
        <v>86130</v>
      </c>
      <c r="I933" s="70">
        <v>302830</v>
      </c>
      <c r="J933" s="62" t="s">
        <v>2327</v>
      </c>
      <c r="K933" s="8" t="s">
        <v>2328</v>
      </c>
      <c r="L933" s="10">
        <v>47011</v>
      </c>
      <c r="M933" s="62">
        <v>3</v>
      </c>
      <c r="N933" s="8">
        <v>3</v>
      </c>
      <c r="O933" s="62">
        <f t="shared" si="181"/>
        <v>0</v>
      </c>
      <c r="P933" s="70" t="s">
        <v>2529</v>
      </c>
      <c r="Q933" s="6">
        <v>46157</v>
      </c>
      <c r="R933" s="6">
        <v>46157</v>
      </c>
      <c r="S933" s="64">
        <v>141592.5</v>
      </c>
      <c r="T933" s="22">
        <v>5</v>
      </c>
      <c r="U933" s="64">
        <f t="shared" si="182"/>
        <v>7079.625</v>
      </c>
      <c r="V933" s="22"/>
      <c r="W933" s="22"/>
      <c r="X933" s="62" t="s">
        <v>792</v>
      </c>
      <c r="Y933" s="62"/>
      <c r="Z933" s="62"/>
      <c r="AA933" s="65">
        <v>4</v>
      </c>
      <c r="AB933" s="66"/>
      <c r="AC933" s="1" t="s">
        <v>1842</v>
      </c>
      <c r="AD933" s="62" t="str">
        <f>VLOOKUP(X933,'Customer List'!B:C,2,)</f>
        <v>Delhi</v>
      </c>
      <c r="AE933" s="67"/>
      <c r="AF933" s="6"/>
      <c r="AG933" s="62" t="str">
        <f t="shared" si="183"/>
        <v/>
      </c>
      <c r="AH933" s="62" t="str">
        <f t="shared" si="184"/>
        <v>Tuesday</v>
      </c>
      <c r="AI933" s="62" t="str">
        <f t="shared" si="178"/>
        <v/>
      </c>
      <c r="AJ933" s="62" t="str">
        <f>VLOOKUP(AC933,'Currency Sheet'!A:C,3,)</f>
        <v>DOLLAR</v>
      </c>
      <c r="AK933" s="62" t="str">
        <f>VLOOKUP(X933,'Customer List'!B:D,3,)</f>
        <v>Local</v>
      </c>
    </row>
    <row r="934" spans="1:37" hidden="1" x14ac:dyDescent="0.25">
      <c r="A934" s="62">
        <f t="shared" si="185"/>
        <v>919</v>
      </c>
      <c r="B934" s="62" t="s">
        <v>824</v>
      </c>
      <c r="C934" s="62" t="s">
        <v>2296</v>
      </c>
      <c r="D934" s="6">
        <v>46136</v>
      </c>
      <c r="E934" s="6">
        <v>46149</v>
      </c>
      <c r="F934" s="63">
        <v>297</v>
      </c>
      <c r="G934" s="64">
        <f t="shared" si="179"/>
        <v>26136</v>
      </c>
      <c r="H934" s="64">
        <f t="shared" si="180"/>
        <v>26136</v>
      </c>
      <c r="I934" s="70">
        <v>303530</v>
      </c>
      <c r="J934" s="62" t="s">
        <v>2329</v>
      </c>
      <c r="K934" s="8" t="s">
        <v>2330</v>
      </c>
      <c r="L934" s="10">
        <v>46487</v>
      </c>
      <c r="M934" s="62">
        <v>1</v>
      </c>
      <c r="N934" s="8">
        <v>1</v>
      </c>
      <c r="O934" s="62">
        <f t="shared" si="181"/>
        <v>0</v>
      </c>
      <c r="P934" s="70" t="s">
        <v>2530</v>
      </c>
      <c r="Q934" s="71">
        <v>46157</v>
      </c>
      <c r="R934" s="6">
        <v>46157</v>
      </c>
      <c r="S934" s="64">
        <v>55242</v>
      </c>
      <c r="T934" s="22">
        <v>5</v>
      </c>
      <c r="U934" s="64">
        <f t="shared" si="182"/>
        <v>2762.1000000000004</v>
      </c>
      <c r="V934" s="22"/>
      <c r="W934" s="22"/>
      <c r="X934" s="62" t="s">
        <v>792</v>
      </c>
      <c r="Y934" s="62"/>
      <c r="Z934" s="62"/>
      <c r="AA934" s="65">
        <v>4</v>
      </c>
      <c r="AB934" s="66"/>
      <c r="AC934" s="1" t="s">
        <v>1842</v>
      </c>
      <c r="AD934" s="62" t="str">
        <f>VLOOKUP(X934,'Customer List'!B:C,2,)</f>
        <v>Delhi</v>
      </c>
      <c r="AE934" s="67"/>
      <c r="AF934" s="6"/>
      <c r="AG934" s="62" t="str">
        <f t="shared" si="183"/>
        <v/>
      </c>
      <c r="AH934" s="62" t="str">
        <f t="shared" si="184"/>
        <v>Thursday</v>
      </c>
      <c r="AI934" s="62" t="str">
        <f t="shared" si="178"/>
        <v/>
      </c>
      <c r="AJ934" s="62" t="str">
        <f>VLOOKUP(AC934,'Currency Sheet'!A:C,3,)</f>
        <v>DOLLAR</v>
      </c>
      <c r="AK934" s="62" t="str">
        <f>VLOOKUP(X934,'Customer List'!B:D,3,)</f>
        <v>Local</v>
      </c>
    </row>
    <row r="935" spans="1:37" hidden="1" x14ac:dyDescent="0.25">
      <c r="A935" s="62">
        <f t="shared" si="185"/>
        <v>920</v>
      </c>
      <c r="B935" s="62" t="s">
        <v>824</v>
      </c>
      <c r="C935" s="62" t="s">
        <v>2296</v>
      </c>
      <c r="D935" s="6">
        <v>46136</v>
      </c>
      <c r="E935" s="6">
        <v>46149</v>
      </c>
      <c r="F935" s="63">
        <v>304.5</v>
      </c>
      <c r="G935" s="64">
        <f t="shared" si="179"/>
        <v>26796</v>
      </c>
      <c r="H935" s="64">
        <f t="shared" si="180"/>
        <v>26796</v>
      </c>
      <c r="I935" s="70">
        <v>304834</v>
      </c>
      <c r="J935" s="62" t="s">
        <v>2331</v>
      </c>
      <c r="K935" s="8" t="s">
        <v>2332</v>
      </c>
      <c r="L935" s="10">
        <v>46710</v>
      </c>
      <c r="M935" s="62">
        <v>1</v>
      </c>
      <c r="N935" s="8">
        <v>1</v>
      </c>
      <c r="O935" s="62">
        <f t="shared" si="181"/>
        <v>0</v>
      </c>
      <c r="P935" s="70">
        <v>310</v>
      </c>
      <c r="Q935" s="71">
        <v>46157</v>
      </c>
      <c r="R935" s="6">
        <v>46158</v>
      </c>
      <c r="S935" s="64">
        <v>47197.5</v>
      </c>
      <c r="T935" s="22">
        <v>5</v>
      </c>
      <c r="U935" s="64">
        <f t="shared" si="182"/>
        <v>2359.875</v>
      </c>
      <c r="V935" s="22">
        <v>1800</v>
      </c>
      <c r="W935" s="22">
        <v>161060</v>
      </c>
      <c r="X935" s="62" t="s">
        <v>334</v>
      </c>
      <c r="Y935" s="62">
        <v>58165586463</v>
      </c>
      <c r="Z935" s="62" t="s">
        <v>1112</v>
      </c>
      <c r="AA935" s="65">
        <v>4</v>
      </c>
      <c r="AB935" s="66"/>
      <c r="AC935" s="1" t="s">
        <v>1842</v>
      </c>
      <c r="AD935" s="62" t="str">
        <f>VLOOKUP(X935,'Customer List'!B:C,2,)</f>
        <v>VARANASI</v>
      </c>
      <c r="AE935" s="67"/>
      <c r="AF935" s="6">
        <v>46161</v>
      </c>
      <c r="AG935" s="62">
        <f t="shared" si="183"/>
        <v>3</v>
      </c>
      <c r="AH935" s="62" t="str">
        <f t="shared" si="184"/>
        <v>Tuesday</v>
      </c>
      <c r="AI935" s="62" t="str">
        <f t="shared" si="178"/>
        <v>Tuesday</v>
      </c>
      <c r="AJ935" s="62" t="str">
        <f>VLOOKUP(AC935,'Currency Sheet'!A:C,3,)</f>
        <v>DOLLAR</v>
      </c>
      <c r="AK935" s="62" t="str">
        <f>VLOOKUP(X935,'Customer List'!B:D,3,)</f>
        <v>OutStation</v>
      </c>
    </row>
    <row r="936" spans="1:37" hidden="1" x14ac:dyDescent="0.25">
      <c r="A936" s="62">
        <f t="shared" si="185"/>
        <v>921</v>
      </c>
      <c r="B936" s="62" t="s">
        <v>824</v>
      </c>
      <c r="C936" s="62" t="s">
        <v>2296</v>
      </c>
      <c r="D936" s="6">
        <v>46136</v>
      </c>
      <c r="E936" s="6">
        <v>46149</v>
      </c>
      <c r="F936" s="63">
        <v>226.8</v>
      </c>
      <c r="G936" s="64">
        <f t="shared" si="179"/>
        <v>19958.400000000001</v>
      </c>
      <c r="H936" s="64">
        <f t="shared" si="180"/>
        <v>19958.400000000001</v>
      </c>
      <c r="I936" s="70">
        <v>306510</v>
      </c>
      <c r="J936" s="62" t="s">
        <v>2333</v>
      </c>
      <c r="K936" s="8" t="s">
        <v>2334</v>
      </c>
      <c r="L936" s="10">
        <v>47239</v>
      </c>
      <c r="M936" s="62">
        <v>1</v>
      </c>
      <c r="N936" s="8">
        <v>1</v>
      </c>
      <c r="O936" s="62">
        <f t="shared" si="181"/>
        <v>0</v>
      </c>
      <c r="P936" s="70">
        <v>268</v>
      </c>
      <c r="Q936" s="71">
        <v>46151</v>
      </c>
      <c r="R936" s="6">
        <v>46151</v>
      </c>
      <c r="S936" s="64">
        <v>37665</v>
      </c>
      <c r="T936" s="22">
        <v>5</v>
      </c>
      <c r="U936" s="64">
        <f t="shared" si="182"/>
        <v>1883.25</v>
      </c>
      <c r="V936" s="22">
        <v>0</v>
      </c>
      <c r="W936" s="22">
        <v>72261</v>
      </c>
      <c r="X936" s="62" t="s">
        <v>289</v>
      </c>
      <c r="Y936" s="62">
        <v>58165286174</v>
      </c>
      <c r="Z936" s="62" t="s">
        <v>1112</v>
      </c>
      <c r="AA936" s="65">
        <v>4</v>
      </c>
      <c r="AB936" s="66"/>
      <c r="AC936" s="1" t="s">
        <v>1842</v>
      </c>
      <c r="AD936" s="62" t="str">
        <f>VLOOKUP(X936,'Customer List'!B:C,2,)</f>
        <v>BANGALORE</v>
      </c>
      <c r="AE936" s="67"/>
      <c r="AF936" s="6">
        <v>46153</v>
      </c>
      <c r="AG936" s="62">
        <f t="shared" si="183"/>
        <v>2</v>
      </c>
      <c r="AH936" s="62" t="str">
        <f t="shared" si="184"/>
        <v>Thursday</v>
      </c>
      <c r="AI936" s="62" t="str">
        <f t="shared" si="178"/>
        <v>Monday</v>
      </c>
      <c r="AJ936" s="62" t="str">
        <f>VLOOKUP(AC936,'Currency Sheet'!A:C,3,)</f>
        <v>DOLLAR</v>
      </c>
      <c r="AK936" s="62" t="str">
        <f>VLOOKUP(X936,'Customer List'!B:D,3,)</f>
        <v>OutStation</v>
      </c>
    </row>
    <row r="937" spans="1:37" hidden="1" x14ac:dyDescent="0.25">
      <c r="A937" s="62">
        <f t="shared" si="185"/>
        <v>922</v>
      </c>
      <c r="B937" s="62" t="s">
        <v>824</v>
      </c>
      <c r="C937" s="62" t="s">
        <v>2296</v>
      </c>
      <c r="D937" s="6">
        <v>46136</v>
      </c>
      <c r="E937" s="6">
        <v>46149</v>
      </c>
      <c r="F937" s="63">
        <v>183.4</v>
      </c>
      <c r="G937" s="64">
        <f t="shared" si="179"/>
        <v>16139.2</v>
      </c>
      <c r="H937" s="64">
        <f t="shared" si="180"/>
        <v>16139.2</v>
      </c>
      <c r="I937" s="70">
        <v>311106</v>
      </c>
      <c r="J937" s="62" t="s">
        <v>2335</v>
      </c>
      <c r="K937" s="8" t="s">
        <v>2336</v>
      </c>
      <c r="L937" s="10">
        <v>46643</v>
      </c>
      <c r="M937" s="62">
        <v>1</v>
      </c>
      <c r="N937" s="8">
        <v>1</v>
      </c>
      <c r="O937" s="62">
        <f t="shared" si="181"/>
        <v>0</v>
      </c>
      <c r="P937" s="70" t="s">
        <v>2530</v>
      </c>
      <c r="Q937" s="71">
        <v>46157</v>
      </c>
      <c r="R937" s="6">
        <v>46157</v>
      </c>
      <c r="S937" s="64">
        <v>36549</v>
      </c>
      <c r="T937" s="22">
        <v>5</v>
      </c>
      <c r="U937" s="64">
        <f t="shared" si="182"/>
        <v>1827.45</v>
      </c>
      <c r="V937" s="22"/>
      <c r="W937" s="22"/>
      <c r="X937" s="62" t="s">
        <v>792</v>
      </c>
      <c r="Y937" s="62"/>
      <c r="Z937" s="62"/>
      <c r="AA937" s="65">
        <v>4</v>
      </c>
      <c r="AB937" s="66"/>
      <c r="AC937" s="1" t="s">
        <v>1842</v>
      </c>
      <c r="AD937" s="62" t="str">
        <f>VLOOKUP(X937,'Customer List'!B:C,2,)</f>
        <v>Delhi</v>
      </c>
      <c r="AE937" s="67"/>
      <c r="AF937" s="6"/>
      <c r="AG937" s="62" t="str">
        <f t="shared" si="183"/>
        <v/>
      </c>
      <c r="AH937" s="62" t="str">
        <f t="shared" si="184"/>
        <v>Monday</v>
      </c>
      <c r="AI937" s="62" t="str">
        <f t="shared" si="178"/>
        <v/>
      </c>
      <c r="AJ937" s="62" t="str">
        <f>VLOOKUP(AC937,'Currency Sheet'!A:C,3,)</f>
        <v>DOLLAR</v>
      </c>
      <c r="AK937" s="62" t="str">
        <f>VLOOKUP(X937,'Customer List'!B:D,3,)</f>
        <v>Local</v>
      </c>
    </row>
    <row r="938" spans="1:37" hidden="1" x14ac:dyDescent="0.25">
      <c r="A938" s="62">
        <f t="shared" si="185"/>
        <v>923</v>
      </c>
      <c r="B938" s="62" t="s">
        <v>824</v>
      </c>
      <c r="C938" s="62" t="s">
        <v>2296</v>
      </c>
      <c r="D938" s="6">
        <v>46136</v>
      </c>
      <c r="E938" s="6">
        <v>46149</v>
      </c>
      <c r="F938" s="63">
        <v>98.7</v>
      </c>
      <c r="G938" s="64">
        <f t="shared" si="179"/>
        <v>8685.6</v>
      </c>
      <c r="H938" s="64">
        <f t="shared" si="180"/>
        <v>8685.6</v>
      </c>
      <c r="I938" s="70">
        <v>312109</v>
      </c>
      <c r="J938" s="62" t="s">
        <v>1720</v>
      </c>
      <c r="K938" s="8" t="s">
        <v>2337</v>
      </c>
      <c r="L938" s="10">
        <v>46610</v>
      </c>
      <c r="M938" s="62">
        <v>1</v>
      </c>
      <c r="N938" s="8">
        <v>1</v>
      </c>
      <c r="O938" s="62">
        <f t="shared" si="181"/>
        <v>0</v>
      </c>
      <c r="P938" s="70" t="s">
        <v>2529</v>
      </c>
      <c r="Q938" s="6">
        <v>46157</v>
      </c>
      <c r="R938" s="6">
        <v>46157</v>
      </c>
      <c r="S938" s="64">
        <v>13113</v>
      </c>
      <c r="T938" s="22">
        <v>5</v>
      </c>
      <c r="U938" s="64">
        <f t="shared" si="182"/>
        <v>655.65000000000009</v>
      </c>
      <c r="V938" s="22"/>
      <c r="W938" s="22"/>
      <c r="X938" s="62" t="s">
        <v>792</v>
      </c>
      <c r="Y938" s="62"/>
      <c r="Z938" s="62"/>
      <c r="AA938" s="65">
        <v>4</v>
      </c>
      <c r="AB938" s="66"/>
      <c r="AC938" s="1" t="s">
        <v>1842</v>
      </c>
      <c r="AD938" s="62" t="str">
        <f>VLOOKUP(X938,'Customer List'!B:C,2,)</f>
        <v>Delhi</v>
      </c>
      <c r="AE938" s="67"/>
      <c r="AF938" s="6"/>
      <c r="AG938" s="62" t="str">
        <f t="shared" si="183"/>
        <v/>
      </c>
      <c r="AH938" s="62" t="str">
        <f t="shared" si="184"/>
        <v>Monday</v>
      </c>
      <c r="AI938" s="62" t="str">
        <f t="shared" si="178"/>
        <v/>
      </c>
      <c r="AJ938" s="62" t="str">
        <f>VLOOKUP(AC938,'Currency Sheet'!A:C,3,)</f>
        <v>DOLLAR</v>
      </c>
      <c r="AK938" s="62" t="str">
        <f>VLOOKUP(X938,'Customer List'!B:D,3,)</f>
        <v>Local</v>
      </c>
    </row>
    <row r="939" spans="1:37" hidden="1" x14ac:dyDescent="0.25">
      <c r="A939" s="62">
        <f t="shared" si="185"/>
        <v>924</v>
      </c>
      <c r="B939" s="62" t="s">
        <v>824</v>
      </c>
      <c r="C939" s="62" t="s">
        <v>2296</v>
      </c>
      <c r="D939" s="6">
        <v>46136</v>
      </c>
      <c r="E939" s="6">
        <v>46149</v>
      </c>
      <c r="F939" s="63">
        <v>187.6</v>
      </c>
      <c r="G939" s="64">
        <f t="shared" si="179"/>
        <v>16508.8</v>
      </c>
      <c r="H939" s="64">
        <f t="shared" si="180"/>
        <v>16508.8</v>
      </c>
      <c r="I939" s="70">
        <v>312606</v>
      </c>
      <c r="J939" s="62" t="s">
        <v>2338</v>
      </c>
      <c r="K939" s="8" t="s">
        <v>2339</v>
      </c>
      <c r="L939" s="10">
        <v>46982</v>
      </c>
      <c r="M939" s="62">
        <v>1</v>
      </c>
      <c r="N939" s="8">
        <v>1</v>
      </c>
      <c r="O939" s="62">
        <f t="shared" si="181"/>
        <v>0</v>
      </c>
      <c r="P939" s="70">
        <v>267</v>
      </c>
      <c r="Q939" s="71">
        <v>46151</v>
      </c>
      <c r="R939" s="6">
        <v>46151</v>
      </c>
      <c r="S939" s="64">
        <v>31155</v>
      </c>
      <c r="T939" s="22">
        <v>5</v>
      </c>
      <c r="U939" s="64">
        <f t="shared" si="182"/>
        <v>1557.75</v>
      </c>
      <c r="V939" s="22">
        <v>0.44</v>
      </c>
      <c r="W939" s="22">
        <v>143668</v>
      </c>
      <c r="X939" s="62" t="s">
        <v>289</v>
      </c>
      <c r="Y939" s="62">
        <v>58165286174</v>
      </c>
      <c r="Z939" s="62" t="s">
        <v>1112</v>
      </c>
      <c r="AA939" s="65">
        <v>4</v>
      </c>
      <c r="AB939" s="66"/>
      <c r="AC939" s="1" t="s">
        <v>1842</v>
      </c>
      <c r="AD939" s="62" t="str">
        <f>VLOOKUP(X939,'Customer List'!B:C,2,)</f>
        <v>BANGALORE</v>
      </c>
      <c r="AE939" s="67"/>
      <c r="AF939" s="6">
        <v>46153</v>
      </c>
      <c r="AG939" s="62">
        <f t="shared" si="183"/>
        <v>2</v>
      </c>
      <c r="AH939" s="62" t="str">
        <f t="shared" si="184"/>
        <v>Thursday</v>
      </c>
      <c r="AI939" s="62" t="str">
        <f t="shared" si="178"/>
        <v>Monday</v>
      </c>
      <c r="AJ939" s="62" t="str">
        <f>VLOOKUP(AC939,'Currency Sheet'!A:C,3,)</f>
        <v>DOLLAR</v>
      </c>
      <c r="AK939" s="62" t="str">
        <f>VLOOKUP(X939,'Customer List'!B:D,3,)</f>
        <v>OutStation</v>
      </c>
    </row>
    <row r="940" spans="1:37" hidden="1" x14ac:dyDescent="0.25">
      <c r="A940" s="62">
        <f t="shared" si="185"/>
        <v>925</v>
      </c>
      <c r="B940" s="62" t="s">
        <v>824</v>
      </c>
      <c r="C940" s="62" t="s">
        <v>2296</v>
      </c>
      <c r="D940" s="6">
        <v>46136</v>
      </c>
      <c r="E940" s="6">
        <v>46149</v>
      </c>
      <c r="F940" s="63">
        <v>147.69999999999999</v>
      </c>
      <c r="G940" s="64">
        <f t="shared" si="179"/>
        <v>12997.599999999999</v>
      </c>
      <c r="H940" s="64">
        <f t="shared" si="180"/>
        <v>12997.599999999999</v>
      </c>
      <c r="I940" s="70">
        <v>312706</v>
      </c>
      <c r="J940" s="62" t="s">
        <v>2340</v>
      </c>
      <c r="K940" s="8" t="s">
        <v>2341</v>
      </c>
      <c r="L940" s="10">
        <v>47501</v>
      </c>
      <c r="M940" s="62">
        <v>1</v>
      </c>
      <c r="N940" s="8">
        <v>1</v>
      </c>
      <c r="O940" s="62">
        <f t="shared" si="181"/>
        <v>0</v>
      </c>
      <c r="P940" s="70">
        <v>267</v>
      </c>
      <c r="Q940" s="71">
        <v>46151</v>
      </c>
      <c r="R940" s="6">
        <v>46151</v>
      </c>
      <c r="S940" s="64">
        <v>24528.75</v>
      </c>
      <c r="T940" s="22">
        <v>5</v>
      </c>
      <c r="U940" s="64">
        <f t="shared" si="182"/>
        <v>1226.4375</v>
      </c>
      <c r="V940" s="22">
        <v>0</v>
      </c>
      <c r="W940" s="22">
        <v>143668</v>
      </c>
      <c r="X940" s="62" t="s">
        <v>289</v>
      </c>
      <c r="Y940" s="62">
        <v>58165286174</v>
      </c>
      <c r="Z940" s="62" t="s">
        <v>1112</v>
      </c>
      <c r="AA940" s="65">
        <v>4</v>
      </c>
      <c r="AB940" s="66"/>
      <c r="AC940" s="1" t="s">
        <v>1842</v>
      </c>
      <c r="AD940" s="62" t="str">
        <f>VLOOKUP(X940,'Customer List'!B:C,2,)</f>
        <v>BANGALORE</v>
      </c>
      <c r="AE940" s="67"/>
      <c r="AF940" s="6">
        <v>46153</v>
      </c>
      <c r="AG940" s="62">
        <f t="shared" si="183"/>
        <v>2</v>
      </c>
      <c r="AH940" s="62" t="str">
        <f t="shared" si="184"/>
        <v>Saturday</v>
      </c>
      <c r="AI940" s="62" t="str">
        <f t="shared" si="178"/>
        <v>Monday</v>
      </c>
      <c r="AJ940" s="62" t="str">
        <f>VLOOKUP(AC940,'Currency Sheet'!A:C,3,)</f>
        <v>DOLLAR</v>
      </c>
      <c r="AK940" s="62" t="str">
        <f>VLOOKUP(X940,'Customer List'!B:D,3,)</f>
        <v>OutStation</v>
      </c>
    </row>
    <row r="941" spans="1:37" hidden="1" x14ac:dyDescent="0.25">
      <c r="A941" s="62">
        <f t="shared" si="185"/>
        <v>926</v>
      </c>
      <c r="B941" s="62" t="s">
        <v>824</v>
      </c>
      <c r="C941" s="62" t="s">
        <v>2296</v>
      </c>
      <c r="D941" s="6">
        <v>46136</v>
      </c>
      <c r="E941" s="6">
        <v>46149</v>
      </c>
      <c r="F941" s="63">
        <v>267.39999999999998</v>
      </c>
      <c r="G941" s="64">
        <f t="shared" si="179"/>
        <v>23531.199999999997</v>
      </c>
      <c r="H941" s="64">
        <f t="shared" si="180"/>
        <v>23531.199999999997</v>
      </c>
      <c r="I941" s="70">
        <v>314512</v>
      </c>
      <c r="J941" s="62" t="s">
        <v>2342</v>
      </c>
      <c r="K941" s="8" t="s">
        <v>1243</v>
      </c>
      <c r="L941" s="10">
        <v>47316</v>
      </c>
      <c r="M941" s="62">
        <v>1</v>
      </c>
      <c r="N941" s="8">
        <v>1</v>
      </c>
      <c r="O941" s="62">
        <f t="shared" si="181"/>
        <v>0</v>
      </c>
      <c r="P941" s="70">
        <v>287</v>
      </c>
      <c r="Q941" s="71">
        <v>46151</v>
      </c>
      <c r="R941" s="6">
        <v>46151</v>
      </c>
      <c r="S941" s="64">
        <v>44407.5</v>
      </c>
      <c r="T941" s="22">
        <v>5</v>
      </c>
      <c r="U941" s="64">
        <f t="shared" si="182"/>
        <v>2220.375</v>
      </c>
      <c r="V941" s="22">
        <v>0.12</v>
      </c>
      <c r="W941" s="22">
        <v>46628</v>
      </c>
      <c r="X941" s="62" t="s">
        <v>2406</v>
      </c>
      <c r="Y941" s="62" t="s">
        <v>1120</v>
      </c>
      <c r="Z941" s="62" t="s">
        <v>1116</v>
      </c>
      <c r="AA941" s="65">
        <v>4</v>
      </c>
      <c r="AB941" s="66"/>
      <c r="AC941" s="1" t="s">
        <v>1842</v>
      </c>
      <c r="AD941" s="62" t="str">
        <f>VLOOKUP(X941,'Customer List'!B:C,2,)</f>
        <v>Delhi</v>
      </c>
      <c r="AE941" s="67"/>
      <c r="AF941" s="6"/>
      <c r="AG941" s="62" t="str">
        <f t="shared" si="183"/>
        <v/>
      </c>
      <c r="AH941" s="62" t="str">
        <f t="shared" si="184"/>
        <v>Friday</v>
      </c>
      <c r="AI941" s="62" t="str">
        <f t="shared" si="178"/>
        <v/>
      </c>
      <c r="AJ941" s="62" t="str">
        <f>VLOOKUP(AC941,'Currency Sheet'!A:C,3,)</f>
        <v>DOLLAR</v>
      </c>
      <c r="AK941" s="62" t="str">
        <f>VLOOKUP(X941,'Customer List'!B:D,3,)</f>
        <v>Local</v>
      </c>
    </row>
    <row r="942" spans="1:37" hidden="1" x14ac:dyDescent="0.25">
      <c r="A942" s="62">
        <f t="shared" si="185"/>
        <v>927</v>
      </c>
      <c r="B942" s="62" t="s">
        <v>824</v>
      </c>
      <c r="C942" s="62" t="s">
        <v>2296</v>
      </c>
      <c r="D942" s="6">
        <v>46136</v>
      </c>
      <c r="E942" s="6">
        <v>46149</v>
      </c>
      <c r="F942" s="63">
        <v>131.6</v>
      </c>
      <c r="G942" s="64">
        <f t="shared" si="179"/>
        <v>11580.8</v>
      </c>
      <c r="H942" s="64">
        <f t="shared" si="180"/>
        <v>11580.8</v>
      </c>
      <c r="I942" s="70">
        <v>315204</v>
      </c>
      <c r="J942" s="62" t="s">
        <v>2343</v>
      </c>
      <c r="K942" s="8" t="s">
        <v>2344</v>
      </c>
      <c r="L942" s="10">
        <v>47608</v>
      </c>
      <c r="M942" s="62">
        <v>1</v>
      </c>
      <c r="N942" s="8">
        <v>1</v>
      </c>
      <c r="O942" s="62">
        <f t="shared" si="181"/>
        <v>0</v>
      </c>
      <c r="P942" s="70">
        <v>267</v>
      </c>
      <c r="Q942" s="71">
        <v>46151</v>
      </c>
      <c r="R942" s="6">
        <v>46151</v>
      </c>
      <c r="S942" s="64">
        <v>21855</v>
      </c>
      <c r="T942" s="22">
        <v>5</v>
      </c>
      <c r="U942" s="64">
        <f t="shared" si="182"/>
        <v>1092.75</v>
      </c>
      <c r="V942" s="22">
        <v>0</v>
      </c>
      <c r="W942" s="22">
        <v>143668</v>
      </c>
      <c r="X942" s="62" t="s">
        <v>289</v>
      </c>
      <c r="Y942" s="62">
        <v>58165286174</v>
      </c>
      <c r="Z942" s="62" t="s">
        <v>1112</v>
      </c>
      <c r="AA942" s="65">
        <v>4</v>
      </c>
      <c r="AB942" s="66"/>
      <c r="AC942" s="1" t="s">
        <v>1842</v>
      </c>
      <c r="AD942" s="62" t="str">
        <f>VLOOKUP(X942,'Customer List'!B:C,2,)</f>
        <v>BANGALORE</v>
      </c>
      <c r="AE942" s="67"/>
      <c r="AF942" s="6">
        <v>46153</v>
      </c>
      <c r="AG942" s="62">
        <f t="shared" si="183"/>
        <v>2</v>
      </c>
      <c r="AH942" s="62" t="str">
        <f t="shared" si="184"/>
        <v>Sunday</v>
      </c>
      <c r="AI942" s="62" t="str">
        <f t="shared" si="178"/>
        <v>Monday</v>
      </c>
      <c r="AJ942" s="62" t="str">
        <f>VLOOKUP(AC942,'Currency Sheet'!A:C,3,)</f>
        <v>DOLLAR</v>
      </c>
      <c r="AK942" s="62" t="str">
        <f>VLOOKUP(X942,'Customer List'!B:D,3,)</f>
        <v>OutStation</v>
      </c>
    </row>
    <row r="943" spans="1:37" hidden="1" x14ac:dyDescent="0.25">
      <c r="A943" s="62">
        <f t="shared" si="185"/>
        <v>928</v>
      </c>
      <c r="B943" s="62" t="s">
        <v>824</v>
      </c>
      <c r="C943" s="62" t="s">
        <v>2296</v>
      </c>
      <c r="D943" s="6">
        <v>46136</v>
      </c>
      <c r="E943" s="6">
        <v>46149</v>
      </c>
      <c r="F943" s="63">
        <v>85.4</v>
      </c>
      <c r="G943" s="64">
        <f t="shared" si="179"/>
        <v>7515.2000000000007</v>
      </c>
      <c r="H943" s="64">
        <f t="shared" si="180"/>
        <v>7515.2000000000007</v>
      </c>
      <c r="I943" s="70">
        <v>321105</v>
      </c>
      <c r="J943" s="62" t="s">
        <v>2345</v>
      </c>
      <c r="K943" s="8" t="s">
        <v>2346</v>
      </c>
      <c r="L943" s="10">
        <v>47358</v>
      </c>
      <c r="M943" s="62">
        <v>1</v>
      </c>
      <c r="N943" s="8">
        <v>1</v>
      </c>
      <c r="O943" s="62">
        <f t="shared" si="181"/>
        <v>0</v>
      </c>
      <c r="P943" s="70">
        <v>272</v>
      </c>
      <c r="Q943" s="71">
        <v>46151</v>
      </c>
      <c r="R943" s="6">
        <v>46151</v>
      </c>
      <c r="S943" s="64">
        <v>12810</v>
      </c>
      <c r="T943" s="22">
        <v>5</v>
      </c>
      <c r="U943" s="64">
        <f t="shared" si="182"/>
        <v>640.5</v>
      </c>
      <c r="V943" s="22">
        <v>0</v>
      </c>
      <c r="W943" s="22">
        <v>224359</v>
      </c>
      <c r="X943" s="62" t="s">
        <v>136</v>
      </c>
      <c r="Y943" s="62">
        <v>58165285441</v>
      </c>
      <c r="Z943" s="62" t="s">
        <v>1112</v>
      </c>
      <c r="AA943" s="65">
        <v>4</v>
      </c>
      <c r="AB943" s="66"/>
      <c r="AC943" s="1" t="s">
        <v>1842</v>
      </c>
      <c r="AD943" s="62" t="str">
        <f>VLOOKUP(X943,'Customer List'!B:C,2,)</f>
        <v>Kolkata</v>
      </c>
      <c r="AE943" s="67"/>
      <c r="AF943" s="6">
        <v>46153</v>
      </c>
      <c r="AG943" s="62">
        <f t="shared" si="183"/>
        <v>2</v>
      </c>
      <c r="AH943" s="62" t="str">
        <f t="shared" si="184"/>
        <v>Saturday</v>
      </c>
      <c r="AI943" s="62" t="str">
        <f t="shared" si="178"/>
        <v>Monday</v>
      </c>
      <c r="AJ943" s="62" t="str">
        <f>VLOOKUP(AC943,'Currency Sheet'!A:C,3,)</f>
        <v>DOLLAR</v>
      </c>
      <c r="AK943" s="62" t="str">
        <f>VLOOKUP(X943,'Customer List'!B:D,3,)</f>
        <v>OutStation</v>
      </c>
    </row>
    <row r="944" spans="1:37" hidden="1" x14ac:dyDescent="0.25">
      <c r="A944" s="62">
        <f t="shared" si="185"/>
        <v>929</v>
      </c>
      <c r="B944" s="62" t="s">
        <v>824</v>
      </c>
      <c r="C944" s="62" t="s">
        <v>2296</v>
      </c>
      <c r="D944" s="6">
        <v>46136</v>
      </c>
      <c r="E944" s="6">
        <v>46149</v>
      </c>
      <c r="F944" s="63">
        <v>196.7</v>
      </c>
      <c r="G944" s="64">
        <f t="shared" si="179"/>
        <v>17309.599999999999</v>
      </c>
      <c r="H944" s="64">
        <f t="shared" si="180"/>
        <v>17309.599999999999</v>
      </c>
      <c r="I944" s="70">
        <v>325108</v>
      </c>
      <c r="J944" s="62" t="s">
        <v>2347</v>
      </c>
      <c r="K944" s="8" t="s">
        <v>2348</v>
      </c>
      <c r="L944" s="10">
        <v>46734</v>
      </c>
      <c r="M944" s="62">
        <v>1</v>
      </c>
      <c r="N944" s="8">
        <v>1</v>
      </c>
      <c r="O944" s="62">
        <f t="shared" si="181"/>
        <v>0</v>
      </c>
      <c r="P944" s="70">
        <v>267</v>
      </c>
      <c r="Q944" s="71">
        <v>46151</v>
      </c>
      <c r="R944" s="6">
        <v>46151</v>
      </c>
      <c r="S944" s="64">
        <v>32666.25</v>
      </c>
      <c r="T944" s="22">
        <v>5</v>
      </c>
      <c r="U944" s="64">
        <f t="shared" si="182"/>
        <v>1633.3125</v>
      </c>
      <c r="V944" s="22">
        <v>0</v>
      </c>
      <c r="W944" s="22">
        <v>143668</v>
      </c>
      <c r="X944" s="62" t="s">
        <v>289</v>
      </c>
      <c r="Y944" s="62">
        <v>58165286174</v>
      </c>
      <c r="Z944" s="62" t="s">
        <v>1112</v>
      </c>
      <c r="AA944" s="65">
        <v>4</v>
      </c>
      <c r="AB944" s="66"/>
      <c r="AC944" s="1" t="s">
        <v>1842</v>
      </c>
      <c r="AD944" s="62" t="str">
        <f>VLOOKUP(X944,'Customer List'!B:C,2,)</f>
        <v>BANGALORE</v>
      </c>
      <c r="AE944" s="67"/>
      <c r="AF944" s="6">
        <v>46153</v>
      </c>
      <c r="AG944" s="62">
        <f t="shared" si="183"/>
        <v>2</v>
      </c>
      <c r="AH944" s="62" t="str">
        <f t="shared" si="184"/>
        <v>Wednesday</v>
      </c>
      <c r="AI944" s="62" t="str">
        <f t="shared" si="178"/>
        <v>Monday</v>
      </c>
      <c r="AJ944" s="62" t="str">
        <f>VLOOKUP(AC944,'Currency Sheet'!A:C,3,)</f>
        <v>DOLLAR</v>
      </c>
      <c r="AK944" s="62" t="str">
        <f>VLOOKUP(X944,'Customer List'!B:D,3,)</f>
        <v>OutStation</v>
      </c>
    </row>
    <row r="945" spans="1:37" hidden="1" x14ac:dyDescent="0.25">
      <c r="A945" s="62">
        <f t="shared" si="185"/>
        <v>930</v>
      </c>
      <c r="B945" s="62" t="s">
        <v>824</v>
      </c>
      <c r="C945" s="62" t="s">
        <v>2296</v>
      </c>
      <c r="D945" s="6">
        <v>46136</v>
      </c>
      <c r="E945" s="6">
        <v>46149</v>
      </c>
      <c r="F945" s="63">
        <v>334.5</v>
      </c>
      <c r="G945" s="64">
        <f t="shared" si="179"/>
        <v>29436</v>
      </c>
      <c r="H945" s="64">
        <f t="shared" si="180"/>
        <v>29436</v>
      </c>
      <c r="I945" s="70">
        <v>329930</v>
      </c>
      <c r="J945" s="62" t="s">
        <v>2089</v>
      </c>
      <c r="K945" s="8" t="s">
        <v>2349</v>
      </c>
      <c r="L945" s="10">
        <v>46447</v>
      </c>
      <c r="M945" s="62">
        <v>1</v>
      </c>
      <c r="N945" s="8">
        <v>1</v>
      </c>
      <c r="O945" s="62">
        <f t="shared" si="181"/>
        <v>0</v>
      </c>
      <c r="P945" s="70">
        <v>310</v>
      </c>
      <c r="Q945" s="71">
        <v>46157</v>
      </c>
      <c r="R945" s="6">
        <v>46158</v>
      </c>
      <c r="S945" s="64">
        <v>51847.5</v>
      </c>
      <c r="T945" s="22">
        <v>5</v>
      </c>
      <c r="U945" s="64">
        <f t="shared" si="182"/>
        <v>2592.375</v>
      </c>
      <c r="V945" s="22">
        <v>0</v>
      </c>
      <c r="W945" s="22">
        <v>161060</v>
      </c>
      <c r="X945" s="62" t="s">
        <v>334</v>
      </c>
      <c r="Y945" s="62">
        <v>58165586463</v>
      </c>
      <c r="Z945" s="62" t="s">
        <v>1112</v>
      </c>
      <c r="AA945" s="65">
        <v>4</v>
      </c>
      <c r="AB945" s="66"/>
      <c r="AC945" s="1" t="s">
        <v>1842</v>
      </c>
      <c r="AD945" s="62" t="str">
        <f>VLOOKUP(X945,'Customer List'!B:C,2,)</f>
        <v>VARANASI</v>
      </c>
      <c r="AE945" s="67"/>
      <c r="AF945" s="6">
        <v>46161</v>
      </c>
      <c r="AG945" s="62">
        <f t="shared" si="183"/>
        <v>3</v>
      </c>
      <c r="AH945" s="62" t="str">
        <f t="shared" si="184"/>
        <v>Thursday</v>
      </c>
      <c r="AI945" s="62" t="str">
        <f t="shared" si="178"/>
        <v>Tuesday</v>
      </c>
      <c r="AJ945" s="62" t="str">
        <f>VLOOKUP(AC945,'Currency Sheet'!A:C,3,)</f>
        <v>DOLLAR</v>
      </c>
      <c r="AK945" s="62" t="str">
        <f>VLOOKUP(X945,'Customer List'!B:D,3,)</f>
        <v>OutStation</v>
      </c>
    </row>
    <row r="946" spans="1:37" hidden="1" x14ac:dyDescent="0.25">
      <c r="A946" s="62">
        <f t="shared" si="185"/>
        <v>931</v>
      </c>
      <c r="B946" s="62" t="s">
        <v>824</v>
      </c>
      <c r="C946" s="62" t="s">
        <v>2296</v>
      </c>
      <c r="D946" s="6">
        <v>46136</v>
      </c>
      <c r="E946" s="6">
        <v>46149</v>
      </c>
      <c r="F946" s="63">
        <v>204.4</v>
      </c>
      <c r="G946" s="64">
        <f t="shared" si="179"/>
        <v>17987.2</v>
      </c>
      <c r="H946" s="64">
        <f t="shared" si="180"/>
        <v>35974.400000000001</v>
      </c>
      <c r="I946" s="70">
        <v>331806</v>
      </c>
      <c r="J946" s="62" t="s">
        <v>1741</v>
      </c>
      <c r="K946" s="8" t="s">
        <v>1742</v>
      </c>
      <c r="L946" s="10">
        <v>47213</v>
      </c>
      <c r="M946" s="62">
        <v>2</v>
      </c>
      <c r="N946" s="8">
        <v>2</v>
      </c>
      <c r="O946" s="62">
        <f t="shared" si="181"/>
        <v>0</v>
      </c>
      <c r="P946" s="70" t="s">
        <v>2529</v>
      </c>
      <c r="Q946" s="6">
        <v>46157</v>
      </c>
      <c r="R946" s="6">
        <v>46157</v>
      </c>
      <c r="S946" s="64">
        <v>54312</v>
      </c>
      <c r="T946" s="22">
        <v>5</v>
      </c>
      <c r="U946" s="64">
        <f t="shared" si="182"/>
        <v>2715.6000000000004</v>
      </c>
      <c r="V946" s="22"/>
      <c r="W946" s="22"/>
      <c r="X946" s="62" t="s">
        <v>792</v>
      </c>
      <c r="Y946" s="62"/>
      <c r="Z946" s="62"/>
      <c r="AA946" s="65">
        <v>4</v>
      </c>
      <c r="AB946" s="66"/>
      <c r="AC946" s="1" t="s">
        <v>1842</v>
      </c>
      <c r="AD946" s="62" t="str">
        <f>VLOOKUP(X946,'Customer List'!B:C,2,)</f>
        <v>Delhi</v>
      </c>
      <c r="AE946" s="67"/>
      <c r="AF946" s="6"/>
      <c r="AG946" s="62" t="str">
        <f t="shared" si="183"/>
        <v/>
      </c>
      <c r="AH946" s="62" t="str">
        <f t="shared" si="184"/>
        <v>Friday</v>
      </c>
      <c r="AI946" s="62" t="str">
        <f t="shared" si="178"/>
        <v/>
      </c>
      <c r="AJ946" s="62" t="str">
        <f>VLOOKUP(AC946,'Currency Sheet'!A:C,3,)</f>
        <v>DOLLAR</v>
      </c>
      <c r="AK946" s="62" t="str">
        <f>VLOOKUP(X946,'Customer List'!B:D,3,)</f>
        <v>Local</v>
      </c>
    </row>
    <row r="947" spans="1:37" hidden="1" x14ac:dyDescent="0.25">
      <c r="A947" s="62">
        <f t="shared" si="185"/>
        <v>932</v>
      </c>
      <c r="B947" s="62" t="s">
        <v>824</v>
      </c>
      <c r="C947" s="62" t="s">
        <v>2296</v>
      </c>
      <c r="D947" s="6">
        <v>46136</v>
      </c>
      <c r="E947" s="6">
        <v>46149</v>
      </c>
      <c r="F947" s="63">
        <v>104.3</v>
      </c>
      <c r="G947" s="64">
        <f t="shared" si="179"/>
        <v>9178.4</v>
      </c>
      <c r="H947" s="64">
        <f t="shared" si="180"/>
        <v>9178.4</v>
      </c>
      <c r="I947" s="70">
        <v>331809</v>
      </c>
      <c r="J947" s="62" t="s">
        <v>2350</v>
      </c>
      <c r="K947" s="8" t="s">
        <v>2351</v>
      </c>
      <c r="L947" s="10">
        <v>46678</v>
      </c>
      <c r="M947" s="62">
        <v>1</v>
      </c>
      <c r="N947" s="8">
        <v>1</v>
      </c>
      <c r="O947" s="62">
        <f t="shared" si="181"/>
        <v>0</v>
      </c>
      <c r="P947" s="70">
        <v>360</v>
      </c>
      <c r="Q947" s="71">
        <v>46164</v>
      </c>
      <c r="R947" s="6">
        <v>46165</v>
      </c>
      <c r="S947" s="64">
        <v>16166.5</v>
      </c>
      <c r="T947" s="22">
        <v>5</v>
      </c>
      <c r="U947" s="64">
        <f t="shared" si="182"/>
        <v>808.32500000000005</v>
      </c>
      <c r="V947" s="22">
        <v>0.17</v>
      </c>
      <c r="W947" s="22">
        <v>16975</v>
      </c>
      <c r="X947" s="62" t="s">
        <v>2294</v>
      </c>
      <c r="Y947" s="62">
        <v>58165906551</v>
      </c>
      <c r="Z947" s="62" t="s">
        <v>2894</v>
      </c>
      <c r="AA947" s="65">
        <v>4</v>
      </c>
      <c r="AB947" s="66"/>
      <c r="AC947" s="1" t="s">
        <v>1842</v>
      </c>
      <c r="AD947" s="62" t="str">
        <f>VLOOKUP(X947,'Customer List'!B:C,2,)</f>
        <v>Banglore</v>
      </c>
      <c r="AE947" s="67" t="s">
        <v>1113</v>
      </c>
      <c r="AF947" s="6">
        <v>46167</v>
      </c>
      <c r="AG947" s="62">
        <f t="shared" si="183"/>
        <v>2</v>
      </c>
      <c r="AH947" s="62" t="str">
        <f t="shared" si="184"/>
        <v>Tuesday</v>
      </c>
      <c r="AI947" s="62" t="str">
        <f t="shared" si="178"/>
        <v>Monday</v>
      </c>
      <c r="AJ947" s="62" t="str">
        <f>VLOOKUP(AC947,'Currency Sheet'!A:C,3,)</f>
        <v>DOLLAR</v>
      </c>
      <c r="AK947" s="62" t="str">
        <f>VLOOKUP(X947,'Customer List'!B:D,3,)</f>
        <v>OutStation</v>
      </c>
    </row>
    <row r="948" spans="1:37" hidden="1" x14ac:dyDescent="0.25">
      <c r="A948" s="62">
        <f t="shared" si="185"/>
        <v>933</v>
      </c>
      <c r="B948" s="62" t="s">
        <v>824</v>
      </c>
      <c r="C948" s="62" t="s">
        <v>2296</v>
      </c>
      <c r="D948" s="6">
        <v>46136</v>
      </c>
      <c r="E948" s="6">
        <v>46149</v>
      </c>
      <c r="F948" s="63">
        <v>160.30000000000001</v>
      </c>
      <c r="G948" s="64">
        <f t="shared" si="179"/>
        <v>14106.400000000001</v>
      </c>
      <c r="H948" s="64">
        <f t="shared" si="180"/>
        <v>28212.800000000003</v>
      </c>
      <c r="I948" s="70">
        <v>336706</v>
      </c>
      <c r="J948" s="62" t="s">
        <v>1749</v>
      </c>
      <c r="K948" s="8" t="s">
        <v>1750</v>
      </c>
      <c r="L948" s="10">
        <v>47076</v>
      </c>
      <c r="M948" s="62">
        <v>2</v>
      </c>
      <c r="N948" s="8">
        <v>2</v>
      </c>
      <c r="O948" s="62">
        <f t="shared" si="181"/>
        <v>0</v>
      </c>
      <c r="P948" s="70" t="s">
        <v>2529</v>
      </c>
      <c r="Q948" s="6">
        <v>46157</v>
      </c>
      <c r="R948" s="6">
        <v>46157</v>
      </c>
      <c r="S948" s="64">
        <v>42594</v>
      </c>
      <c r="T948" s="22">
        <v>5</v>
      </c>
      <c r="U948" s="64">
        <f t="shared" si="182"/>
        <v>2129.7000000000003</v>
      </c>
      <c r="V948" s="22"/>
      <c r="W948" s="22"/>
      <c r="X948" s="62" t="s">
        <v>792</v>
      </c>
      <c r="Y948" s="62"/>
      <c r="Z948" s="62"/>
      <c r="AA948" s="65">
        <v>4</v>
      </c>
      <c r="AB948" s="66"/>
      <c r="AC948" s="1" t="s">
        <v>1842</v>
      </c>
      <c r="AD948" s="62" t="str">
        <f>VLOOKUP(X948,'Customer List'!B:C,2,)</f>
        <v>Delhi</v>
      </c>
      <c r="AE948" s="67"/>
      <c r="AF948" s="6"/>
      <c r="AG948" s="62" t="str">
        <f t="shared" si="183"/>
        <v/>
      </c>
      <c r="AH948" s="62" t="str">
        <f t="shared" si="184"/>
        <v>Friday</v>
      </c>
      <c r="AI948" s="62" t="str">
        <f t="shared" si="178"/>
        <v/>
      </c>
      <c r="AJ948" s="62" t="str">
        <f>VLOOKUP(AC948,'Currency Sheet'!A:C,3,)</f>
        <v>DOLLAR</v>
      </c>
      <c r="AK948" s="62" t="str">
        <f>VLOOKUP(X948,'Customer List'!B:D,3,)</f>
        <v>Local</v>
      </c>
    </row>
    <row r="949" spans="1:37" hidden="1" x14ac:dyDescent="0.25">
      <c r="A949" s="62">
        <f t="shared" si="185"/>
        <v>934</v>
      </c>
      <c r="B949" s="62" t="s">
        <v>824</v>
      </c>
      <c r="C949" s="62" t="s">
        <v>2296</v>
      </c>
      <c r="D949" s="6">
        <v>46136</v>
      </c>
      <c r="E949" s="6">
        <v>46149</v>
      </c>
      <c r="F949" s="63">
        <v>160.30000000000001</v>
      </c>
      <c r="G949" s="64">
        <f t="shared" si="179"/>
        <v>14106.400000000001</v>
      </c>
      <c r="H949" s="64">
        <f t="shared" si="180"/>
        <v>14106.400000000001</v>
      </c>
      <c r="I949" s="70">
        <v>339504</v>
      </c>
      <c r="J949" s="62" t="s">
        <v>2352</v>
      </c>
      <c r="K949" s="8" t="s">
        <v>2353</v>
      </c>
      <c r="L949" s="10">
        <v>47450</v>
      </c>
      <c r="M949" s="62">
        <v>1</v>
      </c>
      <c r="N949" s="8">
        <v>1</v>
      </c>
      <c r="O949" s="62">
        <f t="shared" si="181"/>
        <v>0</v>
      </c>
      <c r="P949" s="70">
        <v>267</v>
      </c>
      <c r="Q949" s="71">
        <v>46151</v>
      </c>
      <c r="R949" s="6">
        <v>46151</v>
      </c>
      <c r="S949" s="64">
        <v>26621.25</v>
      </c>
      <c r="T949" s="22">
        <v>5</v>
      </c>
      <c r="U949" s="64">
        <f t="shared" si="182"/>
        <v>1331.0625</v>
      </c>
      <c r="V949" s="22">
        <v>0</v>
      </c>
      <c r="W949" s="22">
        <v>143668</v>
      </c>
      <c r="X949" s="62" t="s">
        <v>289</v>
      </c>
      <c r="Y949" s="62">
        <v>58165286174</v>
      </c>
      <c r="Z949" s="62" t="s">
        <v>1112</v>
      </c>
      <c r="AA949" s="65">
        <v>4</v>
      </c>
      <c r="AB949" s="66"/>
      <c r="AC949" s="1" t="s">
        <v>1842</v>
      </c>
      <c r="AD949" s="62" t="str">
        <f>VLOOKUP(X949,'Customer List'!B:C,2,)</f>
        <v>BANGALORE</v>
      </c>
      <c r="AE949" s="67"/>
      <c r="AF949" s="6">
        <v>46153</v>
      </c>
      <c r="AG949" s="62">
        <f t="shared" si="183"/>
        <v>2</v>
      </c>
      <c r="AH949" s="62" t="str">
        <f t="shared" si="184"/>
        <v>Saturday</v>
      </c>
      <c r="AI949" s="62" t="str">
        <f t="shared" si="178"/>
        <v>Monday</v>
      </c>
      <c r="AJ949" s="62" t="str">
        <f>VLOOKUP(AC949,'Currency Sheet'!A:C,3,)</f>
        <v>DOLLAR</v>
      </c>
      <c r="AK949" s="62" t="str">
        <f>VLOOKUP(X949,'Customer List'!B:D,3,)</f>
        <v>OutStation</v>
      </c>
    </row>
    <row r="950" spans="1:37" hidden="1" x14ac:dyDescent="0.25">
      <c r="A950" s="62">
        <f t="shared" si="185"/>
        <v>935</v>
      </c>
      <c r="B950" s="62" t="s">
        <v>824</v>
      </c>
      <c r="C950" s="62" t="s">
        <v>2296</v>
      </c>
      <c r="D950" s="6">
        <v>46136</v>
      </c>
      <c r="E950" s="6">
        <v>46149</v>
      </c>
      <c r="F950" s="63">
        <v>98.7</v>
      </c>
      <c r="G950" s="64">
        <f t="shared" si="179"/>
        <v>8685.6</v>
      </c>
      <c r="H950" s="64">
        <f t="shared" si="180"/>
        <v>8685.6</v>
      </c>
      <c r="I950" s="70">
        <v>344820</v>
      </c>
      <c r="J950" s="62" t="s">
        <v>2354</v>
      </c>
      <c r="K950" s="8" t="s">
        <v>2355</v>
      </c>
      <c r="L950" s="10">
        <v>47467</v>
      </c>
      <c r="M950" s="62">
        <v>1</v>
      </c>
      <c r="N950" s="8">
        <v>1</v>
      </c>
      <c r="O950" s="62">
        <f t="shared" si="181"/>
        <v>0</v>
      </c>
      <c r="P950" s="70">
        <v>286</v>
      </c>
      <c r="Q950" s="71">
        <v>46151</v>
      </c>
      <c r="R950" s="6">
        <v>46151</v>
      </c>
      <c r="S950" s="64">
        <v>15298</v>
      </c>
      <c r="T950" s="22">
        <v>5</v>
      </c>
      <c r="U950" s="64">
        <f t="shared" si="182"/>
        <v>764.90000000000009</v>
      </c>
      <c r="V950" s="22">
        <v>0.1</v>
      </c>
      <c r="W950" s="22">
        <v>16063</v>
      </c>
      <c r="X950" s="62" t="s">
        <v>1148</v>
      </c>
      <c r="Y950" s="62">
        <v>58165287246</v>
      </c>
      <c r="Z950" s="62" t="s">
        <v>1112</v>
      </c>
      <c r="AA950" s="65">
        <v>4</v>
      </c>
      <c r="AB950" s="66"/>
      <c r="AC950" s="1" t="s">
        <v>1842</v>
      </c>
      <c r="AD950" s="62" t="str">
        <f>VLOOKUP(X950,'Customer List'!B:C,2,)</f>
        <v>Telangana</v>
      </c>
      <c r="AE950" s="67"/>
      <c r="AF950" s="6">
        <v>46153</v>
      </c>
      <c r="AG950" s="62">
        <f t="shared" si="183"/>
        <v>2</v>
      </c>
      <c r="AH950" s="62" t="str">
        <f t="shared" si="184"/>
        <v>Tuesday</v>
      </c>
      <c r="AI950" s="62" t="str">
        <f t="shared" si="178"/>
        <v>Monday</v>
      </c>
      <c r="AJ950" s="62" t="str">
        <f>VLOOKUP(AC950,'Currency Sheet'!A:C,3,)</f>
        <v>DOLLAR</v>
      </c>
      <c r="AK950" s="62" t="str">
        <f>VLOOKUP(X950,'Customer List'!B:D,3,)</f>
        <v>OutStation</v>
      </c>
    </row>
    <row r="951" spans="1:37" hidden="1" x14ac:dyDescent="0.25">
      <c r="A951" s="62">
        <f t="shared" si="185"/>
        <v>936</v>
      </c>
      <c r="B951" s="62" t="s">
        <v>824</v>
      </c>
      <c r="C951" s="62" t="s">
        <v>2296</v>
      </c>
      <c r="D951" s="6">
        <v>46136</v>
      </c>
      <c r="E951" s="6">
        <v>46149</v>
      </c>
      <c r="F951" s="63">
        <v>176.4</v>
      </c>
      <c r="G951" s="64">
        <f t="shared" si="179"/>
        <v>15523.2</v>
      </c>
      <c r="H951" s="64">
        <f t="shared" si="180"/>
        <v>15523.2</v>
      </c>
      <c r="I951" s="70">
        <v>348206</v>
      </c>
      <c r="J951" s="62" t="s">
        <v>2111</v>
      </c>
      <c r="K951" s="8" t="s">
        <v>2356</v>
      </c>
      <c r="L951" s="10">
        <v>48656</v>
      </c>
      <c r="M951" s="62">
        <v>1</v>
      </c>
      <c r="N951" s="8">
        <v>1</v>
      </c>
      <c r="O951" s="62">
        <f t="shared" si="181"/>
        <v>0</v>
      </c>
      <c r="P951" s="70">
        <v>274</v>
      </c>
      <c r="Q951" s="71">
        <v>46151</v>
      </c>
      <c r="R951" s="6">
        <v>46151</v>
      </c>
      <c r="S951" s="64">
        <v>27342</v>
      </c>
      <c r="T951" s="22">
        <v>5</v>
      </c>
      <c r="U951" s="64">
        <f t="shared" si="182"/>
        <v>1367.1000000000001</v>
      </c>
      <c r="V951" s="22">
        <v>-0.1</v>
      </c>
      <c r="W951" s="22">
        <v>28709</v>
      </c>
      <c r="X951" s="62" t="s">
        <v>1363</v>
      </c>
      <c r="Y951" s="62">
        <v>58165283002</v>
      </c>
      <c r="Z951" s="62" t="s">
        <v>1112</v>
      </c>
      <c r="AA951" s="65">
        <v>4</v>
      </c>
      <c r="AB951" s="66"/>
      <c r="AC951" s="1" t="s">
        <v>1842</v>
      </c>
      <c r="AD951" s="62" t="str">
        <f>VLOOKUP(X951,'Customer List'!B:C,2,)</f>
        <v>Chennai</v>
      </c>
      <c r="AE951" s="67"/>
      <c r="AF951" s="6">
        <v>46153</v>
      </c>
      <c r="AG951" s="62">
        <f t="shared" si="183"/>
        <v>2</v>
      </c>
      <c r="AH951" s="62" t="str">
        <f t="shared" si="184"/>
        <v>Saturday</v>
      </c>
      <c r="AI951" s="62" t="str">
        <f t="shared" si="178"/>
        <v>Monday</v>
      </c>
      <c r="AJ951" s="62" t="str">
        <f>VLOOKUP(AC951,'Currency Sheet'!A:C,3,)</f>
        <v>DOLLAR</v>
      </c>
      <c r="AK951" s="62" t="str">
        <f>VLOOKUP(X951,'Customer List'!B:D,3,)</f>
        <v>OutStation</v>
      </c>
    </row>
    <row r="952" spans="1:37" hidden="1" x14ac:dyDescent="0.25">
      <c r="A952" s="62">
        <f t="shared" si="185"/>
        <v>937</v>
      </c>
      <c r="B952" s="62" t="s">
        <v>824</v>
      </c>
      <c r="C952" s="62" t="s">
        <v>2296</v>
      </c>
      <c r="D952" s="6">
        <v>46136</v>
      </c>
      <c r="E952" s="6">
        <v>46149</v>
      </c>
      <c r="F952" s="63">
        <v>316.39999999999998</v>
      </c>
      <c r="G952" s="64">
        <f t="shared" si="179"/>
        <v>27843.199999999997</v>
      </c>
      <c r="H952" s="64">
        <f t="shared" si="180"/>
        <v>27843.199999999997</v>
      </c>
      <c r="I952" s="70">
        <v>351322</v>
      </c>
      <c r="J952" s="62" t="s">
        <v>2357</v>
      </c>
      <c r="K952" s="8" t="s">
        <v>2358</v>
      </c>
      <c r="L952" s="10">
        <v>47561</v>
      </c>
      <c r="M952" s="62">
        <v>1</v>
      </c>
      <c r="N952" s="8">
        <v>1</v>
      </c>
      <c r="O952" s="62">
        <f t="shared" si="181"/>
        <v>0</v>
      </c>
      <c r="P952" s="70">
        <v>310</v>
      </c>
      <c r="Q952" s="71">
        <v>46157</v>
      </c>
      <c r="R952" s="6">
        <v>46158</v>
      </c>
      <c r="S952" s="64">
        <v>52545</v>
      </c>
      <c r="T952" s="22">
        <v>5</v>
      </c>
      <c r="U952" s="64">
        <f t="shared" si="182"/>
        <v>2627.25</v>
      </c>
      <c r="V952" s="22">
        <v>0</v>
      </c>
      <c r="W952" s="22">
        <v>161060</v>
      </c>
      <c r="X952" s="62" t="s">
        <v>334</v>
      </c>
      <c r="Y952" s="62">
        <v>58165586463</v>
      </c>
      <c r="Z952" s="62" t="s">
        <v>1112</v>
      </c>
      <c r="AA952" s="65">
        <v>4</v>
      </c>
      <c r="AB952" s="66"/>
      <c r="AC952" s="1" t="s">
        <v>1842</v>
      </c>
      <c r="AD952" s="62" t="str">
        <f>VLOOKUP(X952,'Customer List'!B:C,2,)</f>
        <v>VARANASI</v>
      </c>
      <c r="AE952" s="67"/>
      <c r="AF952" s="6">
        <v>46161</v>
      </c>
      <c r="AG952" s="62">
        <f t="shared" si="183"/>
        <v>3</v>
      </c>
      <c r="AH952" s="62" t="str">
        <f t="shared" si="184"/>
        <v>Tuesday</v>
      </c>
      <c r="AI952" s="62" t="str">
        <f t="shared" si="178"/>
        <v>Tuesday</v>
      </c>
      <c r="AJ952" s="62" t="str">
        <f>VLOOKUP(AC952,'Currency Sheet'!A:C,3,)</f>
        <v>DOLLAR</v>
      </c>
      <c r="AK952" s="62" t="str">
        <f>VLOOKUP(X952,'Customer List'!B:D,3,)</f>
        <v>OutStation</v>
      </c>
    </row>
    <row r="953" spans="1:37" hidden="1" x14ac:dyDescent="0.25">
      <c r="A953" s="62">
        <f t="shared" si="185"/>
        <v>938</v>
      </c>
      <c r="B953" s="62" t="s">
        <v>824</v>
      </c>
      <c r="C953" s="62" t="s">
        <v>2296</v>
      </c>
      <c r="D953" s="6">
        <v>46136</v>
      </c>
      <c r="E953" s="6">
        <v>46149</v>
      </c>
      <c r="F953" s="63">
        <v>82.6</v>
      </c>
      <c r="G953" s="64">
        <f t="shared" si="179"/>
        <v>7268.7999999999993</v>
      </c>
      <c r="H953" s="64">
        <f t="shared" si="180"/>
        <v>7268.7999999999993</v>
      </c>
      <c r="I953" s="70">
        <v>357406</v>
      </c>
      <c r="J953" s="62" t="s">
        <v>1698</v>
      </c>
      <c r="K953" s="8" t="s">
        <v>1765</v>
      </c>
      <c r="L953" s="10">
        <v>46760</v>
      </c>
      <c r="M953" s="62">
        <v>1</v>
      </c>
      <c r="N953" s="8">
        <v>1</v>
      </c>
      <c r="O953" s="62">
        <f t="shared" si="181"/>
        <v>0</v>
      </c>
      <c r="P953" s="70" t="s">
        <v>2529</v>
      </c>
      <c r="Q953" s="6">
        <v>46157</v>
      </c>
      <c r="R953" s="6">
        <v>46157</v>
      </c>
      <c r="S953" s="64">
        <v>10974</v>
      </c>
      <c r="T953" s="22">
        <v>5</v>
      </c>
      <c r="U953" s="64">
        <f t="shared" si="182"/>
        <v>548.70000000000005</v>
      </c>
      <c r="V953" s="22"/>
      <c r="W953" s="22"/>
      <c r="X953" s="62" t="s">
        <v>792</v>
      </c>
      <c r="Y953" s="62"/>
      <c r="Z953" s="62"/>
      <c r="AA953" s="65">
        <v>4</v>
      </c>
      <c r="AB953" s="66"/>
      <c r="AC953" s="1" t="s">
        <v>1842</v>
      </c>
      <c r="AD953" s="62" t="str">
        <f>VLOOKUP(X953,'Customer List'!B:C,2,)</f>
        <v>Delhi</v>
      </c>
      <c r="AE953" s="67"/>
      <c r="AF953" s="6"/>
      <c r="AG953" s="62" t="str">
        <f t="shared" si="183"/>
        <v/>
      </c>
      <c r="AH953" s="62" t="str">
        <f t="shared" si="184"/>
        <v>Thursday</v>
      </c>
      <c r="AI953" s="62" t="str">
        <f t="shared" si="178"/>
        <v/>
      </c>
      <c r="AJ953" s="62" t="str">
        <f>VLOOKUP(AC953,'Currency Sheet'!A:C,3,)</f>
        <v>DOLLAR</v>
      </c>
      <c r="AK953" s="62" t="str">
        <f>VLOOKUP(X953,'Customer List'!B:D,3,)</f>
        <v>Local</v>
      </c>
    </row>
    <row r="954" spans="1:37" hidden="1" x14ac:dyDescent="0.25">
      <c r="A954" s="62">
        <f t="shared" si="185"/>
        <v>939</v>
      </c>
      <c r="B954" s="62" t="s">
        <v>824</v>
      </c>
      <c r="C954" s="62" t="s">
        <v>2296</v>
      </c>
      <c r="D954" s="6">
        <v>46136</v>
      </c>
      <c r="E954" s="6">
        <v>46149</v>
      </c>
      <c r="F954" s="63">
        <v>107.1</v>
      </c>
      <c r="G954" s="64">
        <f t="shared" si="179"/>
        <v>9424.7999999999993</v>
      </c>
      <c r="H954" s="64">
        <f t="shared" si="180"/>
        <v>9424.7999999999993</v>
      </c>
      <c r="I954" s="70">
        <v>358603</v>
      </c>
      <c r="J954" s="62" t="s">
        <v>2359</v>
      </c>
      <c r="K954" s="8" t="s">
        <v>2360</v>
      </c>
      <c r="L954" s="10">
        <v>46706</v>
      </c>
      <c r="M954" s="62">
        <v>1</v>
      </c>
      <c r="N954" s="8">
        <v>1</v>
      </c>
      <c r="O954" s="62">
        <f t="shared" si="181"/>
        <v>0</v>
      </c>
      <c r="P954" s="70">
        <v>266</v>
      </c>
      <c r="Q954" s="71">
        <v>46151</v>
      </c>
      <c r="R954" s="6">
        <v>46151</v>
      </c>
      <c r="S954" s="64">
        <v>17074.8</v>
      </c>
      <c r="T954" s="22">
        <v>5</v>
      </c>
      <c r="U954" s="64">
        <f t="shared" si="182"/>
        <v>853.74</v>
      </c>
      <c r="V954" s="22">
        <v>0.46</v>
      </c>
      <c r="W954" s="22">
        <v>17929</v>
      </c>
      <c r="X954" s="62" t="s">
        <v>1368</v>
      </c>
      <c r="Y954" s="62">
        <v>58165282464</v>
      </c>
      <c r="Z954" s="62" t="s">
        <v>1112</v>
      </c>
      <c r="AA954" s="65">
        <v>4</v>
      </c>
      <c r="AB954" s="66"/>
      <c r="AC954" s="1" t="s">
        <v>1842</v>
      </c>
      <c r="AD954" s="62" t="str">
        <f>VLOOKUP(X954,'Customer List'!B:C,2,)</f>
        <v>Banglore</v>
      </c>
      <c r="AE954" s="67"/>
      <c r="AF954" s="6">
        <v>46153</v>
      </c>
      <c r="AG954" s="62">
        <f t="shared" si="183"/>
        <v>2</v>
      </c>
      <c r="AH954" s="62" t="str">
        <f t="shared" si="184"/>
        <v>Sunday</v>
      </c>
      <c r="AI954" s="62" t="str">
        <f t="shared" si="178"/>
        <v>Monday</v>
      </c>
      <c r="AJ954" s="62" t="str">
        <f>VLOOKUP(AC954,'Currency Sheet'!A:C,3,)</f>
        <v>DOLLAR</v>
      </c>
      <c r="AK954" s="62" t="str">
        <f>VLOOKUP(X954,'Customer List'!B:D,3,)</f>
        <v>OutStation</v>
      </c>
    </row>
    <row r="955" spans="1:37" hidden="1" x14ac:dyDescent="0.25">
      <c r="A955" s="62">
        <f t="shared" si="185"/>
        <v>940</v>
      </c>
      <c r="B955" s="62" t="s">
        <v>824</v>
      </c>
      <c r="C955" s="62" t="s">
        <v>2296</v>
      </c>
      <c r="D955" s="6">
        <v>46136</v>
      </c>
      <c r="E955" s="6">
        <v>46149</v>
      </c>
      <c r="F955" s="63">
        <v>144.75</v>
      </c>
      <c r="G955" s="64">
        <f t="shared" si="179"/>
        <v>12738</v>
      </c>
      <c r="H955" s="64">
        <f t="shared" si="180"/>
        <v>12738</v>
      </c>
      <c r="I955" s="70">
        <v>393303</v>
      </c>
      <c r="J955" s="62" t="s">
        <v>2361</v>
      </c>
      <c r="K955" s="8" t="s">
        <v>2362</v>
      </c>
      <c r="L955" s="10">
        <v>46387</v>
      </c>
      <c r="M955" s="62">
        <v>1</v>
      </c>
      <c r="N955" s="8">
        <v>1</v>
      </c>
      <c r="O955" s="62">
        <f t="shared" si="181"/>
        <v>0</v>
      </c>
      <c r="P955" s="70" t="s">
        <v>2529</v>
      </c>
      <c r="Q955" s="6">
        <v>46157</v>
      </c>
      <c r="R955" s="6">
        <v>46157</v>
      </c>
      <c r="S955" s="64">
        <v>20940.5</v>
      </c>
      <c r="T955" s="22">
        <v>5</v>
      </c>
      <c r="U955" s="64">
        <f t="shared" si="182"/>
        <v>1047.0250000000001</v>
      </c>
      <c r="V955" s="22"/>
      <c r="W955" s="22"/>
      <c r="X955" s="62" t="s">
        <v>792</v>
      </c>
      <c r="Y955" s="62"/>
      <c r="Z955" s="62"/>
      <c r="AA955" s="65">
        <v>4</v>
      </c>
      <c r="AB955" s="66"/>
      <c r="AC955" s="1" t="s">
        <v>1842</v>
      </c>
      <c r="AD955" s="62" t="str">
        <f>VLOOKUP(X955,'Customer List'!B:C,2,)</f>
        <v>Delhi</v>
      </c>
      <c r="AE955" s="67"/>
      <c r="AF955" s="6"/>
      <c r="AG955" s="62" t="str">
        <f t="shared" si="183"/>
        <v/>
      </c>
      <c r="AH955" s="62" t="str">
        <f t="shared" si="184"/>
        <v>Tuesday</v>
      </c>
      <c r="AI955" s="62" t="str">
        <f t="shared" si="178"/>
        <v/>
      </c>
      <c r="AJ955" s="62" t="str">
        <f>VLOOKUP(AC955,'Currency Sheet'!A:C,3,)</f>
        <v>DOLLAR</v>
      </c>
      <c r="AK955" s="62" t="str">
        <f>VLOOKUP(X955,'Customer List'!B:D,3,)</f>
        <v>Local</v>
      </c>
    </row>
    <row r="956" spans="1:37" hidden="1" x14ac:dyDescent="0.25">
      <c r="A956" s="62">
        <f t="shared" si="185"/>
        <v>941</v>
      </c>
      <c r="B956" s="62" t="s">
        <v>824</v>
      </c>
      <c r="C956" s="62" t="s">
        <v>2296</v>
      </c>
      <c r="D956" s="6">
        <v>46136</v>
      </c>
      <c r="E956" s="6">
        <v>46149</v>
      </c>
      <c r="F956" s="63">
        <v>111.3</v>
      </c>
      <c r="G956" s="64">
        <f t="shared" si="179"/>
        <v>9794.4</v>
      </c>
      <c r="H956" s="64">
        <f t="shared" si="180"/>
        <v>9794.4</v>
      </c>
      <c r="I956" s="70">
        <v>396409</v>
      </c>
      <c r="J956" s="62" t="s">
        <v>2363</v>
      </c>
      <c r="K956" s="8" t="s">
        <v>2364</v>
      </c>
      <c r="L956" s="10">
        <v>47240</v>
      </c>
      <c r="M956" s="62">
        <v>1</v>
      </c>
      <c r="N956" s="8">
        <v>1</v>
      </c>
      <c r="O956" s="62">
        <f t="shared" si="181"/>
        <v>0</v>
      </c>
      <c r="P956" s="70">
        <v>273</v>
      </c>
      <c r="Q956" s="71">
        <v>46151</v>
      </c>
      <c r="R956" s="6">
        <v>46151</v>
      </c>
      <c r="S956" s="64">
        <v>16695</v>
      </c>
      <c r="T956" s="22">
        <v>5</v>
      </c>
      <c r="U956" s="64">
        <f t="shared" si="182"/>
        <v>834.75</v>
      </c>
      <c r="V956" s="22">
        <v>0.25</v>
      </c>
      <c r="W956" s="22">
        <v>17530</v>
      </c>
      <c r="X956" s="62" t="s">
        <v>136</v>
      </c>
      <c r="Y956" s="62">
        <v>58165285441</v>
      </c>
      <c r="Z956" s="62" t="s">
        <v>1112</v>
      </c>
      <c r="AA956" s="65">
        <v>4</v>
      </c>
      <c r="AB956" s="66"/>
      <c r="AC956" s="1" t="s">
        <v>1842</v>
      </c>
      <c r="AD956" s="62" t="str">
        <f>VLOOKUP(X956,'Customer List'!B:C,2,)</f>
        <v>Kolkata</v>
      </c>
      <c r="AE956" s="67"/>
      <c r="AF956" s="6">
        <v>46153</v>
      </c>
      <c r="AG956" s="62">
        <f t="shared" si="183"/>
        <v>2</v>
      </c>
      <c r="AH956" s="62" t="str">
        <f t="shared" si="184"/>
        <v>Saturday</v>
      </c>
      <c r="AI956" s="62" t="str">
        <f t="shared" si="178"/>
        <v>Monday</v>
      </c>
      <c r="AJ956" s="62" t="str">
        <f>VLOOKUP(AC956,'Currency Sheet'!A:C,3,)</f>
        <v>DOLLAR</v>
      </c>
      <c r="AK956" s="62" t="str">
        <f>VLOOKUP(X956,'Customer List'!B:D,3,)</f>
        <v>OutStation</v>
      </c>
    </row>
    <row r="957" spans="1:37" hidden="1" x14ac:dyDescent="0.25">
      <c r="A957" s="62">
        <f t="shared" si="185"/>
        <v>942</v>
      </c>
      <c r="B957" s="62" t="s">
        <v>824</v>
      </c>
      <c r="C957" s="62" t="s">
        <v>2296</v>
      </c>
      <c r="D957" s="6">
        <v>46136</v>
      </c>
      <c r="E957" s="6">
        <v>46149</v>
      </c>
      <c r="F957" s="63">
        <v>39.200000000000003</v>
      </c>
      <c r="G957" s="64">
        <f t="shared" si="179"/>
        <v>3449.6000000000004</v>
      </c>
      <c r="H957" s="64">
        <f t="shared" si="180"/>
        <v>3449.6000000000004</v>
      </c>
      <c r="I957" s="70">
        <v>405203</v>
      </c>
      <c r="J957" s="62" t="s">
        <v>2165</v>
      </c>
      <c r="K957" s="8" t="s">
        <v>2365</v>
      </c>
      <c r="L957" s="10">
        <v>46910</v>
      </c>
      <c r="M957" s="62">
        <v>1</v>
      </c>
      <c r="N957" s="8">
        <v>1</v>
      </c>
      <c r="O957" s="62">
        <f t="shared" si="181"/>
        <v>0</v>
      </c>
      <c r="P957" s="70">
        <v>285</v>
      </c>
      <c r="Q957" s="71">
        <v>46151</v>
      </c>
      <c r="R957" s="6">
        <v>46151</v>
      </c>
      <c r="S957" s="64">
        <v>4788</v>
      </c>
      <c r="T957" s="22">
        <v>5</v>
      </c>
      <c r="U957" s="64">
        <f t="shared" si="182"/>
        <v>239.4</v>
      </c>
      <c r="V957" s="22">
        <v>0.37</v>
      </c>
      <c r="W957" s="22">
        <v>15711</v>
      </c>
      <c r="X957" s="62" t="s">
        <v>801</v>
      </c>
      <c r="Y957" s="62">
        <v>58165285242</v>
      </c>
      <c r="Z957" s="62" t="s">
        <v>1112</v>
      </c>
      <c r="AA957" s="65">
        <v>4</v>
      </c>
      <c r="AB957" s="66"/>
      <c r="AC957" s="1" t="s">
        <v>1842</v>
      </c>
      <c r="AD957" s="62" t="str">
        <f>VLOOKUP(X957,'Customer List'!B:C,2,)</f>
        <v>Mumbai</v>
      </c>
      <c r="AE957" s="67"/>
      <c r="AF957" s="6">
        <v>46153</v>
      </c>
      <c r="AG957" s="62">
        <f t="shared" si="183"/>
        <v>2</v>
      </c>
      <c r="AH957" s="62" t="str">
        <f t="shared" si="184"/>
        <v>Saturday</v>
      </c>
      <c r="AI957" s="62" t="str">
        <f t="shared" ref="AI957:AI1020" si="186">IF(AF957="", "", TEXT(AF957, "dddd"))</f>
        <v>Monday</v>
      </c>
      <c r="AJ957" s="62" t="str">
        <f>VLOOKUP(AC957,'Currency Sheet'!A:C,3,)</f>
        <v>DOLLAR</v>
      </c>
      <c r="AK957" s="62" t="str">
        <f>VLOOKUP(X957,'Customer List'!B:D,3,)</f>
        <v>OutStation</v>
      </c>
    </row>
    <row r="958" spans="1:37" hidden="1" x14ac:dyDescent="0.25">
      <c r="A958" s="62">
        <f t="shared" si="185"/>
        <v>943</v>
      </c>
      <c r="B958" s="62" t="s">
        <v>824</v>
      </c>
      <c r="C958" s="62" t="s">
        <v>2296</v>
      </c>
      <c r="D958" s="6">
        <v>46136</v>
      </c>
      <c r="E958" s="6">
        <v>46149</v>
      </c>
      <c r="F958" s="63">
        <v>83.3</v>
      </c>
      <c r="G958" s="64">
        <f t="shared" si="179"/>
        <v>7330.4</v>
      </c>
      <c r="H958" s="64">
        <f t="shared" si="180"/>
        <v>7330.4</v>
      </c>
      <c r="I958" s="70">
        <v>405207</v>
      </c>
      <c r="J958" s="62" t="s">
        <v>2165</v>
      </c>
      <c r="K958" s="8" t="s">
        <v>2366</v>
      </c>
      <c r="L958" s="10">
        <v>47864</v>
      </c>
      <c r="M958" s="62">
        <v>1</v>
      </c>
      <c r="N958" s="8">
        <v>1</v>
      </c>
      <c r="O958" s="62">
        <f t="shared" si="181"/>
        <v>0</v>
      </c>
      <c r="P958" s="70">
        <v>285</v>
      </c>
      <c r="Q958" s="71">
        <v>46151</v>
      </c>
      <c r="R958" s="6">
        <v>46151</v>
      </c>
      <c r="S958" s="64">
        <v>10174.5</v>
      </c>
      <c r="T958" s="22">
        <v>5</v>
      </c>
      <c r="U958" s="64">
        <f t="shared" si="182"/>
        <v>508.72500000000002</v>
      </c>
      <c r="V958" s="22">
        <v>0</v>
      </c>
      <c r="W958" s="22">
        <v>15711</v>
      </c>
      <c r="X958" s="62" t="s">
        <v>801</v>
      </c>
      <c r="Y958" s="62">
        <v>58165285242</v>
      </c>
      <c r="Z958" s="62" t="s">
        <v>1112</v>
      </c>
      <c r="AA958" s="65">
        <v>4</v>
      </c>
      <c r="AB958" s="66"/>
      <c r="AC958" s="1" t="s">
        <v>1842</v>
      </c>
      <c r="AD958" s="62" t="str">
        <f>VLOOKUP(X958,'Customer List'!B:C,2,)</f>
        <v>Mumbai</v>
      </c>
      <c r="AE958" s="67"/>
      <c r="AF958" s="6">
        <v>46153</v>
      </c>
      <c r="AG958" s="62">
        <f t="shared" si="183"/>
        <v>2</v>
      </c>
      <c r="AH958" s="62" t="str">
        <f t="shared" si="184"/>
        <v>Tuesday</v>
      </c>
      <c r="AI958" s="62" t="str">
        <f t="shared" si="186"/>
        <v>Monday</v>
      </c>
      <c r="AJ958" s="62" t="str">
        <f>VLOOKUP(AC958,'Currency Sheet'!A:C,3,)</f>
        <v>DOLLAR</v>
      </c>
      <c r="AK958" s="62" t="str">
        <f>VLOOKUP(X958,'Customer List'!B:D,3,)</f>
        <v>OutStation</v>
      </c>
    </row>
    <row r="959" spans="1:37" hidden="1" x14ac:dyDescent="0.25">
      <c r="A959" s="62">
        <f t="shared" si="185"/>
        <v>944</v>
      </c>
      <c r="B959" s="62" t="s">
        <v>824</v>
      </c>
      <c r="C959" s="62" t="s">
        <v>2296</v>
      </c>
      <c r="D959" s="6">
        <v>46136</v>
      </c>
      <c r="E959" s="6">
        <v>46149</v>
      </c>
      <c r="F959" s="63">
        <v>234.5</v>
      </c>
      <c r="G959" s="64">
        <f t="shared" si="179"/>
        <v>20636</v>
      </c>
      <c r="H959" s="64">
        <f t="shared" si="180"/>
        <v>41272</v>
      </c>
      <c r="I959" s="70">
        <v>423106</v>
      </c>
      <c r="J959" s="62" t="s">
        <v>2367</v>
      </c>
      <c r="K959" s="8" t="s">
        <v>2368</v>
      </c>
      <c r="L959" s="10">
        <v>46811</v>
      </c>
      <c r="M959" s="62">
        <v>2</v>
      </c>
      <c r="N959" s="8">
        <v>2</v>
      </c>
      <c r="O959" s="62">
        <f t="shared" si="181"/>
        <v>0</v>
      </c>
      <c r="P959" s="70">
        <v>265</v>
      </c>
      <c r="Q959" s="71">
        <v>46151</v>
      </c>
      <c r="R959" s="6">
        <v>46151</v>
      </c>
      <c r="S959" s="64">
        <v>72694</v>
      </c>
      <c r="T959" s="22">
        <v>5</v>
      </c>
      <c r="U959" s="64">
        <f t="shared" si="182"/>
        <v>3634.7000000000003</v>
      </c>
      <c r="V959" s="22">
        <v>0.3</v>
      </c>
      <c r="W959" s="22">
        <v>76329</v>
      </c>
      <c r="X959" s="62" t="s">
        <v>1148</v>
      </c>
      <c r="Y959" s="62">
        <v>58165287246</v>
      </c>
      <c r="Z959" s="62" t="s">
        <v>1112</v>
      </c>
      <c r="AA959" s="65">
        <v>-20</v>
      </c>
      <c r="AB959" s="66"/>
      <c r="AC959" s="1" t="s">
        <v>1842</v>
      </c>
      <c r="AD959" s="62" t="str">
        <f>VLOOKUP(X959,'Customer List'!B:C,2,)</f>
        <v>Telangana</v>
      </c>
      <c r="AE959" s="67"/>
      <c r="AF959" s="6">
        <v>46153</v>
      </c>
      <c r="AG959" s="62">
        <f t="shared" si="183"/>
        <v>2</v>
      </c>
      <c r="AH959" s="62" t="str">
        <f t="shared" si="184"/>
        <v>Friday</v>
      </c>
      <c r="AI959" s="62" t="str">
        <f t="shared" si="186"/>
        <v>Monday</v>
      </c>
      <c r="AJ959" s="62" t="str">
        <f>VLOOKUP(AC959,'Currency Sheet'!A:C,3,)</f>
        <v>DOLLAR</v>
      </c>
      <c r="AK959" s="62" t="str">
        <f>VLOOKUP(X959,'Customer List'!B:D,3,)</f>
        <v>OutStation</v>
      </c>
    </row>
    <row r="960" spans="1:37" hidden="1" x14ac:dyDescent="0.25">
      <c r="A960" s="62">
        <f t="shared" si="185"/>
        <v>945</v>
      </c>
      <c r="B960" s="62" t="s">
        <v>824</v>
      </c>
      <c r="C960" s="62" t="s">
        <v>2296</v>
      </c>
      <c r="D960" s="6">
        <v>46136</v>
      </c>
      <c r="E960" s="6">
        <v>46149</v>
      </c>
      <c r="F960" s="63">
        <v>546</v>
      </c>
      <c r="G960" s="64">
        <f t="shared" si="179"/>
        <v>48048</v>
      </c>
      <c r="H960" s="64">
        <f t="shared" si="180"/>
        <v>96096</v>
      </c>
      <c r="I960" s="70">
        <v>423702</v>
      </c>
      <c r="J960" s="62" t="s">
        <v>2369</v>
      </c>
      <c r="K960" s="8"/>
      <c r="L960" s="10"/>
      <c r="M960" s="62">
        <v>2</v>
      </c>
      <c r="N960" s="8">
        <v>2</v>
      </c>
      <c r="O960" s="62">
        <f t="shared" si="181"/>
        <v>0</v>
      </c>
      <c r="P960" s="70">
        <v>264</v>
      </c>
      <c r="Q960" s="71">
        <v>46151</v>
      </c>
      <c r="R960" s="6">
        <v>46151</v>
      </c>
      <c r="S960" s="64">
        <v>148200</v>
      </c>
      <c r="T960" s="22">
        <v>5</v>
      </c>
      <c r="U960" s="64">
        <f t="shared" si="182"/>
        <v>7410</v>
      </c>
      <c r="V960" s="22">
        <v>0</v>
      </c>
      <c r="W960" s="22">
        <v>155610</v>
      </c>
      <c r="X960" s="62" t="s">
        <v>902</v>
      </c>
      <c r="Y960" s="62">
        <v>58165287143</v>
      </c>
      <c r="Z960" s="62" t="s">
        <v>1112</v>
      </c>
      <c r="AA960" s="65" t="s">
        <v>2408</v>
      </c>
      <c r="AB960" s="66"/>
      <c r="AC960" s="1" t="s">
        <v>1842</v>
      </c>
      <c r="AD960" s="62" t="str">
        <f>VLOOKUP(X960,'Customer List'!B:C,2,)</f>
        <v>Hyderabad</v>
      </c>
      <c r="AE960" s="67"/>
      <c r="AF960" s="6">
        <v>46153</v>
      </c>
      <c r="AG960" s="62">
        <f t="shared" si="183"/>
        <v>2</v>
      </c>
      <c r="AH960" s="62" t="str">
        <f t="shared" si="184"/>
        <v>Tuesday</v>
      </c>
      <c r="AI960" s="62" t="str">
        <f t="shared" si="186"/>
        <v>Monday</v>
      </c>
      <c r="AJ960" s="62" t="str">
        <f>VLOOKUP(AC960,'Currency Sheet'!A:C,3,)</f>
        <v>DOLLAR</v>
      </c>
      <c r="AK960" s="62" t="str">
        <f>VLOOKUP(X960,'Customer List'!B:D,3,)</f>
        <v>OutStation</v>
      </c>
    </row>
    <row r="961" spans="1:37" hidden="1" x14ac:dyDescent="0.25">
      <c r="A961" s="62">
        <f t="shared" si="185"/>
        <v>946</v>
      </c>
      <c r="B961" s="62" t="s">
        <v>824</v>
      </c>
      <c r="C961" s="62" t="s">
        <v>2296</v>
      </c>
      <c r="D961" s="6">
        <v>46136</v>
      </c>
      <c r="E961" s="6">
        <v>46149</v>
      </c>
      <c r="F961" s="63">
        <v>445.5</v>
      </c>
      <c r="G961" s="64">
        <f t="shared" si="179"/>
        <v>39204</v>
      </c>
      <c r="H961" s="64">
        <f t="shared" si="180"/>
        <v>39204</v>
      </c>
      <c r="I961" s="70">
        <v>480010</v>
      </c>
      <c r="J961" s="62" t="s">
        <v>2370</v>
      </c>
      <c r="K961" s="8" t="s">
        <v>2371</v>
      </c>
      <c r="L961" s="10">
        <v>46449</v>
      </c>
      <c r="M961" s="62">
        <v>1</v>
      </c>
      <c r="N961" s="8">
        <v>1</v>
      </c>
      <c r="O961" s="62">
        <f t="shared" si="181"/>
        <v>0</v>
      </c>
      <c r="P961" s="70">
        <v>272</v>
      </c>
      <c r="Q961" s="71">
        <v>46151</v>
      </c>
      <c r="R961" s="6">
        <v>46151</v>
      </c>
      <c r="S961" s="64">
        <v>62370</v>
      </c>
      <c r="T961" s="22">
        <v>5</v>
      </c>
      <c r="U961" s="64">
        <f t="shared" si="182"/>
        <v>3118.5</v>
      </c>
      <c r="V961" s="22">
        <v>0</v>
      </c>
      <c r="W961" s="22">
        <v>224359</v>
      </c>
      <c r="X961" s="62" t="s">
        <v>136</v>
      </c>
      <c r="Y961" s="62">
        <v>58165285441</v>
      </c>
      <c r="Z961" s="62" t="s">
        <v>1112</v>
      </c>
      <c r="AA961" s="65">
        <v>4</v>
      </c>
      <c r="AB961" s="66"/>
      <c r="AC961" s="1" t="s">
        <v>1842</v>
      </c>
      <c r="AD961" s="62" t="str">
        <f>VLOOKUP(X961,'Customer List'!B:C,2,)</f>
        <v>Kolkata</v>
      </c>
      <c r="AE961" s="67"/>
      <c r="AF961" s="6">
        <v>46153</v>
      </c>
      <c r="AG961" s="62">
        <f t="shared" si="183"/>
        <v>2</v>
      </c>
      <c r="AH961" s="62" t="str">
        <f t="shared" si="184"/>
        <v>Saturday</v>
      </c>
      <c r="AI961" s="62" t="str">
        <f t="shared" si="186"/>
        <v>Monday</v>
      </c>
      <c r="AJ961" s="62" t="str">
        <f>VLOOKUP(AC961,'Currency Sheet'!A:C,3,)</f>
        <v>DOLLAR</v>
      </c>
      <c r="AK961" s="62" t="str">
        <f>VLOOKUP(X961,'Customer List'!B:D,3,)</f>
        <v>OutStation</v>
      </c>
    </row>
    <row r="962" spans="1:37" hidden="1" x14ac:dyDescent="0.25">
      <c r="A962" s="62">
        <f t="shared" si="185"/>
        <v>947</v>
      </c>
      <c r="B962" s="62" t="s">
        <v>824</v>
      </c>
      <c r="C962" s="62" t="s">
        <v>2296</v>
      </c>
      <c r="D962" s="6">
        <v>46136</v>
      </c>
      <c r="E962" s="6">
        <v>46149</v>
      </c>
      <c r="F962" s="63">
        <v>445.5</v>
      </c>
      <c r="G962" s="64">
        <f t="shared" si="179"/>
        <v>39204</v>
      </c>
      <c r="H962" s="64">
        <f t="shared" si="180"/>
        <v>39204</v>
      </c>
      <c r="I962" s="70">
        <v>480012</v>
      </c>
      <c r="J962" s="62" t="s">
        <v>2372</v>
      </c>
      <c r="K962" s="8" t="s">
        <v>2373</v>
      </c>
      <c r="L962" s="10">
        <v>46625</v>
      </c>
      <c r="M962" s="62">
        <v>1</v>
      </c>
      <c r="N962" s="8">
        <v>1</v>
      </c>
      <c r="O962" s="62">
        <f t="shared" si="181"/>
        <v>0</v>
      </c>
      <c r="P962" s="70">
        <v>272</v>
      </c>
      <c r="Q962" s="71">
        <v>46151</v>
      </c>
      <c r="R962" s="6">
        <v>46151</v>
      </c>
      <c r="S962" s="64">
        <v>62370</v>
      </c>
      <c r="T962" s="22">
        <v>5</v>
      </c>
      <c r="U962" s="64">
        <f t="shared" si="182"/>
        <v>3118.5</v>
      </c>
      <c r="V962" s="22">
        <v>0</v>
      </c>
      <c r="W962" s="22">
        <v>224359</v>
      </c>
      <c r="X962" s="62" t="s">
        <v>136</v>
      </c>
      <c r="Y962" s="62">
        <v>58165285441</v>
      </c>
      <c r="Z962" s="62" t="s">
        <v>1112</v>
      </c>
      <c r="AA962" s="65">
        <v>4</v>
      </c>
      <c r="AB962" s="66"/>
      <c r="AC962" s="1" t="s">
        <v>1842</v>
      </c>
      <c r="AD962" s="62" t="str">
        <f>VLOOKUP(X962,'Customer List'!B:C,2,)</f>
        <v>Kolkata</v>
      </c>
      <c r="AE962" s="67"/>
      <c r="AF962" s="6">
        <v>46153</v>
      </c>
      <c r="AG962" s="62">
        <f t="shared" si="183"/>
        <v>2</v>
      </c>
      <c r="AH962" s="62" t="str">
        <f t="shared" si="184"/>
        <v>Saturday</v>
      </c>
      <c r="AI962" s="62" t="str">
        <f t="shared" si="186"/>
        <v>Monday</v>
      </c>
      <c r="AJ962" s="62" t="str">
        <f>VLOOKUP(AC962,'Currency Sheet'!A:C,3,)</f>
        <v>DOLLAR</v>
      </c>
      <c r="AK962" s="62" t="str">
        <f>VLOOKUP(X962,'Customer List'!B:D,3,)</f>
        <v>OutStation</v>
      </c>
    </row>
    <row r="963" spans="1:37" hidden="1" x14ac:dyDescent="0.25">
      <c r="A963" s="62">
        <f t="shared" si="185"/>
        <v>948</v>
      </c>
      <c r="B963" s="62" t="s">
        <v>824</v>
      </c>
      <c r="C963" s="62" t="s">
        <v>2296</v>
      </c>
      <c r="D963" s="6">
        <v>46136</v>
      </c>
      <c r="E963" s="6">
        <v>46149</v>
      </c>
      <c r="F963" s="63">
        <v>169.5</v>
      </c>
      <c r="G963" s="64">
        <f t="shared" si="179"/>
        <v>14916</v>
      </c>
      <c r="H963" s="64">
        <f t="shared" si="180"/>
        <v>14916</v>
      </c>
      <c r="I963" s="70">
        <v>480053</v>
      </c>
      <c r="J963" s="62" t="s">
        <v>2374</v>
      </c>
      <c r="K963" s="8" t="s">
        <v>2375</v>
      </c>
      <c r="L963" s="10">
        <v>46601</v>
      </c>
      <c r="M963" s="62">
        <v>1</v>
      </c>
      <c r="N963" s="8">
        <v>1</v>
      </c>
      <c r="O963" s="62">
        <f t="shared" si="181"/>
        <v>0</v>
      </c>
      <c r="P963" s="70">
        <v>272</v>
      </c>
      <c r="Q963" s="71">
        <v>46151</v>
      </c>
      <c r="R963" s="6">
        <v>46151</v>
      </c>
      <c r="S963" s="64">
        <v>23730</v>
      </c>
      <c r="T963" s="22">
        <v>5</v>
      </c>
      <c r="U963" s="64">
        <f t="shared" si="182"/>
        <v>1186.5</v>
      </c>
      <c r="V963" s="22">
        <v>0</v>
      </c>
      <c r="W963" s="22">
        <v>224359</v>
      </c>
      <c r="X963" s="62" t="s">
        <v>136</v>
      </c>
      <c r="Y963" s="62">
        <v>58165285441</v>
      </c>
      <c r="Z963" s="62" t="s">
        <v>1112</v>
      </c>
      <c r="AA963" s="65">
        <v>4</v>
      </c>
      <c r="AB963" s="66"/>
      <c r="AC963" s="1" t="s">
        <v>1842</v>
      </c>
      <c r="AD963" s="62" t="str">
        <f>VLOOKUP(X963,'Customer List'!B:C,2,)</f>
        <v>Kolkata</v>
      </c>
      <c r="AE963" s="67"/>
      <c r="AF963" s="6">
        <v>46153</v>
      </c>
      <c r="AG963" s="62">
        <f t="shared" si="183"/>
        <v>2</v>
      </c>
      <c r="AH963" s="62" t="str">
        <f t="shared" si="184"/>
        <v>Saturday</v>
      </c>
      <c r="AI963" s="62" t="str">
        <f t="shared" si="186"/>
        <v>Monday</v>
      </c>
      <c r="AJ963" s="62" t="str">
        <f>VLOOKUP(AC963,'Currency Sheet'!A:C,3,)</f>
        <v>DOLLAR</v>
      </c>
      <c r="AK963" s="62" t="str">
        <f>VLOOKUP(X963,'Customer List'!B:D,3,)</f>
        <v>OutStation</v>
      </c>
    </row>
    <row r="964" spans="1:37" hidden="1" x14ac:dyDescent="0.25">
      <c r="A964" s="62">
        <f t="shared" si="185"/>
        <v>949</v>
      </c>
      <c r="B964" s="62" t="s">
        <v>824</v>
      </c>
      <c r="C964" s="62" t="s">
        <v>2296</v>
      </c>
      <c r="D964" s="6">
        <v>46136</v>
      </c>
      <c r="E964" s="6">
        <v>46149</v>
      </c>
      <c r="F964" s="63">
        <v>309.75</v>
      </c>
      <c r="G964" s="64">
        <f t="shared" si="179"/>
        <v>27258</v>
      </c>
      <c r="H964" s="64">
        <f t="shared" si="180"/>
        <v>27258</v>
      </c>
      <c r="I964" s="70">
        <v>501422</v>
      </c>
      <c r="J964" s="62" t="s">
        <v>2376</v>
      </c>
      <c r="K964" s="8" t="s">
        <v>2377</v>
      </c>
      <c r="L964" s="10">
        <v>46603</v>
      </c>
      <c r="M964" s="62">
        <v>1</v>
      </c>
      <c r="N964" s="8">
        <v>1</v>
      </c>
      <c r="O964" s="62">
        <f t="shared" si="181"/>
        <v>0</v>
      </c>
      <c r="P964" s="70" t="s">
        <v>2530</v>
      </c>
      <c r="Q964" s="71">
        <v>46157</v>
      </c>
      <c r="R964" s="6">
        <v>46157</v>
      </c>
      <c r="S964" s="64">
        <v>57613.5</v>
      </c>
      <c r="T964" s="22">
        <v>5</v>
      </c>
      <c r="U964" s="64">
        <f t="shared" si="182"/>
        <v>2880.6750000000002</v>
      </c>
      <c r="V964" s="22"/>
      <c r="W964" s="22"/>
      <c r="X964" s="62" t="s">
        <v>792</v>
      </c>
      <c r="Y964" s="62"/>
      <c r="Z964" s="62"/>
      <c r="AA964" s="65">
        <v>4</v>
      </c>
      <c r="AB964" s="66"/>
      <c r="AC964" s="1" t="s">
        <v>1842</v>
      </c>
      <c r="AD964" s="62" t="str">
        <f>VLOOKUP(X964,'Customer List'!B:C,2,)</f>
        <v>Delhi</v>
      </c>
      <c r="AE964" s="67"/>
      <c r="AF964" s="6"/>
      <c r="AG964" s="62" t="str">
        <f t="shared" si="183"/>
        <v/>
      </c>
      <c r="AH964" s="62" t="str">
        <f t="shared" si="184"/>
        <v>Tuesday</v>
      </c>
      <c r="AI964" s="62" t="str">
        <f t="shared" si="186"/>
        <v/>
      </c>
      <c r="AJ964" s="62" t="str">
        <f>VLOOKUP(AC964,'Currency Sheet'!A:C,3,)</f>
        <v>DOLLAR</v>
      </c>
      <c r="AK964" s="62" t="str">
        <f>VLOOKUP(X964,'Customer List'!B:D,3,)</f>
        <v>Local</v>
      </c>
    </row>
    <row r="965" spans="1:37" hidden="1" x14ac:dyDescent="0.25">
      <c r="A965" s="62">
        <f t="shared" si="185"/>
        <v>950</v>
      </c>
      <c r="B965" s="62" t="s">
        <v>824</v>
      </c>
      <c r="C965" s="62" t="s">
        <v>2296</v>
      </c>
      <c r="D965" s="6">
        <v>46136</v>
      </c>
      <c r="E965" s="6">
        <v>46149</v>
      </c>
      <c r="F965" s="63">
        <v>334.5</v>
      </c>
      <c r="G965" s="64">
        <f t="shared" si="179"/>
        <v>29436</v>
      </c>
      <c r="H965" s="64">
        <f t="shared" si="180"/>
        <v>29436</v>
      </c>
      <c r="I965" s="70">
        <v>502540</v>
      </c>
      <c r="J965" s="62" t="s">
        <v>1815</v>
      </c>
      <c r="K965" s="8" t="s">
        <v>2378</v>
      </c>
      <c r="L965" s="10">
        <v>47005</v>
      </c>
      <c r="M965" s="62">
        <v>1</v>
      </c>
      <c r="N965" s="8">
        <v>1</v>
      </c>
      <c r="O965" s="62">
        <f t="shared" si="181"/>
        <v>0</v>
      </c>
      <c r="P965" s="70" t="s">
        <v>2530</v>
      </c>
      <c r="Q965" s="71">
        <v>46157</v>
      </c>
      <c r="R965" s="6">
        <v>46157</v>
      </c>
      <c r="S965" s="64">
        <v>62217</v>
      </c>
      <c r="T965" s="22">
        <v>5</v>
      </c>
      <c r="U965" s="64">
        <f t="shared" si="182"/>
        <v>3110.8500000000004</v>
      </c>
      <c r="V965" s="22"/>
      <c r="W965" s="22"/>
      <c r="X965" s="62" t="s">
        <v>792</v>
      </c>
      <c r="Y965" s="62"/>
      <c r="Z965" s="62"/>
      <c r="AA965" s="65">
        <v>4</v>
      </c>
      <c r="AB965" s="66"/>
      <c r="AC965" s="1" t="s">
        <v>1842</v>
      </c>
      <c r="AD965" s="62" t="str">
        <f>VLOOKUP(X965,'Customer List'!B:C,2,)</f>
        <v>Delhi</v>
      </c>
      <c r="AE965" s="67"/>
      <c r="AF965" s="6"/>
      <c r="AG965" s="62" t="str">
        <f t="shared" si="183"/>
        <v/>
      </c>
      <c r="AH965" s="62" t="str">
        <f t="shared" si="184"/>
        <v>Sunday</v>
      </c>
      <c r="AI965" s="62" t="str">
        <f t="shared" si="186"/>
        <v/>
      </c>
      <c r="AJ965" s="62" t="str">
        <f>VLOOKUP(AC965,'Currency Sheet'!A:C,3,)</f>
        <v>DOLLAR</v>
      </c>
      <c r="AK965" s="62" t="str">
        <f>VLOOKUP(X965,'Customer List'!B:D,3,)</f>
        <v>Local</v>
      </c>
    </row>
    <row r="966" spans="1:37" hidden="1" x14ac:dyDescent="0.25">
      <c r="A966" s="62">
        <f t="shared" si="185"/>
        <v>951</v>
      </c>
      <c r="B966" s="62" t="s">
        <v>824</v>
      </c>
      <c r="C966" s="62" t="s">
        <v>2296</v>
      </c>
      <c r="D966" s="6">
        <v>46136</v>
      </c>
      <c r="E966" s="6">
        <v>46149</v>
      </c>
      <c r="F966" s="63">
        <v>187.6</v>
      </c>
      <c r="G966" s="64">
        <f t="shared" si="179"/>
        <v>16508.8</v>
      </c>
      <c r="H966" s="64">
        <f t="shared" si="180"/>
        <v>16508.8</v>
      </c>
      <c r="I966" s="70">
        <v>502915</v>
      </c>
      <c r="J966" s="62" t="s">
        <v>1772</v>
      </c>
      <c r="K966" s="8" t="s">
        <v>2379</v>
      </c>
      <c r="L966" s="10">
        <v>46861</v>
      </c>
      <c r="M966" s="62">
        <v>1</v>
      </c>
      <c r="N966" s="8">
        <v>1</v>
      </c>
      <c r="O966" s="62">
        <f t="shared" si="181"/>
        <v>0</v>
      </c>
      <c r="P966" s="70">
        <v>268</v>
      </c>
      <c r="Q966" s="71">
        <v>46151</v>
      </c>
      <c r="R966" s="6">
        <v>46151</v>
      </c>
      <c r="S966" s="64">
        <v>31155</v>
      </c>
      <c r="T966" s="22">
        <v>5</v>
      </c>
      <c r="U966" s="64">
        <f t="shared" si="182"/>
        <v>1557.75</v>
      </c>
      <c r="V966" s="22">
        <v>0</v>
      </c>
      <c r="W966" s="22">
        <v>72261</v>
      </c>
      <c r="X966" s="62" t="s">
        <v>289</v>
      </c>
      <c r="Y966" s="62">
        <v>58165286174</v>
      </c>
      <c r="Z966" s="62" t="s">
        <v>1112</v>
      </c>
      <c r="AA966" s="65">
        <v>4</v>
      </c>
      <c r="AB966" s="66"/>
      <c r="AC966" s="1" t="s">
        <v>1842</v>
      </c>
      <c r="AD966" s="62" t="str">
        <f>VLOOKUP(X966,'Customer List'!B:C,2,)</f>
        <v>BANGALORE</v>
      </c>
      <c r="AE966" s="67"/>
      <c r="AF966" s="6">
        <v>46153</v>
      </c>
      <c r="AG966" s="62">
        <f t="shared" si="183"/>
        <v>2</v>
      </c>
      <c r="AH966" s="62" t="str">
        <f t="shared" si="184"/>
        <v>Thursday</v>
      </c>
      <c r="AI966" s="62" t="str">
        <f t="shared" si="186"/>
        <v>Monday</v>
      </c>
      <c r="AJ966" s="62" t="str">
        <f>VLOOKUP(AC966,'Currency Sheet'!A:C,3,)</f>
        <v>DOLLAR</v>
      </c>
      <c r="AK966" s="62" t="str">
        <f>VLOOKUP(X966,'Customer List'!B:D,3,)</f>
        <v>OutStation</v>
      </c>
    </row>
    <row r="967" spans="1:37" hidden="1" x14ac:dyDescent="0.25">
      <c r="A967" s="62">
        <f t="shared" si="185"/>
        <v>952</v>
      </c>
      <c r="B967" s="62" t="s">
        <v>824</v>
      </c>
      <c r="C967" s="62" t="s">
        <v>2296</v>
      </c>
      <c r="D967" s="6">
        <v>46136</v>
      </c>
      <c r="E967" s="6">
        <v>46149</v>
      </c>
      <c r="F967" s="63">
        <v>338.25</v>
      </c>
      <c r="G967" s="64">
        <f t="shared" si="179"/>
        <v>29766</v>
      </c>
      <c r="H967" s="64">
        <f t="shared" si="180"/>
        <v>29766</v>
      </c>
      <c r="I967" s="70">
        <v>502938</v>
      </c>
      <c r="J967" s="62" t="s">
        <v>1772</v>
      </c>
      <c r="K967" s="8" t="s">
        <v>2380</v>
      </c>
      <c r="L967" s="10">
        <v>46456</v>
      </c>
      <c r="M967" s="62">
        <v>1</v>
      </c>
      <c r="N967" s="8">
        <v>1</v>
      </c>
      <c r="O967" s="62">
        <f t="shared" si="181"/>
        <v>0</v>
      </c>
      <c r="P967" s="70" t="s">
        <v>2530</v>
      </c>
      <c r="Q967" s="71">
        <v>46157</v>
      </c>
      <c r="R967" s="6">
        <v>46157</v>
      </c>
      <c r="S967" s="64">
        <v>62914.5</v>
      </c>
      <c r="T967" s="22">
        <v>5</v>
      </c>
      <c r="U967" s="64">
        <f t="shared" si="182"/>
        <v>3145.7250000000004</v>
      </c>
      <c r="V967" s="22"/>
      <c r="W967" s="22"/>
      <c r="X967" s="62" t="s">
        <v>792</v>
      </c>
      <c r="Y967" s="62"/>
      <c r="Z967" s="62"/>
      <c r="AA967" s="65">
        <v>4</v>
      </c>
      <c r="AB967" s="66"/>
      <c r="AC967" s="1" t="s">
        <v>1842</v>
      </c>
      <c r="AD967" s="62" t="str">
        <f>VLOOKUP(X967,'Customer List'!B:C,2,)</f>
        <v>Delhi</v>
      </c>
      <c r="AE967" s="67"/>
      <c r="AF967" s="6"/>
      <c r="AG967" s="62" t="str">
        <f t="shared" si="183"/>
        <v/>
      </c>
      <c r="AH967" s="62" t="str">
        <f t="shared" si="184"/>
        <v>Thursday</v>
      </c>
      <c r="AI967" s="62" t="str">
        <f t="shared" si="186"/>
        <v/>
      </c>
      <c r="AJ967" s="62" t="str">
        <f>VLOOKUP(AC967,'Currency Sheet'!A:C,3,)</f>
        <v>DOLLAR</v>
      </c>
      <c r="AK967" s="62" t="str">
        <f>VLOOKUP(X967,'Customer List'!B:D,3,)</f>
        <v>Local</v>
      </c>
    </row>
    <row r="968" spans="1:37" hidden="1" x14ac:dyDescent="0.25">
      <c r="A968" s="62">
        <f t="shared" si="185"/>
        <v>953</v>
      </c>
      <c r="B968" s="62" t="s">
        <v>824</v>
      </c>
      <c r="C968" s="62" t="s">
        <v>2296</v>
      </c>
      <c r="D968" s="6">
        <v>46136</v>
      </c>
      <c r="E968" s="6">
        <v>46149</v>
      </c>
      <c r="F968" s="63">
        <v>67.2</v>
      </c>
      <c r="G968" s="64">
        <f t="shared" si="179"/>
        <v>5913.6</v>
      </c>
      <c r="H968" s="64">
        <f t="shared" si="180"/>
        <v>5913.6</v>
      </c>
      <c r="I968" s="70">
        <v>504503</v>
      </c>
      <c r="J968" s="62" t="s">
        <v>2381</v>
      </c>
      <c r="K968" s="8" t="s">
        <v>2382</v>
      </c>
      <c r="L968" s="10">
        <v>47605</v>
      </c>
      <c r="M968" s="62">
        <v>1</v>
      </c>
      <c r="N968" s="8">
        <v>1</v>
      </c>
      <c r="O968" s="62">
        <f t="shared" si="181"/>
        <v>0</v>
      </c>
      <c r="P968" s="70">
        <v>275</v>
      </c>
      <c r="Q968" s="71">
        <v>46151</v>
      </c>
      <c r="R968" s="6">
        <v>46151</v>
      </c>
      <c r="S968" s="64">
        <v>10416</v>
      </c>
      <c r="T968" s="22">
        <v>5</v>
      </c>
      <c r="U968" s="64">
        <f t="shared" si="182"/>
        <v>520.80000000000007</v>
      </c>
      <c r="V968" s="22">
        <v>0.2</v>
      </c>
      <c r="W968" s="22">
        <v>10937</v>
      </c>
      <c r="X968" s="62" t="s">
        <v>1894</v>
      </c>
      <c r="Y968" s="62">
        <v>58165282560</v>
      </c>
      <c r="Z968" s="62" t="s">
        <v>1112</v>
      </c>
      <c r="AA968" s="65">
        <v>4</v>
      </c>
      <c r="AB968" s="66"/>
      <c r="AC968" s="1" t="s">
        <v>1842</v>
      </c>
      <c r="AD968" s="62" t="str">
        <f>VLOOKUP(X968,'Customer List'!B:C,2,)</f>
        <v>Bhopal</v>
      </c>
      <c r="AE968" s="67"/>
      <c r="AF968" s="6">
        <v>46153</v>
      </c>
      <c r="AG968" s="62">
        <f t="shared" si="183"/>
        <v>2</v>
      </c>
      <c r="AH968" s="62" t="str">
        <f t="shared" si="184"/>
        <v>Saturday</v>
      </c>
      <c r="AI968" s="62" t="str">
        <f t="shared" si="186"/>
        <v>Monday</v>
      </c>
      <c r="AJ968" s="62" t="str">
        <f>VLOOKUP(AC968,'Currency Sheet'!A:C,3,)</f>
        <v>DOLLAR</v>
      </c>
      <c r="AK968" s="62" t="str">
        <f>VLOOKUP(X968,'Customer List'!B:D,3,)</f>
        <v>OutStation</v>
      </c>
    </row>
    <row r="969" spans="1:37" hidden="1" x14ac:dyDescent="0.25">
      <c r="A969" s="62">
        <f t="shared" si="185"/>
        <v>954</v>
      </c>
      <c r="B969" s="62" t="s">
        <v>824</v>
      </c>
      <c r="C969" s="62" t="s">
        <v>2296</v>
      </c>
      <c r="D969" s="6">
        <v>46136</v>
      </c>
      <c r="E969" s="6">
        <v>46149</v>
      </c>
      <c r="F969" s="63">
        <v>226.1</v>
      </c>
      <c r="G969" s="64">
        <f t="shared" si="179"/>
        <v>19896.8</v>
      </c>
      <c r="H969" s="64">
        <f t="shared" si="180"/>
        <v>19896.8</v>
      </c>
      <c r="I969" s="70">
        <v>507612</v>
      </c>
      <c r="J969" s="62" t="s">
        <v>2383</v>
      </c>
      <c r="K969" s="8" t="s">
        <v>2384</v>
      </c>
      <c r="L969" s="10">
        <v>46860</v>
      </c>
      <c r="M969" s="62">
        <v>1</v>
      </c>
      <c r="N969" s="8">
        <v>1</v>
      </c>
      <c r="O969" s="62">
        <f t="shared" si="181"/>
        <v>0</v>
      </c>
      <c r="P969" s="70" t="s">
        <v>2530</v>
      </c>
      <c r="Q969" s="71">
        <v>46157</v>
      </c>
      <c r="R969" s="6">
        <v>46157</v>
      </c>
      <c r="S969" s="64">
        <v>45058.5</v>
      </c>
      <c r="T969" s="22">
        <v>5</v>
      </c>
      <c r="U969" s="64">
        <f t="shared" si="182"/>
        <v>2252.9250000000002</v>
      </c>
      <c r="V969" s="22"/>
      <c r="W969" s="22"/>
      <c r="X969" s="62" t="s">
        <v>792</v>
      </c>
      <c r="Y969" s="62"/>
      <c r="Z969" s="62"/>
      <c r="AA969" s="65">
        <v>4</v>
      </c>
      <c r="AB969" s="66"/>
      <c r="AC969" s="1" t="s">
        <v>1842</v>
      </c>
      <c r="AD969" s="62" t="str">
        <f>VLOOKUP(X969,'Customer List'!B:C,2,)</f>
        <v>Delhi</v>
      </c>
      <c r="AE969" s="67"/>
      <c r="AF969" s="6"/>
      <c r="AG969" s="62" t="str">
        <f t="shared" si="183"/>
        <v/>
      </c>
      <c r="AH969" s="62" t="str">
        <f t="shared" si="184"/>
        <v>Friday</v>
      </c>
      <c r="AI969" s="62" t="str">
        <f t="shared" si="186"/>
        <v/>
      </c>
      <c r="AJ969" s="62" t="str">
        <f>VLOOKUP(AC969,'Currency Sheet'!A:C,3,)</f>
        <v>DOLLAR</v>
      </c>
      <c r="AK969" s="62" t="str">
        <f>VLOOKUP(X969,'Customer List'!B:D,3,)</f>
        <v>Local</v>
      </c>
    </row>
    <row r="970" spans="1:37" hidden="1" x14ac:dyDescent="0.25">
      <c r="A970" s="62">
        <f t="shared" si="185"/>
        <v>955</v>
      </c>
      <c r="B970" s="62" t="s">
        <v>824</v>
      </c>
      <c r="C970" s="62" t="s">
        <v>2296</v>
      </c>
      <c r="D970" s="6">
        <v>46136</v>
      </c>
      <c r="E970" s="6">
        <v>46149</v>
      </c>
      <c r="F970" s="63">
        <v>102.9</v>
      </c>
      <c r="G970" s="64">
        <f t="shared" ref="G970:G1033" si="187">IF(AJ970="DOLLAR",F970*88,F970)</f>
        <v>9055.2000000000007</v>
      </c>
      <c r="H970" s="64">
        <f t="shared" ref="H970:H1033" si="188">G970*M970</f>
        <v>9055.2000000000007</v>
      </c>
      <c r="I970" s="70">
        <v>570102</v>
      </c>
      <c r="J970" s="62" t="s">
        <v>2385</v>
      </c>
      <c r="K970" s="8" t="s">
        <v>2386</v>
      </c>
      <c r="L970" s="10">
        <v>46652</v>
      </c>
      <c r="M970" s="62">
        <v>1</v>
      </c>
      <c r="N970" s="8">
        <v>1</v>
      </c>
      <c r="O970" s="62">
        <f t="shared" ref="O970:O1033" si="189">M970-N970</f>
        <v>0</v>
      </c>
      <c r="P970" s="70">
        <v>280</v>
      </c>
      <c r="Q970" s="71">
        <v>46151</v>
      </c>
      <c r="R970" s="6">
        <v>46151</v>
      </c>
      <c r="S970" s="64">
        <v>17088.75</v>
      </c>
      <c r="T970" s="22">
        <v>5</v>
      </c>
      <c r="U970" s="64">
        <f t="shared" ref="U970:U1033" si="190">S970*T970%</f>
        <v>854.4375</v>
      </c>
      <c r="V970" s="22">
        <v>0.12</v>
      </c>
      <c r="W970" s="22">
        <v>61244</v>
      </c>
      <c r="X970" s="62" t="s">
        <v>2290</v>
      </c>
      <c r="Y970" s="62">
        <v>58165285791</v>
      </c>
      <c r="Z970" s="62" t="s">
        <v>1112</v>
      </c>
      <c r="AA970" s="65">
        <v>-20</v>
      </c>
      <c r="AB970" s="66"/>
      <c r="AC970" s="1" t="s">
        <v>1842</v>
      </c>
      <c r="AD970" s="62" t="str">
        <f>VLOOKUP(X970,'Customer List'!B:C,2,)</f>
        <v>ODISHA</v>
      </c>
      <c r="AE970" s="67"/>
      <c r="AF970" s="6">
        <v>46154</v>
      </c>
      <c r="AG970" s="62">
        <f t="shared" ref="AG970:AG1033" si="191">IF(AF970="", "", AF970-R970)</f>
        <v>3</v>
      </c>
      <c r="AH970" s="62" t="str">
        <f t="shared" ref="AH970:AH1033" si="192">IF(S970="", "", TEXT(S970, "dddd"))</f>
        <v>Sunday</v>
      </c>
      <c r="AI970" s="62" t="str">
        <f t="shared" si="186"/>
        <v>Tuesday</v>
      </c>
      <c r="AJ970" s="62" t="str">
        <f>VLOOKUP(AC970,'Currency Sheet'!A:C,3,)</f>
        <v>DOLLAR</v>
      </c>
      <c r="AK970" s="62" t="str">
        <f>VLOOKUP(X970,'Customer List'!B:D,3,)</f>
        <v>OutStation</v>
      </c>
    </row>
    <row r="971" spans="1:37" hidden="1" x14ac:dyDescent="0.25">
      <c r="A971" s="62">
        <f t="shared" si="185"/>
        <v>956</v>
      </c>
      <c r="B971" s="62" t="s">
        <v>824</v>
      </c>
      <c r="C971" s="62" t="s">
        <v>2296</v>
      </c>
      <c r="D971" s="6">
        <v>46136</v>
      </c>
      <c r="E971" s="6">
        <v>46149</v>
      </c>
      <c r="F971" s="63">
        <v>58.1</v>
      </c>
      <c r="G971" s="64">
        <f t="shared" si="187"/>
        <v>5112.8</v>
      </c>
      <c r="H971" s="64">
        <f t="shared" si="188"/>
        <v>5112.8</v>
      </c>
      <c r="I971" s="70">
        <v>570202</v>
      </c>
      <c r="J971" s="62" t="s">
        <v>2387</v>
      </c>
      <c r="K971" s="8" t="s">
        <v>2388</v>
      </c>
      <c r="L971" s="10">
        <v>46648</v>
      </c>
      <c r="M971" s="62">
        <v>1</v>
      </c>
      <c r="N971" s="8">
        <v>1</v>
      </c>
      <c r="O971" s="62">
        <f t="shared" si="189"/>
        <v>0</v>
      </c>
      <c r="P971" s="70">
        <v>276</v>
      </c>
      <c r="Q971" s="71">
        <v>46151</v>
      </c>
      <c r="R971" s="6">
        <v>46151</v>
      </c>
      <c r="S971" s="64">
        <v>9005.5</v>
      </c>
      <c r="T971" s="22">
        <v>5</v>
      </c>
      <c r="U971" s="64">
        <f t="shared" si="190"/>
        <v>450.27500000000003</v>
      </c>
      <c r="V971" s="22">
        <v>0.22</v>
      </c>
      <c r="W971" s="22">
        <v>9456</v>
      </c>
      <c r="X971" s="62" t="s">
        <v>1361</v>
      </c>
      <c r="Y971" s="62" t="s">
        <v>2485</v>
      </c>
      <c r="Z971" s="62" t="s">
        <v>1112</v>
      </c>
      <c r="AA971" s="65">
        <v>-20</v>
      </c>
      <c r="AB971" s="66"/>
      <c r="AC971" s="1" t="s">
        <v>1842</v>
      </c>
      <c r="AD971" s="62" t="str">
        <f>VLOOKUP(X971,'Customer List'!B:C,2,)</f>
        <v>Chandigarh</v>
      </c>
      <c r="AE971" s="67"/>
      <c r="AF971" s="6"/>
      <c r="AG971" s="62" t="str">
        <f t="shared" si="191"/>
        <v/>
      </c>
      <c r="AH971" s="62" t="str">
        <f t="shared" si="192"/>
        <v>Tuesday</v>
      </c>
      <c r="AI971" s="62" t="str">
        <f t="shared" si="186"/>
        <v/>
      </c>
      <c r="AJ971" s="62" t="str">
        <f>VLOOKUP(AC971,'Currency Sheet'!A:C,3,)</f>
        <v>DOLLAR</v>
      </c>
      <c r="AK971" s="62" t="str">
        <f>VLOOKUP(X971,'Customer List'!B:D,3,)</f>
        <v>OutStation</v>
      </c>
    </row>
    <row r="972" spans="1:37" hidden="1" x14ac:dyDescent="0.25">
      <c r="A972" s="62">
        <f t="shared" si="185"/>
        <v>957</v>
      </c>
      <c r="B972" s="62" t="s">
        <v>824</v>
      </c>
      <c r="C972" s="62" t="s">
        <v>2296</v>
      </c>
      <c r="D972" s="6">
        <v>46136</v>
      </c>
      <c r="E972" s="6">
        <v>46149</v>
      </c>
      <c r="F972" s="63">
        <v>177.1</v>
      </c>
      <c r="G972" s="64">
        <f t="shared" si="187"/>
        <v>15584.8</v>
      </c>
      <c r="H972" s="64">
        <f t="shared" si="188"/>
        <v>15584.8</v>
      </c>
      <c r="I972" s="70">
        <v>572903</v>
      </c>
      <c r="J972" s="62" t="s">
        <v>2389</v>
      </c>
      <c r="K972" s="8" t="s">
        <v>2390</v>
      </c>
      <c r="L972" s="10">
        <v>46393</v>
      </c>
      <c r="M972" s="62">
        <v>1</v>
      </c>
      <c r="N972" s="8">
        <v>1</v>
      </c>
      <c r="O972" s="62">
        <f t="shared" si="189"/>
        <v>0</v>
      </c>
      <c r="P972" s="70">
        <v>281</v>
      </c>
      <c r="Q972" s="71">
        <v>46151</v>
      </c>
      <c r="R972" s="6">
        <v>46151</v>
      </c>
      <c r="S972" s="64">
        <v>29411.25</v>
      </c>
      <c r="T972" s="22">
        <v>5</v>
      </c>
      <c r="U972" s="64">
        <f t="shared" si="190"/>
        <v>1470.5625</v>
      </c>
      <c r="V972" s="22">
        <v>0</v>
      </c>
      <c r="W972" s="22">
        <v>62709</v>
      </c>
      <c r="X972" s="62" t="s">
        <v>2290</v>
      </c>
      <c r="Y972" s="62">
        <v>58165285791</v>
      </c>
      <c r="Z972" s="62" t="s">
        <v>1112</v>
      </c>
      <c r="AA972" s="65">
        <v>-20</v>
      </c>
      <c r="AB972" s="66"/>
      <c r="AC972" s="1" t="s">
        <v>1842</v>
      </c>
      <c r="AD972" s="62" t="str">
        <f>VLOOKUP(X972,'Customer List'!B:C,2,)</f>
        <v>ODISHA</v>
      </c>
      <c r="AE972" s="67"/>
      <c r="AF972" s="6">
        <v>46154</v>
      </c>
      <c r="AG972" s="62">
        <f t="shared" si="191"/>
        <v>3</v>
      </c>
      <c r="AH972" s="62" t="str">
        <f t="shared" si="192"/>
        <v>Wednesday</v>
      </c>
      <c r="AI972" s="62" t="str">
        <f t="shared" si="186"/>
        <v>Tuesday</v>
      </c>
      <c r="AJ972" s="62" t="str">
        <f>VLOOKUP(AC972,'Currency Sheet'!A:C,3,)</f>
        <v>DOLLAR</v>
      </c>
      <c r="AK972" s="62" t="str">
        <f>VLOOKUP(X972,'Customer List'!B:D,3,)</f>
        <v>OutStation</v>
      </c>
    </row>
    <row r="973" spans="1:37" hidden="1" x14ac:dyDescent="0.25">
      <c r="A973" s="62">
        <f t="shared" si="185"/>
        <v>958</v>
      </c>
      <c r="B973" s="62" t="s">
        <v>824</v>
      </c>
      <c r="C973" s="62" t="s">
        <v>2296</v>
      </c>
      <c r="D973" s="6">
        <v>46136</v>
      </c>
      <c r="E973" s="6">
        <v>46149</v>
      </c>
      <c r="F973" s="63">
        <v>177.1</v>
      </c>
      <c r="G973" s="64">
        <f t="shared" si="187"/>
        <v>15584.8</v>
      </c>
      <c r="H973" s="64">
        <f t="shared" si="188"/>
        <v>15584.8</v>
      </c>
      <c r="I973" s="70">
        <v>574004</v>
      </c>
      <c r="J973" s="62" t="s">
        <v>2391</v>
      </c>
      <c r="K973" s="8" t="s">
        <v>2392</v>
      </c>
      <c r="L973" s="10">
        <v>46608</v>
      </c>
      <c r="M973" s="62">
        <v>1</v>
      </c>
      <c r="N973" s="8">
        <v>1</v>
      </c>
      <c r="O973" s="62">
        <f t="shared" si="189"/>
        <v>0</v>
      </c>
      <c r="P973" s="70">
        <v>281</v>
      </c>
      <c r="Q973" s="71">
        <v>46151</v>
      </c>
      <c r="R973" s="6">
        <v>46151</v>
      </c>
      <c r="S973" s="64">
        <v>29411.25</v>
      </c>
      <c r="T973" s="22">
        <v>5</v>
      </c>
      <c r="U973" s="64">
        <f t="shared" si="190"/>
        <v>1470.5625</v>
      </c>
      <c r="V973" s="22">
        <v>0.38</v>
      </c>
      <c r="W973" s="22">
        <v>62709</v>
      </c>
      <c r="X973" s="62" t="s">
        <v>2290</v>
      </c>
      <c r="Y973" s="62">
        <v>58165285791</v>
      </c>
      <c r="Z973" s="62" t="s">
        <v>1112</v>
      </c>
      <c r="AA973" s="65">
        <v>-20</v>
      </c>
      <c r="AB973" s="66"/>
      <c r="AC973" s="1" t="s">
        <v>1842</v>
      </c>
      <c r="AD973" s="62" t="str">
        <f>VLOOKUP(X973,'Customer List'!B:C,2,)</f>
        <v>ODISHA</v>
      </c>
      <c r="AE973" s="67"/>
      <c r="AF973" s="6">
        <v>46154</v>
      </c>
      <c r="AG973" s="62">
        <f t="shared" si="191"/>
        <v>3</v>
      </c>
      <c r="AH973" s="62" t="str">
        <f t="shared" si="192"/>
        <v>Wednesday</v>
      </c>
      <c r="AI973" s="62" t="str">
        <f t="shared" si="186"/>
        <v>Tuesday</v>
      </c>
      <c r="AJ973" s="62" t="str">
        <f>VLOOKUP(AC973,'Currency Sheet'!A:C,3,)</f>
        <v>DOLLAR</v>
      </c>
      <c r="AK973" s="62" t="str">
        <f>VLOOKUP(X973,'Customer List'!B:D,3,)</f>
        <v>OutStation</v>
      </c>
    </row>
    <row r="974" spans="1:37" hidden="1" x14ac:dyDescent="0.25">
      <c r="A974" s="62">
        <f t="shared" si="185"/>
        <v>959</v>
      </c>
      <c r="B974" s="62" t="s">
        <v>824</v>
      </c>
      <c r="C974" s="62" t="s">
        <v>2296</v>
      </c>
      <c r="D974" s="6">
        <v>46136</v>
      </c>
      <c r="E974" s="6">
        <v>46149</v>
      </c>
      <c r="F974" s="63">
        <v>242.9</v>
      </c>
      <c r="G974" s="64">
        <f t="shared" si="187"/>
        <v>21375.200000000001</v>
      </c>
      <c r="H974" s="64">
        <f t="shared" si="188"/>
        <v>21375.200000000001</v>
      </c>
      <c r="I974" s="70">
        <v>579404</v>
      </c>
      <c r="J974" s="62" t="s">
        <v>2393</v>
      </c>
      <c r="K974" s="8" t="s">
        <v>2394</v>
      </c>
      <c r="L974" s="10">
        <v>46499</v>
      </c>
      <c r="M974" s="62">
        <v>1</v>
      </c>
      <c r="N974" s="8">
        <v>1</v>
      </c>
      <c r="O974" s="62">
        <f t="shared" si="189"/>
        <v>0</v>
      </c>
      <c r="P974" s="70">
        <v>280</v>
      </c>
      <c r="Q974" s="71">
        <v>46151</v>
      </c>
      <c r="R974" s="6">
        <v>46151</v>
      </c>
      <c r="S974" s="64">
        <v>40338.75</v>
      </c>
      <c r="T974" s="22">
        <v>5</v>
      </c>
      <c r="U974" s="64">
        <f t="shared" si="190"/>
        <v>2016.9375</v>
      </c>
      <c r="V974" s="22">
        <v>0</v>
      </c>
      <c r="W974" s="22">
        <v>61244</v>
      </c>
      <c r="X974" s="62" t="s">
        <v>2290</v>
      </c>
      <c r="Y974" s="62">
        <v>58165285791</v>
      </c>
      <c r="Z974" s="62" t="s">
        <v>1112</v>
      </c>
      <c r="AA974" s="65">
        <v>-20</v>
      </c>
      <c r="AB974" s="66"/>
      <c r="AC974" s="1" t="s">
        <v>1842</v>
      </c>
      <c r="AD974" s="62" t="str">
        <f>VLOOKUP(X974,'Customer List'!B:C,2,)</f>
        <v>ODISHA</v>
      </c>
      <c r="AE974" s="67"/>
      <c r="AF974" s="6">
        <v>46154</v>
      </c>
      <c r="AG974" s="62">
        <f t="shared" si="191"/>
        <v>3</v>
      </c>
      <c r="AH974" s="62" t="str">
        <f t="shared" si="192"/>
        <v>Wednesday</v>
      </c>
      <c r="AI974" s="62" t="str">
        <f t="shared" si="186"/>
        <v>Tuesday</v>
      </c>
      <c r="AJ974" s="62" t="str">
        <f>VLOOKUP(AC974,'Currency Sheet'!A:C,3,)</f>
        <v>DOLLAR</v>
      </c>
      <c r="AK974" s="62" t="str">
        <f>VLOOKUP(X974,'Customer List'!B:D,3,)</f>
        <v>OutStation</v>
      </c>
    </row>
    <row r="975" spans="1:37" hidden="1" x14ac:dyDescent="0.25">
      <c r="A975" s="62">
        <f t="shared" si="185"/>
        <v>960</v>
      </c>
      <c r="B975" s="62" t="s">
        <v>824</v>
      </c>
      <c r="C975" s="62" t="s">
        <v>2296</v>
      </c>
      <c r="D975" s="6">
        <v>46136</v>
      </c>
      <c r="E975" s="6">
        <v>46149</v>
      </c>
      <c r="F975" s="63">
        <v>254.8</v>
      </c>
      <c r="G975" s="64">
        <f t="shared" si="187"/>
        <v>22422.400000000001</v>
      </c>
      <c r="H975" s="64">
        <f t="shared" si="188"/>
        <v>22422.400000000001</v>
      </c>
      <c r="I975" s="70">
        <v>698912</v>
      </c>
      <c r="J975" s="62" t="s">
        <v>2395</v>
      </c>
      <c r="K975" s="8" t="s">
        <v>2396</v>
      </c>
      <c r="L975" s="10">
        <v>47151</v>
      </c>
      <c r="M975" s="62">
        <v>1</v>
      </c>
      <c r="N975" s="8">
        <v>1</v>
      </c>
      <c r="O975" s="62">
        <f t="shared" si="189"/>
        <v>0</v>
      </c>
      <c r="P975" s="70">
        <v>277</v>
      </c>
      <c r="Q975" s="71">
        <v>46151</v>
      </c>
      <c r="R975" s="6">
        <v>46151</v>
      </c>
      <c r="S975" s="64">
        <v>42315</v>
      </c>
      <c r="T975" s="22">
        <v>5</v>
      </c>
      <c r="U975" s="64">
        <f t="shared" si="190"/>
        <v>2115.75</v>
      </c>
      <c r="V975" s="22">
        <v>1800</v>
      </c>
      <c r="W975" s="22">
        <v>46321</v>
      </c>
      <c r="X975" s="62" t="s">
        <v>2407</v>
      </c>
      <c r="Y975" s="62">
        <v>58165282755</v>
      </c>
      <c r="Z975" s="62" t="s">
        <v>1112</v>
      </c>
      <c r="AA975" s="65">
        <v>4</v>
      </c>
      <c r="AB975" s="66"/>
      <c r="AC975" s="1" t="s">
        <v>1842</v>
      </c>
      <c r="AD975" s="62" t="str">
        <f>VLOOKUP(X975,'Customer List'!B:C,2,)</f>
        <v>Tamilnadu</v>
      </c>
      <c r="AE975" s="67"/>
      <c r="AF975" s="6">
        <v>46153</v>
      </c>
      <c r="AG975" s="62">
        <f t="shared" si="191"/>
        <v>2</v>
      </c>
      <c r="AH975" s="62" t="str">
        <f t="shared" si="192"/>
        <v>Saturday</v>
      </c>
      <c r="AI975" s="62" t="str">
        <f t="shared" si="186"/>
        <v>Monday</v>
      </c>
      <c r="AJ975" s="62" t="str">
        <f>VLOOKUP(AC975,'Currency Sheet'!A:C,3,)</f>
        <v>DOLLAR</v>
      </c>
      <c r="AK975" s="62" t="str">
        <f>VLOOKUP(X975,'Customer List'!B:D,3,)</f>
        <v>OutStation</v>
      </c>
    </row>
    <row r="976" spans="1:37" hidden="1" x14ac:dyDescent="0.25">
      <c r="A976" s="62">
        <f t="shared" si="185"/>
        <v>961</v>
      </c>
      <c r="B976" s="62" t="s">
        <v>824</v>
      </c>
      <c r="C976" s="62" t="s">
        <v>2296</v>
      </c>
      <c r="D976" s="6">
        <v>46136</v>
      </c>
      <c r="E976" s="6">
        <v>46149</v>
      </c>
      <c r="F976" s="63">
        <v>205.8</v>
      </c>
      <c r="G976" s="64">
        <f t="shared" si="187"/>
        <v>18110.400000000001</v>
      </c>
      <c r="H976" s="64">
        <f t="shared" si="188"/>
        <v>18110.400000000001</v>
      </c>
      <c r="I976" s="70">
        <v>740868</v>
      </c>
      <c r="J976" s="62" t="s">
        <v>2397</v>
      </c>
      <c r="K976" s="8" t="s">
        <v>2398</v>
      </c>
      <c r="L976" s="10">
        <v>46337</v>
      </c>
      <c r="M976" s="62">
        <v>1</v>
      </c>
      <c r="N976" s="8">
        <v>1</v>
      </c>
      <c r="O976" s="62">
        <f t="shared" si="189"/>
        <v>0</v>
      </c>
      <c r="P976" s="70">
        <v>284</v>
      </c>
      <c r="Q976" s="71">
        <v>46151</v>
      </c>
      <c r="R976" s="6">
        <v>46151</v>
      </c>
      <c r="S976" s="64">
        <v>33266</v>
      </c>
      <c r="T976" s="22">
        <v>5</v>
      </c>
      <c r="U976" s="64">
        <f t="shared" si="190"/>
        <v>1663.3000000000002</v>
      </c>
      <c r="V976" s="22">
        <v>0</v>
      </c>
      <c r="W976" s="22">
        <v>153864</v>
      </c>
      <c r="X976" s="62" t="s">
        <v>2185</v>
      </c>
      <c r="Y976" s="62">
        <v>58165286830</v>
      </c>
      <c r="Z976" s="62" t="s">
        <v>1112</v>
      </c>
      <c r="AA976" s="65">
        <v>4</v>
      </c>
      <c r="AB976" s="66"/>
      <c r="AC976" s="1" t="s">
        <v>1842</v>
      </c>
      <c r="AD976" s="62" t="str">
        <f>VLOOKUP(X976,'Customer List'!B:C,2,)</f>
        <v>Mumbai</v>
      </c>
      <c r="AE976" s="67"/>
      <c r="AF976" s="6">
        <v>46153</v>
      </c>
      <c r="AG976" s="62">
        <f t="shared" si="191"/>
        <v>2</v>
      </c>
      <c r="AH976" s="62" t="str">
        <f t="shared" si="192"/>
        <v>Monday</v>
      </c>
      <c r="AI976" s="62" t="str">
        <f t="shared" si="186"/>
        <v>Monday</v>
      </c>
      <c r="AJ976" s="62" t="str">
        <f>VLOOKUP(AC976,'Currency Sheet'!A:C,3,)</f>
        <v>DOLLAR</v>
      </c>
      <c r="AK976" s="62" t="str">
        <f>VLOOKUP(X976,'Customer List'!B:D,3,)</f>
        <v>OutStation</v>
      </c>
    </row>
    <row r="977" spans="1:37" hidden="1" x14ac:dyDescent="0.25">
      <c r="A977" s="62">
        <f t="shared" si="185"/>
        <v>962</v>
      </c>
      <c r="B977" s="62" t="s">
        <v>824</v>
      </c>
      <c r="C977" s="62" t="s">
        <v>2296</v>
      </c>
      <c r="D977" s="6">
        <v>46136</v>
      </c>
      <c r="E977" s="6">
        <v>46149</v>
      </c>
      <c r="F977" s="63">
        <v>41.3</v>
      </c>
      <c r="G977" s="64">
        <f t="shared" si="187"/>
        <v>3634.3999999999996</v>
      </c>
      <c r="H977" s="64">
        <f t="shared" si="188"/>
        <v>3634.3999999999996</v>
      </c>
      <c r="I977" s="70">
        <v>740869</v>
      </c>
      <c r="J977" s="62" t="s">
        <v>2399</v>
      </c>
      <c r="K977" s="8" t="s">
        <v>2400</v>
      </c>
      <c r="L977" s="10">
        <v>46492</v>
      </c>
      <c r="M977" s="62">
        <v>1</v>
      </c>
      <c r="N977" s="8">
        <v>1</v>
      </c>
      <c r="O977" s="62">
        <f t="shared" si="189"/>
        <v>0</v>
      </c>
      <c r="P977" s="70">
        <v>284</v>
      </c>
      <c r="Q977" s="71">
        <v>46151</v>
      </c>
      <c r="R977" s="6">
        <v>46151</v>
      </c>
      <c r="S977" s="64">
        <v>6675.85</v>
      </c>
      <c r="T977" s="22">
        <v>5</v>
      </c>
      <c r="U977" s="64">
        <f t="shared" si="190"/>
        <v>333.79250000000002</v>
      </c>
      <c r="V977" s="22">
        <v>0</v>
      </c>
      <c r="W977" s="22">
        <v>153864</v>
      </c>
      <c r="X977" s="62" t="s">
        <v>2185</v>
      </c>
      <c r="Y977" s="62">
        <v>58165286830</v>
      </c>
      <c r="Z977" s="62" t="s">
        <v>1112</v>
      </c>
      <c r="AA977" s="65">
        <v>4</v>
      </c>
      <c r="AB977" s="66"/>
      <c r="AC977" s="1" t="s">
        <v>1842</v>
      </c>
      <c r="AD977" s="62" t="str">
        <f>VLOOKUP(X977,'Customer List'!B:C,2,)</f>
        <v>Mumbai</v>
      </c>
      <c r="AE977" s="67"/>
      <c r="AF977" s="6">
        <v>46153</v>
      </c>
      <c r="AG977" s="62">
        <f t="shared" si="191"/>
        <v>2</v>
      </c>
      <c r="AH977" s="62" t="str">
        <f t="shared" si="192"/>
        <v>Wednesday</v>
      </c>
      <c r="AI977" s="62" t="str">
        <f t="shared" si="186"/>
        <v>Monday</v>
      </c>
      <c r="AJ977" s="62" t="str">
        <f>VLOOKUP(AC977,'Currency Sheet'!A:C,3,)</f>
        <v>DOLLAR</v>
      </c>
      <c r="AK977" s="62" t="str">
        <f>VLOOKUP(X977,'Customer List'!B:D,3,)</f>
        <v>OutStation</v>
      </c>
    </row>
    <row r="978" spans="1:37" hidden="1" x14ac:dyDescent="0.25">
      <c r="A978" s="62">
        <f t="shared" si="185"/>
        <v>963</v>
      </c>
      <c r="B978" s="62" t="s">
        <v>824</v>
      </c>
      <c r="C978" s="62" t="s">
        <v>2296</v>
      </c>
      <c r="D978" s="6">
        <v>46136</v>
      </c>
      <c r="E978" s="6">
        <v>46149</v>
      </c>
      <c r="F978" s="63">
        <v>82.6</v>
      </c>
      <c r="G978" s="64">
        <f t="shared" si="187"/>
        <v>7268.7999999999993</v>
      </c>
      <c r="H978" s="64">
        <f t="shared" si="188"/>
        <v>7268.7999999999993</v>
      </c>
      <c r="I978" s="70">
        <v>740870</v>
      </c>
      <c r="J978" s="62" t="s">
        <v>2401</v>
      </c>
      <c r="K978" s="8" t="s">
        <v>2402</v>
      </c>
      <c r="L978" s="10">
        <v>46400</v>
      </c>
      <c r="M978" s="62">
        <v>1</v>
      </c>
      <c r="N978" s="8">
        <v>1</v>
      </c>
      <c r="O978" s="62">
        <f t="shared" si="189"/>
        <v>0</v>
      </c>
      <c r="P978" s="70">
        <v>284</v>
      </c>
      <c r="Q978" s="71">
        <v>46151</v>
      </c>
      <c r="R978" s="6">
        <v>46151</v>
      </c>
      <c r="S978" s="64">
        <v>13351</v>
      </c>
      <c r="T978" s="22">
        <v>5</v>
      </c>
      <c r="U978" s="64">
        <f t="shared" si="190"/>
        <v>667.55000000000007</v>
      </c>
      <c r="V978" s="22">
        <v>0</v>
      </c>
      <c r="W978" s="22">
        <v>153864</v>
      </c>
      <c r="X978" s="62" t="s">
        <v>2185</v>
      </c>
      <c r="Y978" s="62">
        <v>58165286830</v>
      </c>
      <c r="Z978" s="62" t="s">
        <v>1112</v>
      </c>
      <c r="AA978" s="65">
        <v>4</v>
      </c>
      <c r="AB978" s="66"/>
      <c r="AC978" s="1" t="s">
        <v>1842</v>
      </c>
      <c r="AD978" s="62" t="str">
        <f>VLOOKUP(X978,'Customer List'!B:C,2,)</f>
        <v>Mumbai</v>
      </c>
      <c r="AE978" s="67"/>
      <c r="AF978" s="6">
        <v>46153</v>
      </c>
      <c r="AG978" s="62">
        <f t="shared" si="191"/>
        <v>2</v>
      </c>
      <c r="AH978" s="62" t="str">
        <f t="shared" si="192"/>
        <v>Monday</v>
      </c>
      <c r="AI978" s="62" t="str">
        <f t="shared" si="186"/>
        <v>Monday</v>
      </c>
      <c r="AJ978" s="62" t="str">
        <f>VLOOKUP(AC978,'Currency Sheet'!A:C,3,)</f>
        <v>DOLLAR</v>
      </c>
      <c r="AK978" s="62" t="str">
        <f>VLOOKUP(X978,'Customer List'!B:D,3,)</f>
        <v>OutStation</v>
      </c>
    </row>
    <row r="979" spans="1:37" hidden="1" x14ac:dyDescent="0.25">
      <c r="A979" s="62">
        <f t="shared" si="185"/>
        <v>964</v>
      </c>
      <c r="B979" s="62" t="s">
        <v>824</v>
      </c>
      <c r="C979" s="62" t="s">
        <v>2296</v>
      </c>
      <c r="D979" s="6">
        <v>46136</v>
      </c>
      <c r="E979" s="6">
        <v>46149</v>
      </c>
      <c r="F979" s="63">
        <v>82.6</v>
      </c>
      <c r="G979" s="64">
        <f t="shared" si="187"/>
        <v>7268.7999999999993</v>
      </c>
      <c r="H979" s="64">
        <f t="shared" si="188"/>
        <v>7268.7999999999993</v>
      </c>
      <c r="I979" s="70">
        <v>740981</v>
      </c>
      <c r="J979" s="62" t="s">
        <v>2403</v>
      </c>
      <c r="K979" s="8" t="s">
        <v>2404</v>
      </c>
      <c r="L979" s="10">
        <v>46750</v>
      </c>
      <c r="M979" s="62">
        <v>1</v>
      </c>
      <c r="N979" s="8">
        <v>1</v>
      </c>
      <c r="O979" s="62">
        <f t="shared" si="189"/>
        <v>0</v>
      </c>
      <c r="P979" s="70">
        <v>284</v>
      </c>
      <c r="Q979" s="71">
        <v>46151</v>
      </c>
      <c r="R979" s="6">
        <v>46151</v>
      </c>
      <c r="S979" s="64">
        <v>13351</v>
      </c>
      <c r="T979" s="22">
        <v>5</v>
      </c>
      <c r="U979" s="64">
        <f t="shared" si="190"/>
        <v>667.55000000000007</v>
      </c>
      <c r="V979" s="22">
        <v>0</v>
      </c>
      <c r="W979" s="22">
        <v>153864</v>
      </c>
      <c r="X979" s="62" t="s">
        <v>2185</v>
      </c>
      <c r="Y979" s="62">
        <v>58165286830</v>
      </c>
      <c r="Z979" s="62" t="s">
        <v>1112</v>
      </c>
      <c r="AA979" s="65">
        <v>4</v>
      </c>
      <c r="AB979" s="66"/>
      <c r="AC979" s="1" t="s">
        <v>1842</v>
      </c>
      <c r="AD979" s="62" t="str">
        <f>VLOOKUP(X979,'Customer List'!B:C,2,)</f>
        <v>Mumbai</v>
      </c>
      <c r="AE979" s="67"/>
      <c r="AF979" s="6">
        <v>46153</v>
      </c>
      <c r="AG979" s="62">
        <f t="shared" si="191"/>
        <v>2</v>
      </c>
      <c r="AH979" s="62" t="str">
        <f t="shared" si="192"/>
        <v>Monday</v>
      </c>
      <c r="AI979" s="62" t="str">
        <f t="shared" si="186"/>
        <v>Monday</v>
      </c>
      <c r="AJ979" s="62" t="str">
        <f>VLOOKUP(AC979,'Currency Sheet'!A:C,3,)</f>
        <v>DOLLAR</v>
      </c>
      <c r="AK979" s="62" t="str">
        <f>VLOOKUP(X979,'Customer List'!B:D,3,)</f>
        <v>OutStation</v>
      </c>
    </row>
    <row r="980" spans="1:37" s="56" customFormat="1" hidden="1" x14ac:dyDescent="0.25">
      <c r="A980" s="48">
        <f t="shared" si="185"/>
        <v>965</v>
      </c>
      <c r="B980" s="48" t="s">
        <v>1369</v>
      </c>
      <c r="C980" s="48" t="s">
        <v>2409</v>
      </c>
      <c r="D980" s="50">
        <v>46147</v>
      </c>
      <c r="E980" s="50">
        <v>46149</v>
      </c>
      <c r="F980" s="57">
        <v>8199</v>
      </c>
      <c r="G980" s="51">
        <f t="shared" si="187"/>
        <v>8199</v>
      </c>
      <c r="H980" s="51">
        <f t="shared" si="188"/>
        <v>8199</v>
      </c>
      <c r="I980" s="58" t="s">
        <v>2410</v>
      </c>
      <c r="J980" s="48"/>
      <c r="K980" s="47" t="s">
        <v>2411</v>
      </c>
      <c r="L980" s="49">
        <v>46843</v>
      </c>
      <c r="M980" s="48">
        <v>1</v>
      </c>
      <c r="N980" s="47">
        <v>1</v>
      </c>
      <c r="O980" s="48">
        <f t="shared" si="189"/>
        <v>0</v>
      </c>
      <c r="P980" s="58">
        <v>303</v>
      </c>
      <c r="Q980" s="59">
        <v>46155</v>
      </c>
      <c r="R980" s="50">
        <v>46155</v>
      </c>
      <c r="S980" s="51">
        <v>9293.0499999999993</v>
      </c>
      <c r="T980" s="52">
        <v>18</v>
      </c>
      <c r="U980" s="51">
        <f t="shared" si="190"/>
        <v>1672.7489999999998</v>
      </c>
      <c r="V980" s="52">
        <v>0.21</v>
      </c>
      <c r="W980" s="52">
        <v>10966</v>
      </c>
      <c r="X980" s="48" t="s">
        <v>1995</v>
      </c>
      <c r="Y980" s="48" t="s">
        <v>1120</v>
      </c>
      <c r="Z980" s="48" t="s">
        <v>1116</v>
      </c>
      <c r="AA980" s="53">
        <v>4</v>
      </c>
      <c r="AB980" s="54"/>
      <c r="AC980" s="60" t="s">
        <v>1369</v>
      </c>
      <c r="AD980" s="48" t="str">
        <f>VLOOKUP(X980,'Customer List'!B:C,2,)</f>
        <v>DELHI</v>
      </c>
      <c r="AE980" s="55"/>
      <c r="AF980" s="50"/>
      <c r="AG980" s="48" t="str">
        <f t="shared" si="191"/>
        <v/>
      </c>
      <c r="AH980" s="48" t="str">
        <f t="shared" si="192"/>
        <v>Wednesday</v>
      </c>
      <c r="AI980" s="48" t="str">
        <f t="shared" si="186"/>
        <v/>
      </c>
      <c r="AJ980" s="48" t="str">
        <f>VLOOKUP(AC980,'Currency Sheet'!A:C,3,)</f>
        <v>INR</v>
      </c>
      <c r="AK980" s="48" t="str">
        <f>VLOOKUP(X980,'Customer List'!B:D,3,)</f>
        <v>Local</v>
      </c>
    </row>
    <row r="981" spans="1:37" s="56" customFormat="1" hidden="1" x14ac:dyDescent="0.25">
      <c r="A981" s="48">
        <f t="shared" si="185"/>
        <v>966</v>
      </c>
      <c r="B981" s="48" t="s">
        <v>1369</v>
      </c>
      <c r="C981" s="48" t="s">
        <v>2414</v>
      </c>
      <c r="D981" s="50">
        <v>46147</v>
      </c>
      <c r="E981" s="50">
        <v>46149</v>
      </c>
      <c r="F981" s="57">
        <v>6675.75</v>
      </c>
      <c r="G981" s="51">
        <f t="shared" si="187"/>
        <v>6675.75</v>
      </c>
      <c r="H981" s="51">
        <f t="shared" si="188"/>
        <v>6675.75</v>
      </c>
      <c r="I981" s="58" t="s">
        <v>2413</v>
      </c>
      <c r="J981" s="48"/>
      <c r="K981" s="47" t="s">
        <v>2412</v>
      </c>
      <c r="L981" s="49">
        <v>46838</v>
      </c>
      <c r="M981" s="48">
        <v>1</v>
      </c>
      <c r="N981" s="47">
        <v>1</v>
      </c>
      <c r="O981" s="48">
        <f t="shared" si="189"/>
        <v>0</v>
      </c>
      <c r="P981" s="58" t="s">
        <v>2478</v>
      </c>
      <c r="Q981" s="59">
        <v>46153</v>
      </c>
      <c r="R981" s="50">
        <v>46153</v>
      </c>
      <c r="S981" s="51">
        <v>0</v>
      </c>
      <c r="T981" s="52">
        <v>18</v>
      </c>
      <c r="U981" s="51">
        <f t="shared" si="190"/>
        <v>0</v>
      </c>
      <c r="V981" s="52">
        <v>0</v>
      </c>
      <c r="W981" s="52">
        <v>0</v>
      </c>
      <c r="X981" s="48" t="s">
        <v>797</v>
      </c>
      <c r="Y981" s="48" t="s">
        <v>1120</v>
      </c>
      <c r="Z981" s="48" t="s">
        <v>1863</v>
      </c>
      <c r="AA981" s="53">
        <v>-20</v>
      </c>
      <c r="AB981" s="54" t="s">
        <v>2479</v>
      </c>
      <c r="AC981" s="60" t="s">
        <v>1369</v>
      </c>
      <c r="AD981" s="48" t="str">
        <f>VLOOKUP(X981,'Customer List'!B:C,2,)</f>
        <v>Delhi</v>
      </c>
      <c r="AE981" s="55"/>
      <c r="AF981" s="50"/>
      <c r="AG981" s="48" t="str">
        <f t="shared" si="191"/>
        <v/>
      </c>
      <c r="AH981" s="48" t="str">
        <f t="shared" si="192"/>
        <v>Saturday</v>
      </c>
      <c r="AI981" s="48" t="str">
        <f t="shared" si="186"/>
        <v/>
      </c>
      <c r="AJ981" s="48" t="str">
        <f>VLOOKUP(AC981,'Currency Sheet'!A:C,3,)</f>
        <v>INR</v>
      </c>
      <c r="AK981" s="48" t="str">
        <f>VLOOKUP(X981,'Customer List'!B:D,3,)</f>
        <v>Local</v>
      </c>
    </row>
    <row r="982" spans="1:37" hidden="1" x14ac:dyDescent="0.25">
      <c r="A982" s="62">
        <f t="shared" si="185"/>
        <v>967</v>
      </c>
      <c r="B982" s="62" t="s">
        <v>824</v>
      </c>
      <c r="C982" s="62" t="s">
        <v>2415</v>
      </c>
      <c r="D982" s="6">
        <v>46141</v>
      </c>
      <c r="E982" s="6">
        <v>46153</v>
      </c>
      <c r="F982" s="63">
        <v>205.1</v>
      </c>
      <c r="G982" s="64">
        <f t="shared" si="187"/>
        <v>18048.8</v>
      </c>
      <c r="H982" s="64">
        <f t="shared" si="188"/>
        <v>18048.8</v>
      </c>
      <c r="I982" s="70">
        <v>127106</v>
      </c>
      <c r="J982" s="62" t="s">
        <v>2416</v>
      </c>
      <c r="K982" s="8" t="s">
        <v>2417</v>
      </c>
      <c r="L982" s="10">
        <v>47230</v>
      </c>
      <c r="M982" s="62">
        <v>1</v>
      </c>
      <c r="N982" s="8"/>
      <c r="O982" s="62">
        <f t="shared" si="189"/>
        <v>1</v>
      </c>
      <c r="P982" s="70"/>
      <c r="Q982" s="71"/>
      <c r="R982" s="6"/>
      <c r="S982" s="64">
        <v>31790.5</v>
      </c>
      <c r="T982" s="22">
        <v>5</v>
      </c>
      <c r="U982" s="64">
        <f t="shared" si="190"/>
        <v>1589.5250000000001</v>
      </c>
      <c r="V982" s="22">
        <v>0.14000000000000001</v>
      </c>
      <c r="W982" s="22">
        <v>82254</v>
      </c>
      <c r="X982" s="62" t="s">
        <v>1991</v>
      </c>
      <c r="Y982" s="62"/>
      <c r="Z982" s="62"/>
      <c r="AA982" s="65">
        <v>4</v>
      </c>
      <c r="AB982" s="66"/>
      <c r="AC982" s="1" t="s">
        <v>13</v>
      </c>
      <c r="AD982" s="62" t="str">
        <f>VLOOKUP(X982,'Customer List'!B:C,2,)</f>
        <v>Chandigarh</v>
      </c>
      <c r="AE982" s="67" t="s">
        <v>1113</v>
      </c>
      <c r="AF982" s="6"/>
      <c r="AG982" s="62" t="str">
        <f t="shared" si="191"/>
        <v/>
      </c>
      <c r="AH982" s="62" t="str">
        <f t="shared" si="192"/>
        <v>Tuesday</v>
      </c>
      <c r="AI982" s="62" t="str">
        <f t="shared" si="186"/>
        <v/>
      </c>
      <c r="AJ982" s="62" t="str">
        <f>VLOOKUP(AC982,'Currency Sheet'!A:C,3,)</f>
        <v>DOLLAR</v>
      </c>
      <c r="AK982" s="62" t="str">
        <f>VLOOKUP(X982,'Customer List'!B:D,3,)</f>
        <v>OutStation</v>
      </c>
    </row>
    <row r="983" spans="1:37" hidden="1" x14ac:dyDescent="0.25">
      <c r="A983" s="62">
        <f t="shared" si="185"/>
        <v>968</v>
      </c>
      <c r="B983" s="62" t="s">
        <v>824</v>
      </c>
      <c r="C983" s="62" t="s">
        <v>2415</v>
      </c>
      <c r="D983" s="6">
        <v>46141</v>
      </c>
      <c r="E983" s="6">
        <v>46153</v>
      </c>
      <c r="F983" s="63">
        <v>248.3</v>
      </c>
      <c r="G983" s="64">
        <f t="shared" si="187"/>
        <v>21850.400000000001</v>
      </c>
      <c r="H983" s="64">
        <f t="shared" si="188"/>
        <v>21850.400000000001</v>
      </c>
      <c r="I983" s="70">
        <v>131220</v>
      </c>
      <c r="J983" s="62" t="s">
        <v>2418</v>
      </c>
      <c r="K983" s="8" t="s">
        <v>2419</v>
      </c>
      <c r="L983" s="10">
        <v>47413</v>
      </c>
      <c r="M983" s="62">
        <v>1</v>
      </c>
      <c r="N983" s="8">
        <v>1</v>
      </c>
      <c r="O983" s="62">
        <f t="shared" si="189"/>
        <v>0</v>
      </c>
      <c r="P983" s="70">
        <v>324</v>
      </c>
      <c r="Q983" s="71">
        <v>46160</v>
      </c>
      <c r="R983" s="6">
        <v>46160</v>
      </c>
      <c r="S983" s="64">
        <v>32661</v>
      </c>
      <c r="T983" s="22">
        <v>5</v>
      </c>
      <c r="U983" s="64">
        <f t="shared" si="190"/>
        <v>1633.0500000000002</v>
      </c>
      <c r="V983" s="22">
        <v>-0.06</v>
      </c>
      <c r="W983" s="22">
        <v>34294</v>
      </c>
      <c r="X983" s="62" t="s">
        <v>793</v>
      </c>
      <c r="Y983" s="62"/>
      <c r="Z983" s="62"/>
      <c r="AA983" s="65">
        <v>4</v>
      </c>
      <c r="AB983" s="66"/>
      <c r="AC983" s="1" t="s">
        <v>13</v>
      </c>
      <c r="AD983" s="62" t="str">
        <f>VLOOKUP(X983,'Customer List'!B:C,2,)</f>
        <v>Delhi</v>
      </c>
      <c r="AE983" s="67"/>
      <c r="AF983" s="6"/>
      <c r="AG983" s="62" t="str">
        <f t="shared" si="191"/>
        <v/>
      </c>
      <c r="AH983" s="62" t="str">
        <f t="shared" si="192"/>
        <v>Friday</v>
      </c>
      <c r="AI983" s="62" t="str">
        <f t="shared" si="186"/>
        <v/>
      </c>
      <c r="AJ983" s="62" t="str">
        <f>VLOOKUP(AC983,'Currency Sheet'!A:C,3,)</f>
        <v>DOLLAR</v>
      </c>
      <c r="AK983" s="62" t="str">
        <f>VLOOKUP(X983,'Customer List'!B:D,3,)</f>
        <v>Local</v>
      </c>
    </row>
    <row r="984" spans="1:37" hidden="1" x14ac:dyDescent="0.25">
      <c r="A984" s="62">
        <f t="shared" si="185"/>
        <v>969</v>
      </c>
      <c r="B984" s="62" t="s">
        <v>824</v>
      </c>
      <c r="C984" s="62" t="s">
        <v>2415</v>
      </c>
      <c r="D984" s="6">
        <v>46141</v>
      </c>
      <c r="E984" s="6">
        <v>46153</v>
      </c>
      <c r="F984" s="63">
        <v>248.3</v>
      </c>
      <c r="G984" s="64">
        <f t="shared" si="187"/>
        <v>21850.400000000001</v>
      </c>
      <c r="H984" s="64">
        <f t="shared" si="188"/>
        <v>21850.400000000001</v>
      </c>
      <c r="I984" s="70">
        <v>131220</v>
      </c>
      <c r="J984" s="62" t="s">
        <v>2418</v>
      </c>
      <c r="K984" s="8" t="s">
        <v>2419</v>
      </c>
      <c r="L984" s="10">
        <v>47413</v>
      </c>
      <c r="M984" s="62">
        <v>1</v>
      </c>
      <c r="N984" s="8"/>
      <c r="O984" s="62">
        <f t="shared" si="189"/>
        <v>1</v>
      </c>
      <c r="P984" s="70"/>
      <c r="Q984" s="71"/>
      <c r="R984" s="6"/>
      <c r="S984" s="64"/>
      <c r="T984" s="22">
        <v>5</v>
      </c>
      <c r="U984" s="64">
        <f t="shared" si="190"/>
        <v>0</v>
      </c>
      <c r="V984" s="22"/>
      <c r="W984" s="22"/>
      <c r="X984" s="62" t="s">
        <v>257</v>
      </c>
      <c r="Y984" s="62"/>
      <c r="Z984" s="62"/>
      <c r="AA984" s="65">
        <v>4</v>
      </c>
      <c r="AB984" s="66" t="s">
        <v>2565</v>
      </c>
      <c r="AC984" s="1" t="s">
        <v>13</v>
      </c>
      <c r="AD984" s="62" t="str">
        <f>VLOOKUP(X984,'Customer List'!B:C,2,)</f>
        <v>STOCK</v>
      </c>
      <c r="AE984" s="67"/>
      <c r="AF984" s="6"/>
      <c r="AG984" s="62" t="str">
        <f t="shared" si="191"/>
        <v/>
      </c>
      <c r="AH984" s="62" t="str">
        <f t="shared" si="192"/>
        <v/>
      </c>
      <c r="AI984" s="62" t="str">
        <f t="shared" si="186"/>
        <v/>
      </c>
      <c r="AJ984" s="62" t="str">
        <f>VLOOKUP(AC984,'Currency Sheet'!A:C,3,)</f>
        <v>DOLLAR</v>
      </c>
      <c r="AK984" s="62" t="str">
        <f>VLOOKUP(X984,'Customer List'!B:D,3,)</f>
        <v>STOCK</v>
      </c>
    </row>
    <row r="985" spans="1:37" hidden="1" x14ac:dyDescent="0.25">
      <c r="A985" s="62">
        <f t="shared" si="185"/>
        <v>970</v>
      </c>
      <c r="B985" s="62" t="s">
        <v>824</v>
      </c>
      <c r="C985" s="62" t="s">
        <v>2415</v>
      </c>
      <c r="D985" s="6">
        <v>46141</v>
      </c>
      <c r="E985" s="6">
        <v>46153</v>
      </c>
      <c r="F985" s="63">
        <v>102.2</v>
      </c>
      <c r="G985" s="64">
        <f t="shared" si="187"/>
        <v>8993.6</v>
      </c>
      <c r="H985" s="64">
        <f t="shared" si="188"/>
        <v>8993.6</v>
      </c>
      <c r="I985" s="70">
        <v>300550</v>
      </c>
      <c r="J985" s="62" t="s">
        <v>2420</v>
      </c>
      <c r="K985" s="8" t="s">
        <v>2421</v>
      </c>
      <c r="L985" s="10">
        <v>47933</v>
      </c>
      <c r="M985" s="62">
        <v>1</v>
      </c>
      <c r="N985" s="8">
        <v>1</v>
      </c>
      <c r="O985" s="62">
        <f t="shared" si="189"/>
        <v>0</v>
      </c>
      <c r="P985" s="70" t="s">
        <v>2530</v>
      </c>
      <c r="Q985" s="71">
        <v>46157</v>
      </c>
      <c r="R985" s="6">
        <v>46157</v>
      </c>
      <c r="S985" s="64">
        <v>20367</v>
      </c>
      <c r="T985" s="22">
        <v>5</v>
      </c>
      <c r="U985" s="64">
        <f t="shared" si="190"/>
        <v>1018.35</v>
      </c>
      <c r="V985" s="22"/>
      <c r="W985" s="22"/>
      <c r="X985" s="62" t="s">
        <v>792</v>
      </c>
      <c r="Y985" s="62"/>
      <c r="Z985" s="62"/>
      <c r="AA985" s="65">
        <v>4</v>
      </c>
      <c r="AB985" s="66"/>
      <c r="AC985" s="1" t="s">
        <v>13</v>
      </c>
      <c r="AD985" s="62" t="str">
        <f>VLOOKUP(X985,'Customer List'!B:C,2,)</f>
        <v>Delhi</v>
      </c>
      <c r="AE985" s="67"/>
      <c r="AF985" s="6"/>
      <c r="AG985" s="62" t="str">
        <f t="shared" si="191"/>
        <v/>
      </c>
      <c r="AH985" s="62" t="str">
        <f t="shared" si="192"/>
        <v>Wednesday</v>
      </c>
      <c r="AI985" s="62" t="str">
        <f t="shared" si="186"/>
        <v/>
      </c>
      <c r="AJ985" s="62" t="str">
        <f>VLOOKUP(AC985,'Currency Sheet'!A:C,3,)</f>
        <v>DOLLAR</v>
      </c>
      <c r="AK985" s="62" t="str">
        <f>VLOOKUP(X985,'Customer List'!B:D,3,)</f>
        <v>Local</v>
      </c>
    </row>
    <row r="986" spans="1:37" hidden="1" x14ac:dyDescent="0.25">
      <c r="A986" s="62">
        <f t="shared" si="185"/>
        <v>971</v>
      </c>
      <c r="B986" s="62" t="s">
        <v>824</v>
      </c>
      <c r="C986" s="62" t="s">
        <v>2415</v>
      </c>
      <c r="D986" s="6">
        <v>46141</v>
      </c>
      <c r="E986" s="6">
        <v>46153</v>
      </c>
      <c r="F986" s="63">
        <v>185.5</v>
      </c>
      <c r="G986" s="64">
        <f t="shared" si="187"/>
        <v>16324</v>
      </c>
      <c r="H986" s="64">
        <f t="shared" si="188"/>
        <v>81620</v>
      </c>
      <c r="I986" s="70">
        <v>300920</v>
      </c>
      <c r="J986" s="62" t="s">
        <v>2422</v>
      </c>
      <c r="K986" s="8" t="s">
        <v>2423</v>
      </c>
      <c r="L986" s="10">
        <v>47569</v>
      </c>
      <c r="M986" s="62">
        <v>5</v>
      </c>
      <c r="N986" s="8">
        <v>5</v>
      </c>
      <c r="O986" s="62">
        <f t="shared" si="189"/>
        <v>0</v>
      </c>
      <c r="P986" s="70">
        <v>300</v>
      </c>
      <c r="Q986" s="71">
        <v>46153</v>
      </c>
      <c r="R986" s="6">
        <v>46154</v>
      </c>
      <c r="S986" s="64">
        <v>143762.5</v>
      </c>
      <c r="T986" s="22">
        <v>5</v>
      </c>
      <c r="U986" s="64">
        <f t="shared" si="190"/>
        <v>7188.125</v>
      </c>
      <c r="V986" s="22">
        <v>0</v>
      </c>
      <c r="W986" s="22">
        <v>470055</v>
      </c>
      <c r="X986" s="62" t="s">
        <v>1110</v>
      </c>
      <c r="Y986" s="62">
        <v>58165382310</v>
      </c>
      <c r="Z986" s="62" t="s">
        <v>1112</v>
      </c>
      <c r="AA986" s="65">
        <v>4</v>
      </c>
      <c r="AB986" s="66"/>
      <c r="AC986" s="1" t="s">
        <v>13</v>
      </c>
      <c r="AD986" s="62" t="str">
        <f>VLOOKUP(X986,'Customer List'!B:C,2,)</f>
        <v>Banglore</v>
      </c>
      <c r="AE986" s="67"/>
      <c r="AF986" s="6">
        <v>46155</v>
      </c>
      <c r="AG986" s="62">
        <f t="shared" si="191"/>
        <v>1</v>
      </c>
      <c r="AH986" s="62" t="str">
        <f t="shared" si="192"/>
        <v>Tuesday</v>
      </c>
      <c r="AI986" s="62" t="str">
        <f t="shared" si="186"/>
        <v>Wednesday</v>
      </c>
      <c r="AJ986" s="62" t="str">
        <f>VLOOKUP(AC986,'Currency Sheet'!A:C,3,)</f>
        <v>DOLLAR</v>
      </c>
      <c r="AK986" s="62" t="str">
        <f>VLOOKUP(X986,'Customer List'!B:D,3,)</f>
        <v>OutStation</v>
      </c>
    </row>
    <row r="987" spans="1:37" hidden="1" x14ac:dyDescent="0.25">
      <c r="A987" s="62">
        <f t="shared" si="185"/>
        <v>972</v>
      </c>
      <c r="B987" s="62" t="s">
        <v>824</v>
      </c>
      <c r="C987" s="62" t="s">
        <v>2415</v>
      </c>
      <c r="D987" s="6">
        <v>46141</v>
      </c>
      <c r="E987" s="6">
        <v>46153</v>
      </c>
      <c r="F987" s="63">
        <v>169.4</v>
      </c>
      <c r="G987" s="64">
        <f t="shared" si="187"/>
        <v>14907.2</v>
      </c>
      <c r="H987" s="64">
        <f t="shared" si="188"/>
        <v>14907.2</v>
      </c>
      <c r="I987" s="70">
        <v>302008</v>
      </c>
      <c r="J987" s="62" t="s">
        <v>2324</v>
      </c>
      <c r="K987" s="8" t="s">
        <v>950</v>
      </c>
      <c r="L987" s="10">
        <v>47121</v>
      </c>
      <c r="M987" s="62">
        <v>1</v>
      </c>
      <c r="N987" s="8">
        <v>1</v>
      </c>
      <c r="O987" s="62">
        <f t="shared" si="189"/>
        <v>0</v>
      </c>
      <c r="P987" s="70">
        <v>299</v>
      </c>
      <c r="Q987" s="71">
        <v>46153</v>
      </c>
      <c r="R987" s="6">
        <v>46154</v>
      </c>
      <c r="S987" s="64">
        <v>28132</v>
      </c>
      <c r="T987" s="22">
        <v>5</v>
      </c>
      <c r="U987" s="64">
        <f t="shared" si="190"/>
        <v>1406.6000000000001</v>
      </c>
      <c r="V987" s="22">
        <v>0.37</v>
      </c>
      <c r="W987" s="22">
        <v>116448</v>
      </c>
      <c r="X987" s="62" t="s">
        <v>289</v>
      </c>
      <c r="Y987" s="62">
        <v>58165382726</v>
      </c>
      <c r="Z987" s="62" t="s">
        <v>1112</v>
      </c>
      <c r="AA987" s="65">
        <v>4</v>
      </c>
      <c r="AB987" s="66"/>
      <c r="AC987" s="1" t="s">
        <v>13</v>
      </c>
      <c r="AD987" s="62" t="str">
        <f>VLOOKUP(X987,'Customer List'!B:C,2,)</f>
        <v>BANGALORE</v>
      </c>
      <c r="AE987" s="67"/>
      <c r="AF987" s="6">
        <v>46155</v>
      </c>
      <c r="AG987" s="62">
        <f t="shared" si="191"/>
        <v>1</v>
      </c>
      <c r="AH987" s="62" t="str">
        <f t="shared" si="192"/>
        <v>Friday</v>
      </c>
      <c r="AI987" s="62" t="str">
        <f t="shared" si="186"/>
        <v>Wednesday</v>
      </c>
      <c r="AJ987" s="62" t="str">
        <f>VLOOKUP(AC987,'Currency Sheet'!A:C,3,)</f>
        <v>DOLLAR</v>
      </c>
      <c r="AK987" s="62" t="str">
        <f>VLOOKUP(X987,'Customer List'!B:D,3,)</f>
        <v>OutStation</v>
      </c>
    </row>
    <row r="988" spans="1:37" hidden="1" x14ac:dyDescent="0.25">
      <c r="A988" s="62">
        <f t="shared" si="185"/>
        <v>973</v>
      </c>
      <c r="B988" s="62" t="s">
        <v>824</v>
      </c>
      <c r="C988" s="62" t="s">
        <v>2415</v>
      </c>
      <c r="D988" s="6">
        <v>46141</v>
      </c>
      <c r="E988" s="6">
        <v>46153</v>
      </c>
      <c r="F988" s="63">
        <v>204.4</v>
      </c>
      <c r="G988" s="64">
        <f t="shared" si="187"/>
        <v>17987.2</v>
      </c>
      <c r="H988" s="64">
        <f t="shared" si="188"/>
        <v>53961.600000000006</v>
      </c>
      <c r="I988" s="70">
        <v>302216</v>
      </c>
      <c r="J988" s="62" t="s">
        <v>1706</v>
      </c>
      <c r="K988" s="8" t="s">
        <v>2325</v>
      </c>
      <c r="L988" s="10">
        <v>47555</v>
      </c>
      <c r="M988" s="62">
        <v>3</v>
      </c>
      <c r="N988" s="8">
        <v>3</v>
      </c>
      <c r="O988" s="62">
        <f t="shared" si="189"/>
        <v>0</v>
      </c>
      <c r="P988" s="70">
        <v>300</v>
      </c>
      <c r="Q988" s="71">
        <v>46153</v>
      </c>
      <c r="R988" s="6">
        <v>46154</v>
      </c>
      <c r="S988" s="64">
        <v>95046</v>
      </c>
      <c r="T988" s="22">
        <v>5</v>
      </c>
      <c r="U988" s="64">
        <f t="shared" si="190"/>
        <v>4752.3</v>
      </c>
      <c r="V988" s="22">
        <v>0</v>
      </c>
      <c r="W988" s="22">
        <v>470055</v>
      </c>
      <c r="X988" s="62" t="s">
        <v>1110</v>
      </c>
      <c r="Y988" s="62">
        <v>58165382310</v>
      </c>
      <c r="Z988" s="62" t="s">
        <v>1112</v>
      </c>
      <c r="AA988" s="65">
        <v>4</v>
      </c>
      <c r="AB988" s="66"/>
      <c r="AC988" s="1" t="s">
        <v>13</v>
      </c>
      <c r="AD988" s="62" t="str">
        <f>VLOOKUP(X988,'Customer List'!B:C,2,)</f>
        <v>Banglore</v>
      </c>
      <c r="AE988" s="67"/>
      <c r="AF988" s="6">
        <v>46155</v>
      </c>
      <c r="AG988" s="62">
        <f t="shared" si="191"/>
        <v>1</v>
      </c>
      <c r="AH988" s="62" t="str">
        <f t="shared" si="192"/>
        <v>Saturday</v>
      </c>
      <c r="AI988" s="62" t="str">
        <f t="shared" si="186"/>
        <v>Wednesday</v>
      </c>
      <c r="AJ988" s="62" t="str">
        <f>VLOOKUP(AC988,'Currency Sheet'!A:C,3,)</f>
        <v>DOLLAR</v>
      </c>
      <c r="AK988" s="62" t="str">
        <f>VLOOKUP(X988,'Customer List'!B:D,3,)</f>
        <v>OutStation</v>
      </c>
    </row>
    <row r="989" spans="1:37" hidden="1" x14ac:dyDescent="0.25">
      <c r="A989" s="62">
        <f t="shared" si="185"/>
        <v>974</v>
      </c>
      <c r="B989" s="62" t="s">
        <v>824</v>
      </c>
      <c r="C989" s="62" t="s">
        <v>2415</v>
      </c>
      <c r="D989" s="6">
        <v>46141</v>
      </c>
      <c r="E989" s="6">
        <v>46153</v>
      </c>
      <c r="F989" s="63">
        <v>285.75</v>
      </c>
      <c r="G989" s="64">
        <f t="shared" si="187"/>
        <v>25146</v>
      </c>
      <c r="H989" s="64">
        <f t="shared" si="188"/>
        <v>25146</v>
      </c>
      <c r="I989" s="70">
        <v>302330</v>
      </c>
      <c r="J989" s="62" t="s">
        <v>2424</v>
      </c>
      <c r="K989" s="8" t="s">
        <v>2425</v>
      </c>
      <c r="L989" s="10">
        <v>46839</v>
      </c>
      <c r="M989" s="62">
        <v>1</v>
      </c>
      <c r="N989" s="8">
        <v>1</v>
      </c>
      <c r="O989" s="62">
        <f t="shared" si="189"/>
        <v>0</v>
      </c>
      <c r="P989" s="70">
        <v>298</v>
      </c>
      <c r="Q989" s="71">
        <v>46153</v>
      </c>
      <c r="R989" s="6">
        <v>46154</v>
      </c>
      <c r="S989" s="64">
        <v>41338.5</v>
      </c>
      <c r="T989" s="22">
        <v>5</v>
      </c>
      <c r="U989" s="64">
        <f t="shared" si="190"/>
        <v>2066.9250000000002</v>
      </c>
      <c r="V989" s="22">
        <v>0.09</v>
      </c>
      <c r="W989" s="22">
        <v>59491</v>
      </c>
      <c r="X989" s="62" t="s">
        <v>806</v>
      </c>
      <c r="Y989" s="62">
        <v>58165375122</v>
      </c>
      <c r="Z989" s="62" t="s">
        <v>1112</v>
      </c>
      <c r="AA989" s="65">
        <v>4</v>
      </c>
      <c r="AB989" s="66"/>
      <c r="AC989" s="1" t="s">
        <v>13</v>
      </c>
      <c r="AD989" s="62" t="str">
        <f>VLOOKUP(X989,'Customer List'!B:C,2,)</f>
        <v>Kerala</v>
      </c>
      <c r="AE989" s="67"/>
      <c r="AF989" s="6">
        <v>46158</v>
      </c>
      <c r="AG989" s="62">
        <f t="shared" si="191"/>
        <v>4</v>
      </c>
      <c r="AH989" s="62" t="str">
        <f t="shared" si="192"/>
        <v>Tuesday</v>
      </c>
      <c r="AI989" s="62" t="str">
        <f t="shared" si="186"/>
        <v>Saturday</v>
      </c>
      <c r="AJ989" s="62" t="str">
        <f>VLOOKUP(AC989,'Currency Sheet'!A:C,3,)</f>
        <v>DOLLAR</v>
      </c>
      <c r="AK989" s="62" t="str">
        <f>VLOOKUP(X989,'Customer List'!B:D,3,)</f>
        <v>OutStation</v>
      </c>
    </row>
    <row r="990" spans="1:37" hidden="1" x14ac:dyDescent="0.25">
      <c r="A990" s="62">
        <f t="shared" ref="A990:A1024" si="193">A989+1</f>
        <v>975</v>
      </c>
      <c r="B990" s="62" t="s">
        <v>824</v>
      </c>
      <c r="C990" s="62" t="s">
        <v>2415</v>
      </c>
      <c r="D990" s="6">
        <v>46141</v>
      </c>
      <c r="E990" s="6">
        <v>46153</v>
      </c>
      <c r="F990" s="63">
        <v>204.4</v>
      </c>
      <c r="G990" s="64">
        <f t="shared" si="187"/>
        <v>17987.2</v>
      </c>
      <c r="H990" s="64">
        <f t="shared" si="188"/>
        <v>17987.2</v>
      </c>
      <c r="I990" s="70">
        <v>331908</v>
      </c>
      <c r="J990" s="62" t="s">
        <v>2426</v>
      </c>
      <c r="K990" s="8" t="s">
        <v>2427</v>
      </c>
      <c r="L990" s="10">
        <v>46658</v>
      </c>
      <c r="M990" s="62">
        <v>1</v>
      </c>
      <c r="N990" s="8">
        <v>1</v>
      </c>
      <c r="O990" s="62">
        <f t="shared" si="189"/>
        <v>0</v>
      </c>
      <c r="P990" s="70">
        <v>299</v>
      </c>
      <c r="Q990" s="71">
        <v>46153</v>
      </c>
      <c r="R990" s="6">
        <v>46154</v>
      </c>
      <c r="S990" s="64">
        <v>33945</v>
      </c>
      <c r="T990" s="22">
        <v>5</v>
      </c>
      <c r="U990" s="64">
        <f t="shared" si="190"/>
        <v>1697.25</v>
      </c>
      <c r="V990" s="22">
        <v>0</v>
      </c>
      <c r="W990" s="22">
        <v>116448</v>
      </c>
      <c r="X990" s="62" t="s">
        <v>289</v>
      </c>
      <c r="Y990" s="62">
        <v>58165382726</v>
      </c>
      <c r="Z990" s="62" t="s">
        <v>1112</v>
      </c>
      <c r="AA990" s="65">
        <v>4</v>
      </c>
      <c r="AB990" s="66"/>
      <c r="AC990" s="1" t="s">
        <v>13</v>
      </c>
      <c r="AD990" s="62" t="str">
        <f>VLOOKUP(X990,'Customer List'!B:C,2,)</f>
        <v>BANGALORE</v>
      </c>
      <c r="AE990" s="67"/>
      <c r="AF990" s="6">
        <v>46155</v>
      </c>
      <c r="AG990" s="62">
        <f t="shared" si="191"/>
        <v>1</v>
      </c>
      <c r="AH990" s="62" t="str">
        <f t="shared" si="192"/>
        <v>Monday</v>
      </c>
      <c r="AI990" s="62" t="str">
        <f t="shared" si="186"/>
        <v>Wednesday</v>
      </c>
      <c r="AJ990" s="62" t="str">
        <f>VLOOKUP(AC990,'Currency Sheet'!A:C,3,)</f>
        <v>DOLLAR</v>
      </c>
      <c r="AK990" s="62" t="str">
        <f>VLOOKUP(X990,'Customer List'!B:D,3,)</f>
        <v>OutStation</v>
      </c>
    </row>
    <row r="991" spans="1:37" hidden="1" x14ac:dyDescent="0.25">
      <c r="A991" s="62">
        <f t="shared" si="193"/>
        <v>976</v>
      </c>
      <c r="B991" s="62" t="s">
        <v>824</v>
      </c>
      <c r="C991" s="62" t="s">
        <v>2415</v>
      </c>
      <c r="D991" s="6">
        <v>46141</v>
      </c>
      <c r="E991" s="6">
        <v>46153</v>
      </c>
      <c r="F991" s="63">
        <v>204.4</v>
      </c>
      <c r="G991" s="64">
        <f t="shared" si="187"/>
        <v>17987.2</v>
      </c>
      <c r="H991" s="64">
        <f t="shared" si="188"/>
        <v>35974.400000000001</v>
      </c>
      <c r="I991" s="70">
        <v>344816</v>
      </c>
      <c r="J991" s="62" t="s">
        <v>1724</v>
      </c>
      <c r="K991" s="8" t="s">
        <v>2428</v>
      </c>
      <c r="L991" s="10">
        <v>47149</v>
      </c>
      <c r="M991" s="62">
        <v>2</v>
      </c>
      <c r="N991" s="8">
        <v>2</v>
      </c>
      <c r="O991" s="62">
        <f t="shared" si="189"/>
        <v>0</v>
      </c>
      <c r="P991" s="70">
        <v>301</v>
      </c>
      <c r="Q991" s="71">
        <v>46153</v>
      </c>
      <c r="R991" s="6">
        <v>46154</v>
      </c>
      <c r="S991" s="64">
        <v>63364</v>
      </c>
      <c r="T991" s="22">
        <v>5</v>
      </c>
      <c r="U991" s="64">
        <f t="shared" si="190"/>
        <v>3168.2000000000003</v>
      </c>
      <c r="V991" s="22">
        <v>-0.2</v>
      </c>
      <c r="W991" s="22">
        <v>66532</v>
      </c>
      <c r="X991" s="62" t="s">
        <v>1148</v>
      </c>
      <c r="Y991" s="62">
        <v>58165376102</v>
      </c>
      <c r="Z991" s="62" t="s">
        <v>1112</v>
      </c>
      <c r="AA991" s="65">
        <v>4</v>
      </c>
      <c r="AB991" s="66"/>
      <c r="AC991" s="1" t="s">
        <v>13</v>
      </c>
      <c r="AD991" s="62" t="str">
        <f>VLOOKUP(X991,'Customer List'!B:C,2,)</f>
        <v>Telangana</v>
      </c>
      <c r="AE991" s="67"/>
      <c r="AF991" s="6">
        <v>46155</v>
      </c>
      <c r="AG991" s="62">
        <f t="shared" si="191"/>
        <v>1</v>
      </c>
      <c r="AH991" s="62" t="str">
        <f t="shared" si="192"/>
        <v>Saturday</v>
      </c>
      <c r="AI991" s="62" t="str">
        <f t="shared" si="186"/>
        <v>Wednesday</v>
      </c>
      <c r="AJ991" s="62" t="str">
        <f>VLOOKUP(AC991,'Currency Sheet'!A:C,3,)</f>
        <v>DOLLAR</v>
      </c>
      <c r="AK991" s="62" t="str">
        <f>VLOOKUP(X991,'Customer List'!B:D,3,)</f>
        <v>OutStation</v>
      </c>
    </row>
    <row r="992" spans="1:37" hidden="1" x14ac:dyDescent="0.25">
      <c r="A992" s="62">
        <f t="shared" si="193"/>
        <v>977</v>
      </c>
      <c r="B992" s="62" t="s">
        <v>824</v>
      </c>
      <c r="C992" s="62" t="s">
        <v>2415</v>
      </c>
      <c r="D992" s="6">
        <v>46141</v>
      </c>
      <c r="E992" s="6">
        <v>46153</v>
      </c>
      <c r="F992" s="63">
        <v>86.8</v>
      </c>
      <c r="G992" s="64">
        <f t="shared" si="187"/>
        <v>7638.4</v>
      </c>
      <c r="H992" s="64">
        <f t="shared" si="188"/>
        <v>0</v>
      </c>
      <c r="I992" s="70">
        <v>354511</v>
      </c>
      <c r="J992" s="62" t="s">
        <v>2429</v>
      </c>
      <c r="K992" s="8" t="s">
        <v>2430</v>
      </c>
      <c r="L992" s="10">
        <v>47409</v>
      </c>
      <c r="M992" s="62">
        <v>0</v>
      </c>
      <c r="N992" s="8"/>
      <c r="O992" s="62">
        <f t="shared" si="189"/>
        <v>0</v>
      </c>
      <c r="P992" s="70"/>
      <c r="Q992" s="71"/>
      <c r="R992" s="6"/>
      <c r="S992" s="64"/>
      <c r="T992" s="22">
        <v>5</v>
      </c>
      <c r="U992" s="64">
        <f t="shared" si="190"/>
        <v>0</v>
      </c>
      <c r="V992" s="22"/>
      <c r="W992" s="22"/>
      <c r="X992" s="62" t="s">
        <v>2294</v>
      </c>
      <c r="Y992" s="62"/>
      <c r="Z992" s="62"/>
      <c r="AA992" s="65">
        <v>4</v>
      </c>
      <c r="AB992" s="66" t="s">
        <v>2461</v>
      </c>
      <c r="AC992" s="1" t="s">
        <v>13</v>
      </c>
      <c r="AD992" s="62" t="str">
        <f>VLOOKUP(X992,'Customer List'!B:C,2,)</f>
        <v>Banglore</v>
      </c>
      <c r="AE992" s="67"/>
      <c r="AF992" s="6"/>
      <c r="AG992" s="62" t="str">
        <f t="shared" si="191"/>
        <v/>
      </c>
      <c r="AH992" s="62" t="str">
        <f t="shared" si="192"/>
        <v/>
      </c>
      <c r="AI992" s="62" t="str">
        <f t="shared" si="186"/>
        <v/>
      </c>
      <c r="AJ992" s="62" t="str">
        <f>VLOOKUP(AC992,'Currency Sheet'!A:C,3,)</f>
        <v>DOLLAR</v>
      </c>
      <c r="AK992" s="62" t="str">
        <f>VLOOKUP(X992,'Customer List'!B:D,3,)</f>
        <v>OutStation</v>
      </c>
    </row>
    <row r="993" spans="1:37" hidden="1" x14ac:dyDescent="0.25">
      <c r="A993" s="62">
        <f t="shared" si="193"/>
        <v>978</v>
      </c>
      <c r="B993" s="62" t="s">
        <v>824</v>
      </c>
      <c r="C993" s="62" t="s">
        <v>2415</v>
      </c>
      <c r="D993" s="6">
        <v>46141</v>
      </c>
      <c r="E993" s="6">
        <v>46153</v>
      </c>
      <c r="F993" s="63">
        <v>140.25</v>
      </c>
      <c r="G993" s="64">
        <f t="shared" si="187"/>
        <v>12342</v>
      </c>
      <c r="H993" s="64">
        <f t="shared" si="188"/>
        <v>12342</v>
      </c>
      <c r="I993" s="70">
        <v>363407</v>
      </c>
      <c r="J993" s="62" t="s">
        <v>2431</v>
      </c>
      <c r="K993" s="8" t="s">
        <v>2432</v>
      </c>
      <c r="L993" s="10">
        <v>47193</v>
      </c>
      <c r="M993" s="62">
        <v>1</v>
      </c>
      <c r="N993" s="8">
        <v>1</v>
      </c>
      <c r="O993" s="62">
        <f t="shared" si="189"/>
        <v>0</v>
      </c>
      <c r="P993" s="70">
        <v>294</v>
      </c>
      <c r="Q993" s="71">
        <v>46153</v>
      </c>
      <c r="R993" s="6">
        <v>46154</v>
      </c>
      <c r="S993" s="64">
        <v>20289.5</v>
      </c>
      <c r="T993" s="22">
        <v>5</v>
      </c>
      <c r="U993" s="64">
        <f t="shared" si="190"/>
        <v>1014.475</v>
      </c>
      <c r="V993" s="22">
        <v>0.02</v>
      </c>
      <c r="W993" s="22">
        <v>21304</v>
      </c>
      <c r="X993" s="62" t="s">
        <v>1363</v>
      </c>
      <c r="Y993" s="62">
        <v>58165375181</v>
      </c>
      <c r="Z993" s="62" t="s">
        <v>1112</v>
      </c>
      <c r="AA993" s="65">
        <v>4</v>
      </c>
      <c r="AB993" s="66"/>
      <c r="AC993" s="1" t="s">
        <v>13</v>
      </c>
      <c r="AD993" s="62" t="str">
        <f>VLOOKUP(X993,'Customer List'!B:C,2,)</f>
        <v>Chennai</v>
      </c>
      <c r="AE993" s="67"/>
      <c r="AF993" s="6">
        <v>46156</v>
      </c>
      <c r="AG993" s="62">
        <f t="shared" si="191"/>
        <v>2</v>
      </c>
      <c r="AH993" s="62" t="str">
        <f t="shared" si="192"/>
        <v>Tuesday</v>
      </c>
      <c r="AI993" s="62" t="str">
        <f t="shared" si="186"/>
        <v>Thursday</v>
      </c>
      <c r="AJ993" s="62" t="str">
        <f>VLOOKUP(AC993,'Currency Sheet'!A:C,3,)</f>
        <v>DOLLAR</v>
      </c>
      <c r="AK993" s="62" t="str">
        <f>VLOOKUP(X993,'Customer List'!B:D,3,)</f>
        <v>OutStation</v>
      </c>
    </row>
    <row r="994" spans="1:37" hidden="1" x14ac:dyDescent="0.25">
      <c r="A994" s="62">
        <f t="shared" si="193"/>
        <v>979</v>
      </c>
      <c r="B994" s="62" t="s">
        <v>824</v>
      </c>
      <c r="C994" s="62" t="s">
        <v>2415</v>
      </c>
      <c r="D994" s="6">
        <v>46141</v>
      </c>
      <c r="E994" s="6">
        <v>46153</v>
      </c>
      <c r="F994" s="63">
        <v>300.3</v>
      </c>
      <c r="G994" s="64">
        <f t="shared" si="187"/>
        <v>26426.400000000001</v>
      </c>
      <c r="H994" s="64">
        <f t="shared" si="188"/>
        <v>26426.400000000001</v>
      </c>
      <c r="I994" s="70">
        <v>366908</v>
      </c>
      <c r="J994" s="62" t="s">
        <v>2433</v>
      </c>
      <c r="K994" s="8" t="s">
        <v>2434</v>
      </c>
      <c r="L994" s="10">
        <v>47426</v>
      </c>
      <c r="M994" s="62">
        <v>1</v>
      </c>
      <c r="N994" s="8"/>
      <c r="O994" s="62">
        <f t="shared" si="189"/>
        <v>1</v>
      </c>
      <c r="P994" s="70"/>
      <c r="Q994" s="71"/>
      <c r="R994" s="6"/>
      <c r="S994" s="64">
        <v>46546.5</v>
      </c>
      <c r="T994" s="22">
        <v>5</v>
      </c>
      <c r="U994" s="64">
        <f t="shared" si="190"/>
        <v>2327.3250000000003</v>
      </c>
      <c r="V994" s="22">
        <v>0</v>
      </c>
      <c r="W994" s="22">
        <v>82254</v>
      </c>
      <c r="X994" s="62" t="s">
        <v>21</v>
      </c>
      <c r="Y994" s="62"/>
      <c r="Z994" s="62"/>
      <c r="AA994" s="65">
        <v>4</v>
      </c>
      <c r="AB994" s="66"/>
      <c r="AC994" s="1" t="s">
        <v>13</v>
      </c>
      <c r="AD994" s="62" t="str">
        <f>VLOOKUP(X994,'Customer List'!B:C,2,)</f>
        <v>Chandigarh</v>
      </c>
      <c r="AE994" s="67" t="s">
        <v>1113</v>
      </c>
      <c r="AF994" s="6"/>
      <c r="AG994" s="62" t="str">
        <f t="shared" si="191"/>
        <v/>
      </c>
      <c r="AH994" s="62" t="str">
        <f t="shared" si="192"/>
        <v>Tuesday</v>
      </c>
      <c r="AI994" s="62" t="str">
        <f t="shared" si="186"/>
        <v/>
      </c>
      <c r="AJ994" s="62" t="str">
        <f>VLOOKUP(AC994,'Currency Sheet'!A:C,3,)</f>
        <v>DOLLAR</v>
      </c>
      <c r="AK994" s="62" t="str">
        <f>VLOOKUP(X994,'Customer List'!B:D,3,)</f>
        <v>OutStation</v>
      </c>
    </row>
    <row r="995" spans="1:37" hidden="1" x14ac:dyDescent="0.25">
      <c r="A995" s="62">
        <f t="shared" si="193"/>
        <v>980</v>
      </c>
      <c r="B995" s="62" t="s">
        <v>824</v>
      </c>
      <c r="C995" s="62" t="s">
        <v>2415</v>
      </c>
      <c r="D995" s="6">
        <v>46141</v>
      </c>
      <c r="E995" s="6">
        <v>46153</v>
      </c>
      <c r="F995" s="63">
        <v>210</v>
      </c>
      <c r="G995" s="64">
        <f t="shared" si="187"/>
        <v>18480</v>
      </c>
      <c r="H995" s="64">
        <f t="shared" si="188"/>
        <v>55440</v>
      </c>
      <c r="I995" s="70">
        <v>368540</v>
      </c>
      <c r="J995" s="62" t="s">
        <v>1710</v>
      </c>
      <c r="K995" s="8" t="s">
        <v>2435</v>
      </c>
      <c r="L995" s="10">
        <v>47931</v>
      </c>
      <c r="M995" s="62">
        <v>3</v>
      </c>
      <c r="N995" s="8">
        <v>3</v>
      </c>
      <c r="O995" s="62">
        <f t="shared" si="189"/>
        <v>0</v>
      </c>
      <c r="P995" s="70">
        <v>300</v>
      </c>
      <c r="Q995" s="71">
        <v>46153</v>
      </c>
      <c r="R995" s="6">
        <v>46154</v>
      </c>
      <c r="S995" s="64">
        <v>97650</v>
      </c>
      <c r="T995" s="22">
        <v>5</v>
      </c>
      <c r="U995" s="64">
        <f t="shared" si="190"/>
        <v>4882.5</v>
      </c>
      <c r="V995" s="22">
        <v>0</v>
      </c>
      <c r="W995" s="22">
        <v>470055</v>
      </c>
      <c r="X995" s="62" t="s">
        <v>1110</v>
      </c>
      <c r="Y995" s="62">
        <v>58165382310</v>
      </c>
      <c r="Z995" s="62" t="s">
        <v>1112</v>
      </c>
      <c r="AA995" s="65">
        <v>4</v>
      </c>
      <c r="AB995" s="66"/>
      <c r="AC995" s="1" t="s">
        <v>13</v>
      </c>
      <c r="AD995" s="62" t="str">
        <f>VLOOKUP(X995,'Customer List'!B:C,2,)</f>
        <v>Banglore</v>
      </c>
      <c r="AE995" s="67"/>
      <c r="AF995" s="6">
        <v>46155</v>
      </c>
      <c r="AG995" s="62">
        <f t="shared" si="191"/>
        <v>1</v>
      </c>
      <c r="AH995" s="62" t="str">
        <f t="shared" si="192"/>
        <v>Saturday</v>
      </c>
      <c r="AI995" s="62" t="str">
        <f t="shared" si="186"/>
        <v>Wednesday</v>
      </c>
      <c r="AJ995" s="62" t="str">
        <f>VLOOKUP(AC995,'Currency Sheet'!A:C,3,)</f>
        <v>DOLLAR</v>
      </c>
      <c r="AK995" s="62" t="str">
        <f>VLOOKUP(X995,'Customer List'!B:D,3,)</f>
        <v>OutStation</v>
      </c>
    </row>
    <row r="996" spans="1:37" hidden="1" x14ac:dyDescent="0.25">
      <c r="A996" s="62">
        <f t="shared" si="193"/>
        <v>981</v>
      </c>
      <c r="B996" s="62" t="s">
        <v>824</v>
      </c>
      <c r="C996" s="62" t="s">
        <v>2415</v>
      </c>
      <c r="D996" s="6">
        <v>46141</v>
      </c>
      <c r="E996" s="6">
        <v>46153</v>
      </c>
      <c r="F996" s="63">
        <v>294</v>
      </c>
      <c r="G996" s="64">
        <f t="shared" si="187"/>
        <v>25872</v>
      </c>
      <c r="H996" s="64">
        <f t="shared" si="188"/>
        <v>25872</v>
      </c>
      <c r="I996" s="70">
        <v>372704</v>
      </c>
      <c r="J996" s="62" t="s">
        <v>2436</v>
      </c>
      <c r="K996" s="8" t="s">
        <v>2437</v>
      </c>
      <c r="L996" s="10">
        <v>47035</v>
      </c>
      <c r="M996" s="62">
        <v>1</v>
      </c>
      <c r="N996" s="8">
        <v>1</v>
      </c>
      <c r="O996" s="62">
        <f t="shared" si="189"/>
        <v>0</v>
      </c>
      <c r="P996" s="70">
        <v>299</v>
      </c>
      <c r="Q996" s="71">
        <v>46153</v>
      </c>
      <c r="R996" s="6">
        <v>46154</v>
      </c>
      <c r="S996" s="64">
        <v>48825</v>
      </c>
      <c r="T996" s="22">
        <v>5</v>
      </c>
      <c r="U996" s="64">
        <f t="shared" si="190"/>
        <v>2441.25</v>
      </c>
      <c r="V996" s="22">
        <v>0</v>
      </c>
      <c r="W996" s="22">
        <v>116448</v>
      </c>
      <c r="X996" s="62" t="s">
        <v>289</v>
      </c>
      <c r="Y996" s="62">
        <v>58165382726</v>
      </c>
      <c r="Z996" s="62" t="s">
        <v>1112</v>
      </c>
      <c r="AA996" s="65">
        <v>4</v>
      </c>
      <c r="AB996" s="66"/>
      <c r="AC996" s="1" t="s">
        <v>13</v>
      </c>
      <c r="AD996" s="62" t="str">
        <f>VLOOKUP(X996,'Customer List'!B:C,2,)</f>
        <v>BANGALORE</v>
      </c>
      <c r="AE996" s="67"/>
      <c r="AF996" s="6">
        <v>46155</v>
      </c>
      <c r="AG996" s="62">
        <f t="shared" si="191"/>
        <v>1</v>
      </c>
      <c r="AH996" s="62" t="str">
        <f t="shared" si="192"/>
        <v>Saturday</v>
      </c>
      <c r="AI996" s="62" t="str">
        <f t="shared" si="186"/>
        <v>Wednesday</v>
      </c>
      <c r="AJ996" s="62" t="str">
        <f>VLOOKUP(AC996,'Currency Sheet'!A:C,3,)</f>
        <v>DOLLAR</v>
      </c>
      <c r="AK996" s="62" t="str">
        <f>VLOOKUP(X996,'Customer List'!B:D,3,)</f>
        <v>OutStation</v>
      </c>
    </row>
    <row r="997" spans="1:37" hidden="1" x14ac:dyDescent="0.25">
      <c r="A997" s="62">
        <f t="shared" si="193"/>
        <v>982</v>
      </c>
      <c r="B997" s="62" t="s">
        <v>824</v>
      </c>
      <c r="C997" s="62" t="s">
        <v>2415</v>
      </c>
      <c r="D997" s="6">
        <v>46141</v>
      </c>
      <c r="E997" s="6">
        <v>46153</v>
      </c>
      <c r="F997" s="63">
        <v>98.7</v>
      </c>
      <c r="G997" s="64">
        <f t="shared" si="187"/>
        <v>8685.6</v>
      </c>
      <c r="H997" s="64">
        <f t="shared" si="188"/>
        <v>8685.6</v>
      </c>
      <c r="I997" s="70">
        <v>406401</v>
      </c>
      <c r="J997" s="62" t="s">
        <v>2168</v>
      </c>
      <c r="K997" s="8" t="s">
        <v>2169</v>
      </c>
      <c r="L997" s="10">
        <v>46590</v>
      </c>
      <c r="M997" s="62">
        <v>1</v>
      </c>
      <c r="N997" s="8">
        <v>1</v>
      </c>
      <c r="O997" s="62">
        <f t="shared" si="189"/>
        <v>0</v>
      </c>
      <c r="P997" s="70">
        <v>298</v>
      </c>
      <c r="Q997" s="71">
        <v>46153</v>
      </c>
      <c r="R997" s="6">
        <v>46154</v>
      </c>
      <c r="S997" s="64">
        <v>15319.5</v>
      </c>
      <c r="T997" s="22">
        <v>5</v>
      </c>
      <c r="U997" s="64">
        <f t="shared" si="190"/>
        <v>765.97500000000002</v>
      </c>
      <c r="V997" s="22">
        <v>0</v>
      </c>
      <c r="W997" s="22">
        <v>59491</v>
      </c>
      <c r="X997" s="62" t="s">
        <v>806</v>
      </c>
      <c r="Y997" s="62">
        <v>58165375122</v>
      </c>
      <c r="Z997" s="62" t="s">
        <v>1112</v>
      </c>
      <c r="AA997" s="65">
        <v>4</v>
      </c>
      <c r="AB997" s="66"/>
      <c r="AC997" s="1" t="s">
        <v>13</v>
      </c>
      <c r="AD997" s="62" t="str">
        <f>VLOOKUP(X997,'Customer List'!B:C,2,)</f>
        <v>Kerala</v>
      </c>
      <c r="AE997" s="67"/>
      <c r="AF997" s="6">
        <v>46158</v>
      </c>
      <c r="AG997" s="62">
        <f t="shared" si="191"/>
        <v>4</v>
      </c>
      <c r="AH997" s="62" t="str">
        <f t="shared" si="192"/>
        <v>Tuesday</v>
      </c>
      <c r="AI997" s="62" t="str">
        <f t="shared" si="186"/>
        <v>Saturday</v>
      </c>
      <c r="AJ997" s="62" t="str">
        <f>VLOOKUP(AC997,'Currency Sheet'!A:C,3,)</f>
        <v>DOLLAR</v>
      </c>
      <c r="AK997" s="62" t="str">
        <f>VLOOKUP(X997,'Customer List'!B:D,3,)</f>
        <v>OutStation</v>
      </c>
    </row>
    <row r="998" spans="1:37" hidden="1" x14ac:dyDescent="0.25">
      <c r="A998" s="62">
        <f t="shared" si="193"/>
        <v>983</v>
      </c>
      <c r="B998" s="62" t="s">
        <v>824</v>
      </c>
      <c r="C998" s="62" t="s">
        <v>2415</v>
      </c>
      <c r="D998" s="6">
        <v>46141</v>
      </c>
      <c r="E998" s="6">
        <v>46153</v>
      </c>
      <c r="F998" s="63">
        <v>318</v>
      </c>
      <c r="G998" s="64">
        <f t="shared" si="187"/>
        <v>27984</v>
      </c>
      <c r="H998" s="64">
        <f t="shared" si="188"/>
        <v>55968</v>
      </c>
      <c r="I998" s="70">
        <v>410704</v>
      </c>
      <c r="J998" s="62" t="s">
        <v>2438</v>
      </c>
      <c r="K998" s="8" t="s">
        <v>2439</v>
      </c>
      <c r="L998" s="10">
        <v>46942</v>
      </c>
      <c r="M998" s="62">
        <v>2</v>
      </c>
      <c r="N998" s="8">
        <v>2</v>
      </c>
      <c r="O998" s="62">
        <f t="shared" si="189"/>
        <v>0</v>
      </c>
      <c r="P998" s="70">
        <v>300</v>
      </c>
      <c r="Q998" s="71">
        <v>46153</v>
      </c>
      <c r="R998" s="6">
        <v>46154</v>
      </c>
      <c r="S998" s="64">
        <v>92008</v>
      </c>
      <c r="T998" s="22">
        <v>5</v>
      </c>
      <c r="U998" s="64">
        <f t="shared" si="190"/>
        <v>4600.4000000000005</v>
      </c>
      <c r="V998" s="22">
        <v>0</v>
      </c>
      <c r="W998" s="22">
        <v>470055</v>
      </c>
      <c r="X998" s="62" t="s">
        <v>1110</v>
      </c>
      <c r="Y998" s="62">
        <v>58165382310</v>
      </c>
      <c r="Z998" s="62" t="s">
        <v>1112</v>
      </c>
      <c r="AA998" s="65">
        <v>4</v>
      </c>
      <c r="AB998" s="66"/>
      <c r="AC998" s="1" t="s">
        <v>13</v>
      </c>
      <c r="AD998" s="62" t="str">
        <f>VLOOKUP(X998,'Customer List'!B:C,2,)</f>
        <v>Banglore</v>
      </c>
      <c r="AE998" s="67"/>
      <c r="AF998" s="6">
        <v>46155</v>
      </c>
      <c r="AG998" s="62">
        <f t="shared" si="191"/>
        <v>1</v>
      </c>
      <c r="AH998" s="62" t="str">
        <f t="shared" si="192"/>
        <v>Saturday</v>
      </c>
      <c r="AI998" s="62" t="str">
        <f t="shared" si="186"/>
        <v>Wednesday</v>
      </c>
      <c r="AJ998" s="62" t="str">
        <f>VLOOKUP(AC998,'Currency Sheet'!A:C,3,)</f>
        <v>DOLLAR</v>
      </c>
      <c r="AK998" s="62" t="str">
        <f>VLOOKUP(X998,'Customer List'!B:D,3,)</f>
        <v>OutStation</v>
      </c>
    </row>
    <row r="999" spans="1:37" hidden="1" x14ac:dyDescent="0.25">
      <c r="A999" s="62">
        <f t="shared" si="193"/>
        <v>984</v>
      </c>
      <c r="B999" s="62" t="s">
        <v>824</v>
      </c>
      <c r="C999" s="62" t="s">
        <v>2415</v>
      </c>
      <c r="D999" s="6">
        <v>46141</v>
      </c>
      <c r="E999" s="6">
        <v>46153</v>
      </c>
      <c r="F999" s="63">
        <v>25.2</v>
      </c>
      <c r="G999" s="64">
        <f t="shared" si="187"/>
        <v>2217.6</v>
      </c>
      <c r="H999" s="64">
        <f t="shared" si="188"/>
        <v>2217.6</v>
      </c>
      <c r="I999" s="70">
        <v>422201</v>
      </c>
      <c r="J999" s="62" t="s">
        <v>2440</v>
      </c>
      <c r="K999" s="8" t="s">
        <v>2441</v>
      </c>
      <c r="L999" s="10">
        <v>46704</v>
      </c>
      <c r="M999" s="62">
        <v>1</v>
      </c>
      <c r="N999" s="8">
        <v>1</v>
      </c>
      <c r="O999" s="62">
        <f t="shared" si="189"/>
        <v>0</v>
      </c>
      <c r="P999" s="70">
        <v>291</v>
      </c>
      <c r="Q999" s="71">
        <v>46153</v>
      </c>
      <c r="R999" s="6">
        <v>46153</v>
      </c>
      <c r="S999" s="64">
        <v>3780</v>
      </c>
      <c r="T999" s="22">
        <v>5</v>
      </c>
      <c r="U999" s="64">
        <f t="shared" si="190"/>
        <v>189</v>
      </c>
      <c r="V999" s="22">
        <v>0</v>
      </c>
      <c r="W999" s="22">
        <v>3969</v>
      </c>
      <c r="X999" s="62" t="s">
        <v>895</v>
      </c>
      <c r="Y999" s="62" t="s">
        <v>1105</v>
      </c>
      <c r="Z999" s="62" t="s">
        <v>1105</v>
      </c>
      <c r="AA999" s="65">
        <v>4</v>
      </c>
      <c r="AB999" s="66"/>
      <c r="AC999" s="1" t="s">
        <v>13</v>
      </c>
      <c r="AD999" s="62" t="str">
        <f>VLOOKUP(X999,'Customer List'!B:C,2,)</f>
        <v>Delhi</v>
      </c>
      <c r="AE999" s="67"/>
      <c r="AF999" s="6"/>
      <c r="AG999" s="62" t="str">
        <f t="shared" si="191"/>
        <v/>
      </c>
      <c r="AH999" s="62" t="str">
        <f t="shared" si="192"/>
        <v>Saturday</v>
      </c>
      <c r="AI999" s="62" t="str">
        <f t="shared" si="186"/>
        <v/>
      </c>
      <c r="AJ999" s="62" t="str">
        <f>VLOOKUP(AC999,'Currency Sheet'!A:C,3,)</f>
        <v>DOLLAR</v>
      </c>
      <c r="AK999" s="62" t="str">
        <f>VLOOKUP(X999,'Customer List'!B:D,3,)</f>
        <v>Local</v>
      </c>
    </row>
    <row r="1000" spans="1:37" hidden="1" x14ac:dyDescent="0.25">
      <c r="A1000" s="62">
        <f t="shared" si="193"/>
        <v>985</v>
      </c>
      <c r="B1000" s="62" t="s">
        <v>824</v>
      </c>
      <c r="C1000" s="62" t="s">
        <v>2415</v>
      </c>
      <c r="D1000" s="6">
        <v>46141</v>
      </c>
      <c r="E1000" s="6">
        <v>46153</v>
      </c>
      <c r="F1000" s="63">
        <v>267.39999999999998</v>
      </c>
      <c r="G1000" s="64">
        <f t="shared" si="187"/>
        <v>23531.199999999997</v>
      </c>
      <c r="H1000" s="64">
        <f t="shared" si="188"/>
        <v>23531.199999999997</v>
      </c>
      <c r="I1000" s="70">
        <v>502526</v>
      </c>
      <c r="J1000" s="62" t="s">
        <v>1815</v>
      </c>
      <c r="K1000" s="8" t="s">
        <v>2442</v>
      </c>
      <c r="L1000" s="10">
        <v>46676</v>
      </c>
      <c r="M1000" s="62">
        <v>1</v>
      </c>
      <c r="N1000" s="8">
        <v>1</v>
      </c>
      <c r="O1000" s="62">
        <f t="shared" si="189"/>
        <v>0</v>
      </c>
      <c r="P1000" s="70">
        <v>293</v>
      </c>
      <c r="Q1000" s="71">
        <v>46153</v>
      </c>
      <c r="R1000" s="6">
        <v>46154</v>
      </c>
      <c r="S1000" s="64">
        <v>42631.199999999997</v>
      </c>
      <c r="T1000" s="22">
        <v>5</v>
      </c>
      <c r="U1000" s="64">
        <f t="shared" si="190"/>
        <v>2131.56</v>
      </c>
      <c r="V1000" s="22">
        <v>0.24</v>
      </c>
      <c r="W1000" s="22">
        <v>44763</v>
      </c>
      <c r="X1000" s="62" t="s">
        <v>1098</v>
      </c>
      <c r="Y1000" s="62">
        <v>58165374971</v>
      </c>
      <c r="Z1000" s="62" t="s">
        <v>1112</v>
      </c>
      <c r="AA1000" s="65">
        <v>4</v>
      </c>
      <c r="AB1000" s="66"/>
      <c r="AC1000" s="1" t="s">
        <v>13</v>
      </c>
      <c r="AD1000" s="62" t="str">
        <f>VLOOKUP(X1000,'Customer List'!B:C,2,)</f>
        <v>Banglore</v>
      </c>
      <c r="AE1000" s="67"/>
      <c r="AF1000" s="6">
        <v>46156</v>
      </c>
      <c r="AG1000" s="62">
        <f t="shared" si="191"/>
        <v>2</v>
      </c>
      <c r="AH1000" s="62" t="str">
        <f t="shared" si="192"/>
        <v>Sunday</v>
      </c>
      <c r="AI1000" s="62" t="str">
        <f t="shared" si="186"/>
        <v>Thursday</v>
      </c>
      <c r="AJ1000" s="62" t="str">
        <f>VLOOKUP(AC1000,'Currency Sheet'!A:C,3,)</f>
        <v>DOLLAR</v>
      </c>
      <c r="AK1000" s="62" t="str">
        <f>VLOOKUP(X1000,'Customer List'!B:D,3,)</f>
        <v>OutStation</v>
      </c>
    </row>
    <row r="1001" spans="1:37" hidden="1" x14ac:dyDescent="0.25">
      <c r="A1001" s="62">
        <f t="shared" si="193"/>
        <v>986</v>
      </c>
      <c r="B1001" s="62" t="s">
        <v>824</v>
      </c>
      <c r="C1001" s="62" t="s">
        <v>2415</v>
      </c>
      <c r="D1001" s="6">
        <v>46141</v>
      </c>
      <c r="E1001" s="6">
        <v>46153</v>
      </c>
      <c r="F1001" s="63">
        <v>205.8</v>
      </c>
      <c r="G1001" s="64">
        <f t="shared" si="187"/>
        <v>18110.400000000001</v>
      </c>
      <c r="H1001" s="64">
        <f t="shared" si="188"/>
        <v>18110.400000000001</v>
      </c>
      <c r="I1001" s="70">
        <v>740536</v>
      </c>
      <c r="J1001" s="62" t="s">
        <v>2443</v>
      </c>
      <c r="K1001" s="8" t="s">
        <v>2444</v>
      </c>
      <c r="L1001" s="10">
        <v>47145</v>
      </c>
      <c r="M1001" s="62">
        <v>1</v>
      </c>
      <c r="N1001" s="8">
        <v>1</v>
      </c>
      <c r="O1001" s="62">
        <f t="shared" si="189"/>
        <v>0</v>
      </c>
      <c r="P1001" s="70">
        <v>296</v>
      </c>
      <c r="Q1001" s="71">
        <v>46153</v>
      </c>
      <c r="R1001" s="6">
        <v>46154</v>
      </c>
      <c r="S1001" s="64">
        <v>34177.5</v>
      </c>
      <c r="T1001" s="22">
        <v>5</v>
      </c>
      <c r="U1001" s="64">
        <f t="shared" si="190"/>
        <v>1708.875</v>
      </c>
      <c r="V1001" s="22">
        <v>1800</v>
      </c>
      <c r="W1001" s="22">
        <v>116995</v>
      </c>
      <c r="X1001" s="62" t="s">
        <v>2501</v>
      </c>
      <c r="Y1001" s="62">
        <v>58165376544</v>
      </c>
      <c r="Z1001" s="62" t="s">
        <v>1112</v>
      </c>
      <c r="AA1001" s="65">
        <v>4</v>
      </c>
      <c r="AB1001" s="66" t="s">
        <v>2502</v>
      </c>
      <c r="AC1001" s="1" t="s">
        <v>13</v>
      </c>
      <c r="AD1001" s="62" t="str">
        <f>VLOOKUP(X1001,'Customer List'!B:C,2,)</f>
        <v>Hyderabad</v>
      </c>
      <c r="AE1001" s="67"/>
      <c r="AF1001" s="6">
        <v>46155</v>
      </c>
      <c r="AG1001" s="62">
        <f t="shared" si="191"/>
        <v>1</v>
      </c>
      <c r="AH1001" s="62" t="str">
        <f t="shared" si="192"/>
        <v>Tuesday</v>
      </c>
      <c r="AI1001" s="62" t="str">
        <f t="shared" si="186"/>
        <v>Wednesday</v>
      </c>
      <c r="AJ1001" s="62" t="str">
        <f>VLOOKUP(AC1001,'Currency Sheet'!A:C,3,)</f>
        <v>DOLLAR</v>
      </c>
      <c r="AK1001" s="62" t="str">
        <f>VLOOKUP(X1001,'Customer List'!B:D,3,)</f>
        <v>OutStation</v>
      </c>
    </row>
    <row r="1002" spans="1:37" hidden="1" x14ac:dyDescent="0.25">
      <c r="A1002" s="62">
        <f t="shared" si="193"/>
        <v>987</v>
      </c>
      <c r="B1002" s="62" t="s">
        <v>824</v>
      </c>
      <c r="C1002" s="62" t="s">
        <v>2415</v>
      </c>
      <c r="D1002" s="6">
        <v>46141</v>
      </c>
      <c r="E1002" s="6">
        <v>46153</v>
      </c>
      <c r="F1002" s="63">
        <v>41.3</v>
      </c>
      <c r="G1002" s="64">
        <f t="shared" si="187"/>
        <v>3634.3999999999996</v>
      </c>
      <c r="H1002" s="64">
        <f t="shared" si="188"/>
        <v>3634.3999999999996</v>
      </c>
      <c r="I1002" s="70">
        <v>740537</v>
      </c>
      <c r="J1002" s="62" t="s">
        <v>2445</v>
      </c>
      <c r="K1002" s="8" t="s">
        <v>2446</v>
      </c>
      <c r="L1002" s="10">
        <v>47098</v>
      </c>
      <c r="M1002" s="62">
        <v>1</v>
      </c>
      <c r="N1002" s="8">
        <v>1</v>
      </c>
      <c r="O1002" s="62">
        <f t="shared" si="189"/>
        <v>0</v>
      </c>
      <c r="P1002" s="70">
        <v>296</v>
      </c>
      <c r="Q1002" s="71">
        <v>46153</v>
      </c>
      <c r="R1002" s="6">
        <v>46154</v>
      </c>
      <c r="S1002" s="64">
        <v>6858.75</v>
      </c>
      <c r="T1002" s="22">
        <v>5</v>
      </c>
      <c r="U1002" s="64">
        <f t="shared" si="190"/>
        <v>342.9375</v>
      </c>
      <c r="V1002" s="22">
        <v>0</v>
      </c>
      <c r="W1002" s="22">
        <v>116995</v>
      </c>
      <c r="X1002" s="62" t="s">
        <v>2501</v>
      </c>
      <c r="Y1002" s="62">
        <v>58165376544</v>
      </c>
      <c r="Z1002" s="62" t="s">
        <v>1112</v>
      </c>
      <c r="AA1002" s="65">
        <v>4</v>
      </c>
      <c r="AB1002" s="66" t="s">
        <v>2502</v>
      </c>
      <c r="AC1002" s="1" t="s">
        <v>13</v>
      </c>
      <c r="AD1002" s="62" t="str">
        <f>VLOOKUP(X1002,'Customer List'!B:C,2,)</f>
        <v>Hyderabad</v>
      </c>
      <c r="AE1002" s="67"/>
      <c r="AF1002" s="6">
        <v>46155</v>
      </c>
      <c r="AG1002" s="62">
        <f t="shared" si="191"/>
        <v>1</v>
      </c>
      <c r="AH1002" s="62" t="str">
        <f t="shared" si="192"/>
        <v>Thursday</v>
      </c>
      <c r="AI1002" s="62" t="str">
        <f t="shared" si="186"/>
        <v>Wednesday</v>
      </c>
      <c r="AJ1002" s="62" t="str">
        <f>VLOOKUP(AC1002,'Currency Sheet'!A:C,3,)</f>
        <v>DOLLAR</v>
      </c>
      <c r="AK1002" s="62" t="str">
        <f>VLOOKUP(X1002,'Customer List'!B:D,3,)</f>
        <v>OutStation</v>
      </c>
    </row>
    <row r="1003" spans="1:37" hidden="1" x14ac:dyDescent="0.25">
      <c r="A1003" s="62">
        <f t="shared" si="193"/>
        <v>988</v>
      </c>
      <c r="B1003" s="62" t="s">
        <v>824</v>
      </c>
      <c r="C1003" s="62" t="s">
        <v>2415</v>
      </c>
      <c r="D1003" s="6">
        <v>46141</v>
      </c>
      <c r="E1003" s="6">
        <v>46153</v>
      </c>
      <c r="F1003" s="63">
        <v>82.6</v>
      </c>
      <c r="G1003" s="64">
        <f t="shared" si="187"/>
        <v>7268.7999999999993</v>
      </c>
      <c r="H1003" s="64">
        <f t="shared" si="188"/>
        <v>7268.7999999999993</v>
      </c>
      <c r="I1003" s="70">
        <v>740547</v>
      </c>
      <c r="J1003" s="62" t="s">
        <v>2447</v>
      </c>
      <c r="K1003" s="8" t="s">
        <v>2448</v>
      </c>
      <c r="L1003" s="10">
        <v>46405</v>
      </c>
      <c r="M1003" s="62">
        <v>1</v>
      </c>
      <c r="N1003" s="8">
        <v>1</v>
      </c>
      <c r="O1003" s="62">
        <f t="shared" si="189"/>
        <v>0</v>
      </c>
      <c r="P1003" s="70">
        <v>296</v>
      </c>
      <c r="Q1003" s="71">
        <v>46153</v>
      </c>
      <c r="R1003" s="6">
        <v>46154</v>
      </c>
      <c r="S1003" s="64">
        <v>13717.5</v>
      </c>
      <c r="T1003" s="22">
        <v>5</v>
      </c>
      <c r="U1003" s="64">
        <f t="shared" si="190"/>
        <v>685.875</v>
      </c>
      <c r="V1003" s="22">
        <v>0</v>
      </c>
      <c r="W1003" s="22">
        <v>116995</v>
      </c>
      <c r="X1003" s="62" t="s">
        <v>2501</v>
      </c>
      <c r="Y1003" s="62">
        <v>58165376544</v>
      </c>
      <c r="Z1003" s="62" t="s">
        <v>1112</v>
      </c>
      <c r="AA1003" s="65">
        <v>4</v>
      </c>
      <c r="AB1003" s="66" t="s">
        <v>2502</v>
      </c>
      <c r="AC1003" s="1" t="s">
        <v>13</v>
      </c>
      <c r="AD1003" s="62" t="str">
        <f>VLOOKUP(X1003,'Customer List'!B:C,2,)</f>
        <v>Hyderabad</v>
      </c>
      <c r="AE1003" s="67"/>
      <c r="AF1003" s="6">
        <v>46155</v>
      </c>
      <c r="AG1003" s="62">
        <f t="shared" si="191"/>
        <v>1</v>
      </c>
      <c r="AH1003" s="62" t="str">
        <f t="shared" si="192"/>
        <v>Wednesday</v>
      </c>
      <c r="AI1003" s="62" t="str">
        <f t="shared" si="186"/>
        <v>Wednesday</v>
      </c>
      <c r="AJ1003" s="62" t="str">
        <f>VLOOKUP(AC1003,'Currency Sheet'!A:C,3,)</f>
        <v>DOLLAR</v>
      </c>
      <c r="AK1003" s="62" t="str">
        <f>VLOOKUP(X1003,'Customer List'!B:D,3,)</f>
        <v>OutStation</v>
      </c>
    </row>
    <row r="1004" spans="1:37" hidden="1" x14ac:dyDescent="0.25">
      <c r="A1004" s="62">
        <f t="shared" si="193"/>
        <v>989</v>
      </c>
      <c r="B1004" s="62" t="s">
        <v>824</v>
      </c>
      <c r="C1004" s="62" t="s">
        <v>2415</v>
      </c>
      <c r="D1004" s="6">
        <v>46141</v>
      </c>
      <c r="E1004" s="6">
        <v>46153</v>
      </c>
      <c r="F1004" s="63">
        <v>82.6</v>
      </c>
      <c r="G1004" s="64">
        <f t="shared" si="187"/>
        <v>7268.7999999999993</v>
      </c>
      <c r="H1004" s="64">
        <f t="shared" si="188"/>
        <v>7268.7999999999993</v>
      </c>
      <c r="I1004" s="70">
        <v>740549</v>
      </c>
      <c r="J1004" s="62" t="s">
        <v>2449</v>
      </c>
      <c r="K1004" s="8" t="s">
        <v>2450</v>
      </c>
      <c r="L1004" s="10">
        <v>46442</v>
      </c>
      <c r="M1004" s="62">
        <v>1</v>
      </c>
      <c r="N1004" s="8">
        <v>1</v>
      </c>
      <c r="O1004" s="62">
        <f t="shared" si="189"/>
        <v>0</v>
      </c>
      <c r="P1004" s="70">
        <v>296</v>
      </c>
      <c r="Q1004" s="71">
        <v>46153</v>
      </c>
      <c r="R1004" s="6">
        <v>46154</v>
      </c>
      <c r="S1004" s="64">
        <v>13717.5</v>
      </c>
      <c r="T1004" s="22">
        <v>5</v>
      </c>
      <c r="U1004" s="64">
        <f t="shared" si="190"/>
        <v>685.875</v>
      </c>
      <c r="V1004" s="22">
        <v>0</v>
      </c>
      <c r="W1004" s="22">
        <v>116995</v>
      </c>
      <c r="X1004" s="62" t="s">
        <v>2501</v>
      </c>
      <c r="Y1004" s="62">
        <v>58165376544</v>
      </c>
      <c r="Z1004" s="62" t="s">
        <v>1112</v>
      </c>
      <c r="AA1004" s="65">
        <v>4</v>
      </c>
      <c r="AB1004" s="66" t="s">
        <v>2502</v>
      </c>
      <c r="AC1004" s="1" t="s">
        <v>13</v>
      </c>
      <c r="AD1004" s="62" t="str">
        <f>VLOOKUP(X1004,'Customer List'!B:C,2,)</f>
        <v>Hyderabad</v>
      </c>
      <c r="AE1004" s="67"/>
      <c r="AF1004" s="6">
        <v>46155</v>
      </c>
      <c r="AG1004" s="62">
        <f t="shared" si="191"/>
        <v>1</v>
      </c>
      <c r="AH1004" s="62" t="str">
        <f t="shared" si="192"/>
        <v>Wednesday</v>
      </c>
      <c r="AI1004" s="62" t="str">
        <f t="shared" si="186"/>
        <v>Wednesday</v>
      </c>
      <c r="AJ1004" s="62" t="str">
        <f>VLOOKUP(AC1004,'Currency Sheet'!A:C,3,)</f>
        <v>DOLLAR</v>
      </c>
      <c r="AK1004" s="62" t="str">
        <f>VLOOKUP(X1004,'Customer List'!B:D,3,)</f>
        <v>OutStation</v>
      </c>
    </row>
    <row r="1005" spans="1:37" hidden="1" x14ac:dyDescent="0.25">
      <c r="A1005" s="62">
        <f t="shared" si="193"/>
        <v>990</v>
      </c>
      <c r="B1005" s="62" t="s">
        <v>824</v>
      </c>
      <c r="C1005" s="62" t="s">
        <v>2415</v>
      </c>
      <c r="D1005" s="6">
        <v>46141</v>
      </c>
      <c r="E1005" s="6">
        <v>46153</v>
      </c>
      <c r="F1005" s="63">
        <v>1150.8</v>
      </c>
      <c r="G1005" s="64">
        <f t="shared" si="187"/>
        <v>101270.39999999999</v>
      </c>
      <c r="H1005" s="64">
        <f t="shared" si="188"/>
        <v>202540.79999999999</v>
      </c>
      <c r="I1005" s="70">
        <v>741028</v>
      </c>
      <c r="J1005" s="62" t="s">
        <v>2451</v>
      </c>
      <c r="K1005" s="8" t="s">
        <v>2452</v>
      </c>
      <c r="L1005" s="10">
        <v>46748</v>
      </c>
      <c r="M1005" s="62">
        <v>2</v>
      </c>
      <c r="N1005" s="8">
        <v>2</v>
      </c>
      <c r="O1005" s="62">
        <f t="shared" si="189"/>
        <v>0</v>
      </c>
      <c r="P1005" s="70">
        <v>307</v>
      </c>
      <c r="Q1005" s="71">
        <v>46156</v>
      </c>
      <c r="R1005" s="6">
        <v>46156</v>
      </c>
      <c r="S1005" s="64">
        <v>372037.2</v>
      </c>
      <c r="T1005" s="22">
        <v>5</v>
      </c>
      <c r="U1005" s="64">
        <f t="shared" si="190"/>
        <v>18601.86</v>
      </c>
      <c r="V1005" s="22">
        <v>0</v>
      </c>
      <c r="W1005" s="22">
        <v>392302</v>
      </c>
      <c r="X1005" s="62" t="s">
        <v>1623</v>
      </c>
      <c r="Y1005" s="62" t="s">
        <v>1120</v>
      </c>
      <c r="Z1005" s="62" t="s">
        <v>1863</v>
      </c>
      <c r="AA1005" s="65">
        <v>4</v>
      </c>
      <c r="AB1005" s="66"/>
      <c r="AC1005" s="1" t="s">
        <v>13</v>
      </c>
      <c r="AD1005" s="62" t="str">
        <f>VLOOKUP(X1005,'Customer List'!B:C,2,)</f>
        <v>Faridabad</v>
      </c>
      <c r="AE1005" s="67"/>
      <c r="AF1005" s="6"/>
      <c r="AG1005" s="62" t="str">
        <f t="shared" si="191"/>
        <v/>
      </c>
      <c r="AH1005" s="62" t="str">
        <f t="shared" si="192"/>
        <v>Sunday</v>
      </c>
      <c r="AI1005" s="62" t="str">
        <f t="shared" si="186"/>
        <v/>
      </c>
      <c r="AJ1005" s="62" t="str">
        <f>VLOOKUP(AC1005,'Currency Sheet'!A:C,3,)</f>
        <v>DOLLAR</v>
      </c>
      <c r="AK1005" s="62" t="str">
        <f>VLOOKUP(X1005,'Customer List'!B:D,3,)</f>
        <v>Local</v>
      </c>
    </row>
    <row r="1006" spans="1:37" hidden="1" x14ac:dyDescent="0.25">
      <c r="A1006" s="62">
        <f t="shared" si="193"/>
        <v>991</v>
      </c>
      <c r="B1006" s="62" t="s">
        <v>824</v>
      </c>
      <c r="C1006" s="62" t="s">
        <v>2415</v>
      </c>
      <c r="D1006" s="6">
        <v>46141</v>
      </c>
      <c r="E1006" s="6">
        <v>46153</v>
      </c>
      <c r="F1006" s="63">
        <v>82.6</v>
      </c>
      <c r="G1006" s="64">
        <f t="shared" si="187"/>
        <v>7268.7999999999993</v>
      </c>
      <c r="H1006" s="64">
        <f t="shared" si="188"/>
        <v>7268.7999999999993</v>
      </c>
      <c r="I1006" s="70">
        <v>741150</v>
      </c>
      <c r="J1006" s="62" t="s">
        <v>2453</v>
      </c>
      <c r="K1006" s="8" t="s">
        <v>2454</v>
      </c>
      <c r="L1006" s="10">
        <v>46638</v>
      </c>
      <c r="M1006" s="62">
        <v>1</v>
      </c>
      <c r="N1006" s="8">
        <v>1</v>
      </c>
      <c r="O1006" s="62">
        <f t="shared" si="189"/>
        <v>0</v>
      </c>
      <c r="P1006" s="70">
        <v>296</v>
      </c>
      <c r="Q1006" s="71">
        <v>46153</v>
      </c>
      <c r="R1006" s="6">
        <v>46154</v>
      </c>
      <c r="S1006" s="64">
        <v>13717.5</v>
      </c>
      <c r="T1006" s="22">
        <v>5</v>
      </c>
      <c r="U1006" s="64">
        <f t="shared" si="190"/>
        <v>685.875</v>
      </c>
      <c r="V1006" s="22">
        <v>0</v>
      </c>
      <c r="W1006" s="22">
        <v>116995</v>
      </c>
      <c r="X1006" s="62" t="s">
        <v>2501</v>
      </c>
      <c r="Y1006" s="62">
        <v>58165376544</v>
      </c>
      <c r="Z1006" s="62" t="s">
        <v>1112</v>
      </c>
      <c r="AA1006" s="65">
        <v>4</v>
      </c>
      <c r="AB1006" s="66" t="s">
        <v>2502</v>
      </c>
      <c r="AC1006" s="1" t="s">
        <v>13</v>
      </c>
      <c r="AD1006" s="62" t="str">
        <f>VLOOKUP(X1006,'Customer List'!B:C,2,)</f>
        <v>Hyderabad</v>
      </c>
      <c r="AE1006" s="67"/>
      <c r="AF1006" s="6">
        <v>46155</v>
      </c>
      <c r="AG1006" s="62">
        <f t="shared" si="191"/>
        <v>1</v>
      </c>
      <c r="AH1006" s="62" t="str">
        <f t="shared" si="192"/>
        <v>Wednesday</v>
      </c>
      <c r="AI1006" s="62" t="str">
        <f t="shared" si="186"/>
        <v>Wednesday</v>
      </c>
      <c r="AJ1006" s="62" t="str">
        <f>VLOOKUP(AC1006,'Currency Sheet'!A:C,3,)</f>
        <v>DOLLAR</v>
      </c>
      <c r="AK1006" s="62" t="str">
        <f>VLOOKUP(X1006,'Customer List'!B:D,3,)</f>
        <v>OutStation</v>
      </c>
    </row>
    <row r="1007" spans="1:37" hidden="1" x14ac:dyDescent="0.25">
      <c r="A1007" s="62">
        <f t="shared" si="193"/>
        <v>992</v>
      </c>
      <c r="B1007" s="62" t="s">
        <v>824</v>
      </c>
      <c r="C1007" s="62" t="s">
        <v>2415</v>
      </c>
      <c r="D1007" s="6">
        <v>46141</v>
      </c>
      <c r="E1007" s="6">
        <v>46153</v>
      </c>
      <c r="F1007" s="63">
        <v>82.6</v>
      </c>
      <c r="G1007" s="64">
        <f t="shared" si="187"/>
        <v>7268.7999999999993</v>
      </c>
      <c r="H1007" s="64">
        <f t="shared" si="188"/>
        <v>7268.7999999999993</v>
      </c>
      <c r="I1007" s="70">
        <v>741250</v>
      </c>
      <c r="J1007" s="62" t="s">
        <v>2455</v>
      </c>
      <c r="K1007" s="8" t="s">
        <v>2456</v>
      </c>
      <c r="L1007" s="10">
        <v>46643</v>
      </c>
      <c r="M1007" s="62">
        <v>1</v>
      </c>
      <c r="N1007" s="8">
        <v>1</v>
      </c>
      <c r="O1007" s="62">
        <f t="shared" si="189"/>
        <v>0</v>
      </c>
      <c r="P1007" s="70">
        <v>296</v>
      </c>
      <c r="Q1007" s="71">
        <v>46153</v>
      </c>
      <c r="R1007" s="6">
        <v>46154</v>
      </c>
      <c r="S1007" s="64">
        <v>13717.5</v>
      </c>
      <c r="T1007" s="22">
        <v>5</v>
      </c>
      <c r="U1007" s="64">
        <f t="shared" si="190"/>
        <v>685.875</v>
      </c>
      <c r="V1007" s="22">
        <v>0</v>
      </c>
      <c r="W1007" s="22">
        <v>116995</v>
      </c>
      <c r="X1007" s="62" t="s">
        <v>2501</v>
      </c>
      <c r="Y1007" s="62">
        <v>58165376544</v>
      </c>
      <c r="Z1007" s="62" t="s">
        <v>1112</v>
      </c>
      <c r="AA1007" s="65">
        <v>4</v>
      </c>
      <c r="AB1007" s="66" t="s">
        <v>2502</v>
      </c>
      <c r="AC1007" s="1" t="s">
        <v>13</v>
      </c>
      <c r="AD1007" s="62" t="str">
        <f>VLOOKUP(X1007,'Customer List'!B:C,2,)</f>
        <v>Hyderabad</v>
      </c>
      <c r="AE1007" s="67"/>
      <c r="AF1007" s="6">
        <v>46155</v>
      </c>
      <c r="AG1007" s="62">
        <f t="shared" si="191"/>
        <v>1</v>
      </c>
      <c r="AH1007" s="62" t="str">
        <f t="shared" si="192"/>
        <v>Wednesday</v>
      </c>
      <c r="AI1007" s="62" t="str">
        <f t="shared" si="186"/>
        <v>Wednesday</v>
      </c>
      <c r="AJ1007" s="62" t="str">
        <f>VLOOKUP(AC1007,'Currency Sheet'!A:C,3,)</f>
        <v>DOLLAR</v>
      </c>
      <c r="AK1007" s="62" t="str">
        <f>VLOOKUP(X1007,'Customer List'!B:D,3,)</f>
        <v>OutStation</v>
      </c>
    </row>
    <row r="1008" spans="1:37" hidden="1" x14ac:dyDescent="0.25">
      <c r="A1008" s="62">
        <f t="shared" si="193"/>
        <v>993</v>
      </c>
      <c r="B1008" s="62" t="s">
        <v>824</v>
      </c>
      <c r="C1008" s="62" t="s">
        <v>2415</v>
      </c>
      <c r="D1008" s="6">
        <v>46141</v>
      </c>
      <c r="E1008" s="6">
        <v>46153</v>
      </c>
      <c r="F1008" s="63">
        <v>82.6</v>
      </c>
      <c r="G1008" s="64">
        <f t="shared" si="187"/>
        <v>7268.7999999999993</v>
      </c>
      <c r="H1008" s="64">
        <f t="shared" si="188"/>
        <v>7268.7999999999993</v>
      </c>
      <c r="I1008" s="70">
        <v>741252</v>
      </c>
      <c r="J1008" s="62" t="s">
        <v>2457</v>
      </c>
      <c r="K1008" s="8" t="s">
        <v>2458</v>
      </c>
      <c r="L1008" s="10">
        <v>46642</v>
      </c>
      <c r="M1008" s="62">
        <v>1</v>
      </c>
      <c r="N1008" s="8">
        <v>1</v>
      </c>
      <c r="O1008" s="62">
        <f t="shared" si="189"/>
        <v>0</v>
      </c>
      <c r="P1008" s="70">
        <v>296</v>
      </c>
      <c r="Q1008" s="71">
        <v>46153</v>
      </c>
      <c r="R1008" s="6">
        <v>46154</v>
      </c>
      <c r="S1008" s="64">
        <v>13717.5</v>
      </c>
      <c r="T1008" s="22">
        <v>5</v>
      </c>
      <c r="U1008" s="64">
        <f t="shared" si="190"/>
        <v>685.875</v>
      </c>
      <c r="V1008" s="22">
        <v>0</v>
      </c>
      <c r="W1008" s="22">
        <v>116995</v>
      </c>
      <c r="X1008" s="62" t="s">
        <v>2501</v>
      </c>
      <c r="Y1008" s="62">
        <v>58165376544</v>
      </c>
      <c r="Z1008" s="62" t="s">
        <v>1112</v>
      </c>
      <c r="AA1008" s="65">
        <v>4</v>
      </c>
      <c r="AB1008" s="66" t="s">
        <v>2502</v>
      </c>
      <c r="AC1008" s="1" t="s">
        <v>13</v>
      </c>
      <c r="AD1008" s="62" t="str">
        <f>VLOOKUP(X1008,'Customer List'!B:C,2,)</f>
        <v>Hyderabad</v>
      </c>
      <c r="AE1008" s="67"/>
      <c r="AF1008" s="6">
        <v>46155</v>
      </c>
      <c r="AG1008" s="62">
        <f t="shared" si="191"/>
        <v>1</v>
      </c>
      <c r="AH1008" s="62" t="str">
        <f t="shared" si="192"/>
        <v>Wednesday</v>
      </c>
      <c r="AI1008" s="62" t="str">
        <f t="shared" si="186"/>
        <v>Wednesday</v>
      </c>
      <c r="AJ1008" s="62" t="str">
        <f>VLOOKUP(AC1008,'Currency Sheet'!A:C,3,)</f>
        <v>DOLLAR</v>
      </c>
      <c r="AK1008" s="62" t="str">
        <f>VLOOKUP(X1008,'Customer List'!B:D,3,)</f>
        <v>OutStation</v>
      </c>
    </row>
    <row r="1009" spans="1:37" hidden="1" x14ac:dyDescent="0.25">
      <c r="A1009" s="62">
        <f t="shared" si="193"/>
        <v>994</v>
      </c>
      <c r="B1009" s="62" t="s">
        <v>824</v>
      </c>
      <c r="C1009" s="62" t="s">
        <v>2415</v>
      </c>
      <c r="D1009" s="6">
        <v>46141</v>
      </c>
      <c r="E1009" s="6">
        <v>46153</v>
      </c>
      <c r="F1009" s="63">
        <v>880</v>
      </c>
      <c r="G1009" s="64">
        <f t="shared" si="187"/>
        <v>77440</v>
      </c>
      <c r="H1009" s="64">
        <f t="shared" si="188"/>
        <v>154880</v>
      </c>
      <c r="I1009" s="70">
        <v>900008089</v>
      </c>
      <c r="J1009" s="62" t="s">
        <v>2459</v>
      </c>
      <c r="K1009" s="8" t="s">
        <v>2460</v>
      </c>
      <c r="L1009" s="10">
        <v>46684</v>
      </c>
      <c r="M1009" s="62">
        <v>2</v>
      </c>
      <c r="N1009" s="8">
        <v>2</v>
      </c>
      <c r="O1009" s="62">
        <f t="shared" si="189"/>
        <v>0</v>
      </c>
      <c r="P1009" s="70">
        <v>292</v>
      </c>
      <c r="Q1009" s="71">
        <v>46153</v>
      </c>
      <c r="R1009" s="6">
        <v>46154</v>
      </c>
      <c r="S1009" s="64">
        <v>246400</v>
      </c>
      <c r="T1009" s="22">
        <v>5</v>
      </c>
      <c r="U1009" s="64">
        <f t="shared" si="190"/>
        <v>12320</v>
      </c>
      <c r="V1009" s="22">
        <v>0</v>
      </c>
      <c r="W1009" s="22">
        <v>258720</v>
      </c>
      <c r="X1009" s="62" t="s">
        <v>902</v>
      </c>
      <c r="Y1009" s="62">
        <v>58165382984</v>
      </c>
      <c r="Z1009" s="62" t="s">
        <v>1112</v>
      </c>
      <c r="AA1009" s="65">
        <v>4</v>
      </c>
      <c r="AB1009" s="66"/>
      <c r="AC1009" s="1" t="s">
        <v>13</v>
      </c>
      <c r="AD1009" s="62" t="str">
        <f>VLOOKUP(X1009,'Customer List'!B:C,2,)</f>
        <v>Hyderabad</v>
      </c>
      <c r="AE1009" s="67"/>
      <c r="AF1009" s="6">
        <v>46155</v>
      </c>
      <c r="AG1009" s="62">
        <f t="shared" si="191"/>
        <v>1</v>
      </c>
      <c r="AH1009" s="62" t="str">
        <f t="shared" si="192"/>
        <v>Saturday</v>
      </c>
      <c r="AI1009" s="62" t="str">
        <f t="shared" si="186"/>
        <v>Wednesday</v>
      </c>
      <c r="AJ1009" s="62" t="str">
        <f>VLOOKUP(AC1009,'Currency Sheet'!A:C,3,)</f>
        <v>DOLLAR</v>
      </c>
      <c r="AK1009" s="62" t="str">
        <f>VLOOKUP(X1009,'Customer List'!B:D,3,)</f>
        <v>OutStation</v>
      </c>
    </row>
    <row r="1010" spans="1:37" hidden="1" x14ac:dyDescent="0.25">
      <c r="A1010" s="62">
        <f t="shared" si="193"/>
        <v>995</v>
      </c>
      <c r="B1010" s="62" t="s">
        <v>35</v>
      </c>
      <c r="C1010" s="62" t="s">
        <v>2463</v>
      </c>
      <c r="D1010" s="6">
        <v>46141</v>
      </c>
      <c r="E1010" s="6">
        <v>46153</v>
      </c>
      <c r="F1010" s="63">
        <v>196</v>
      </c>
      <c r="G1010" s="64">
        <f t="shared" si="187"/>
        <v>17248</v>
      </c>
      <c r="H1010" s="64">
        <f t="shared" si="188"/>
        <v>17248</v>
      </c>
      <c r="I1010" s="70">
        <v>31000</v>
      </c>
      <c r="J1010" s="62"/>
      <c r="K1010" s="8"/>
      <c r="L1010" s="10"/>
      <c r="M1010" s="62">
        <v>1</v>
      </c>
      <c r="N1010" s="8">
        <v>1</v>
      </c>
      <c r="O1010" s="62">
        <f t="shared" si="189"/>
        <v>0</v>
      </c>
      <c r="P1010" s="70">
        <v>295</v>
      </c>
      <c r="Q1010" s="71">
        <v>46153</v>
      </c>
      <c r="R1010" s="6">
        <v>46154</v>
      </c>
      <c r="S1010" s="64">
        <v>30380</v>
      </c>
      <c r="T1010" s="22">
        <v>5</v>
      </c>
      <c r="U1010" s="64">
        <f t="shared" si="190"/>
        <v>1519</v>
      </c>
      <c r="V1010" s="22">
        <v>1800</v>
      </c>
      <c r="W1010" s="22">
        <v>33789</v>
      </c>
      <c r="X1010" s="62" t="s">
        <v>2464</v>
      </c>
      <c r="Y1010" s="62">
        <v>58165376220</v>
      </c>
      <c r="Z1010" s="62" t="s">
        <v>1112</v>
      </c>
      <c r="AA1010" s="65">
        <v>-20</v>
      </c>
      <c r="AB1010" s="66"/>
      <c r="AC1010" s="1" t="s">
        <v>1844</v>
      </c>
      <c r="AD1010" s="62" t="str">
        <f>VLOOKUP(X1010,'Customer List'!B:C,2,)</f>
        <v>Banglore</v>
      </c>
      <c r="AE1010" s="67"/>
      <c r="AF1010" s="6">
        <v>46155</v>
      </c>
      <c r="AG1010" s="62">
        <f t="shared" si="191"/>
        <v>1</v>
      </c>
      <c r="AH1010" s="62" t="str">
        <f t="shared" si="192"/>
        <v>Saturday</v>
      </c>
      <c r="AI1010" s="62" t="str">
        <f t="shared" si="186"/>
        <v>Wednesday</v>
      </c>
      <c r="AJ1010" s="62" t="str">
        <f>VLOOKUP(AC1010,'Currency Sheet'!A:C,3,)</f>
        <v>DOLLAR</v>
      </c>
      <c r="AK1010" s="62" t="str">
        <f>VLOOKUP(X1010,'Customer List'!B:D,3,)</f>
        <v>OutStation</v>
      </c>
    </row>
    <row r="1011" spans="1:37" hidden="1" x14ac:dyDescent="0.25">
      <c r="A1011" s="62">
        <f t="shared" si="193"/>
        <v>996</v>
      </c>
      <c r="B1011" s="62" t="s">
        <v>35</v>
      </c>
      <c r="C1011" s="62" t="s">
        <v>2463</v>
      </c>
      <c r="D1011" s="6">
        <v>46141</v>
      </c>
      <c r="E1011" s="6">
        <v>46153</v>
      </c>
      <c r="F1011" s="63">
        <v>68.8</v>
      </c>
      <c r="G1011" s="64">
        <f t="shared" si="187"/>
        <v>6054.4</v>
      </c>
      <c r="H1011" s="64">
        <f t="shared" si="188"/>
        <v>12108.8</v>
      </c>
      <c r="I1011" s="70">
        <v>22010</v>
      </c>
      <c r="J1011" s="62"/>
      <c r="K1011" s="8" t="s">
        <v>1423</v>
      </c>
      <c r="L1011" s="10"/>
      <c r="M1011" s="62">
        <v>2</v>
      </c>
      <c r="N1011" s="8">
        <v>2</v>
      </c>
      <c r="O1011" s="62">
        <f t="shared" si="189"/>
        <v>0</v>
      </c>
      <c r="P1011" s="70">
        <v>302</v>
      </c>
      <c r="Q1011" s="71">
        <v>46153</v>
      </c>
      <c r="R1011" s="6">
        <v>46154</v>
      </c>
      <c r="S1011" s="64">
        <v>23994</v>
      </c>
      <c r="T1011" s="22">
        <v>5</v>
      </c>
      <c r="U1011" s="64">
        <f t="shared" si="190"/>
        <v>1199.7</v>
      </c>
      <c r="V1011" s="22">
        <v>1800.3</v>
      </c>
      <c r="W1011" s="22">
        <v>27084</v>
      </c>
      <c r="X1011" s="62" t="s">
        <v>247</v>
      </c>
      <c r="Y1011" s="62">
        <v>58165374831</v>
      </c>
      <c r="Z1011" s="62" t="s">
        <v>1112</v>
      </c>
      <c r="AA1011" s="65">
        <v>4</v>
      </c>
      <c r="AB1011" s="66"/>
      <c r="AC1011" s="1" t="s">
        <v>1844</v>
      </c>
      <c r="AD1011" s="62" t="str">
        <f>VLOOKUP(X1011,'Customer List'!B:C,2,)</f>
        <v>Chennai</v>
      </c>
      <c r="AE1011" s="67"/>
      <c r="AF1011" s="6">
        <v>46155</v>
      </c>
      <c r="AG1011" s="62">
        <f t="shared" si="191"/>
        <v>1</v>
      </c>
      <c r="AH1011" s="62" t="str">
        <f t="shared" si="192"/>
        <v>Thursday</v>
      </c>
      <c r="AI1011" s="62" t="str">
        <f t="shared" si="186"/>
        <v>Wednesday</v>
      </c>
      <c r="AJ1011" s="62" t="str">
        <f>VLOOKUP(AC1011,'Currency Sheet'!A:C,3,)</f>
        <v>DOLLAR</v>
      </c>
      <c r="AK1011" s="62" t="str">
        <f>VLOOKUP(X1011,'Customer List'!B:D,3,)</f>
        <v>OutStation</v>
      </c>
    </row>
    <row r="1012" spans="1:37" hidden="1" x14ac:dyDescent="0.25">
      <c r="A1012" s="62">
        <f t="shared" si="193"/>
        <v>997</v>
      </c>
      <c r="B1012" s="62" t="s">
        <v>903</v>
      </c>
      <c r="C1012" s="62">
        <v>46724</v>
      </c>
      <c r="D1012" s="6">
        <v>46147</v>
      </c>
      <c r="E1012" s="6">
        <v>46153</v>
      </c>
      <c r="F1012" s="63">
        <v>396</v>
      </c>
      <c r="G1012" s="64">
        <f t="shared" si="187"/>
        <v>34848</v>
      </c>
      <c r="H1012" s="64">
        <f t="shared" si="188"/>
        <v>34848</v>
      </c>
      <c r="I1012" s="70" t="s">
        <v>2467</v>
      </c>
      <c r="J1012" s="62"/>
      <c r="K1012" s="8"/>
      <c r="L1012" s="10"/>
      <c r="M1012" s="62">
        <v>1</v>
      </c>
      <c r="N1012" s="8">
        <v>1</v>
      </c>
      <c r="O1012" s="62">
        <f t="shared" si="189"/>
        <v>0</v>
      </c>
      <c r="P1012" s="70">
        <v>297</v>
      </c>
      <c r="Q1012" s="71">
        <v>46153</v>
      </c>
      <c r="R1012" s="6">
        <v>46154</v>
      </c>
      <c r="S1012" s="64">
        <v>69192</v>
      </c>
      <c r="T1012" s="22">
        <v>5</v>
      </c>
      <c r="U1012" s="64">
        <f t="shared" si="190"/>
        <v>3459.6000000000004</v>
      </c>
      <c r="V1012" s="22">
        <v>0.32</v>
      </c>
      <c r="W1012" s="22">
        <v>619557</v>
      </c>
      <c r="X1012" s="62" t="s">
        <v>2465</v>
      </c>
      <c r="Y1012" s="62">
        <v>58165383776</v>
      </c>
      <c r="Z1012" s="62" t="s">
        <v>1112</v>
      </c>
      <c r="AA1012" s="65" t="s">
        <v>2408</v>
      </c>
      <c r="AB1012" s="66"/>
      <c r="AC1012" s="1" t="s">
        <v>903</v>
      </c>
      <c r="AD1012" s="62" t="str">
        <f>VLOOKUP(X1012,'Customer List'!B:C,2,)</f>
        <v>SULTANPUR</v>
      </c>
      <c r="AE1012" s="67"/>
      <c r="AF1012" s="6">
        <v>46155</v>
      </c>
      <c r="AG1012" s="62">
        <f t="shared" si="191"/>
        <v>1</v>
      </c>
      <c r="AH1012" s="62" t="str">
        <f t="shared" si="192"/>
        <v>Wednesday</v>
      </c>
      <c r="AI1012" s="62" t="str">
        <f t="shared" si="186"/>
        <v>Wednesday</v>
      </c>
      <c r="AJ1012" s="62" t="str">
        <f>VLOOKUP(AC1012,'Currency Sheet'!A:C,3,)</f>
        <v>DOLLAR</v>
      </c>
      <c r="AK1012" s="62" t="str">
        <f>VLOOKUP(X1012,'Customer List'!B:D,3,)</f>
        <v>OutStation</v>
      </c>
    </row>
    <row r="1013" spans="1:37" hidden="1" x14ac:dyDescent="0.25">
      <c r="A1013" s="62">
        <f t="shared" si="193"/>
        <v>998</v>
      </c>
      <c r="B1013" s="62" t="s">
        <v>903</v>
      </c>
      <c r="C1013" s="62">
        <v>46724</v>
      </c>
      <c r="D1013" s="6">
        <v>46147</v>
      </c>
      <c r="E1013" s="6">
        <v>46153</v>
      </c>
      <c r="F1013" s="63">
        <v>396</v>
      </c>
      <c r="G1013" s="64">
        <f t="shared" si="187"/>
        <v>34848</v>
      </c>
      <c r="H1013" s="64">
        <f t="shared" si="188"/>
        <v>34848</v>
      </c>
      <c r="I1013" s="70" t="s">
        <v>2468</v>
      </c>
      <c r="J1013" s="62"/>
      <c r="K1013" s="8"/>
      <c r="L1013" s="10"/>
      <c r="M1013" s="62">
        <v>1</v>
      </c>
      <c r="N1013" s="8">
        <v>1</v>
      </c>
      <c r="O1013" s="62">
        <f t="shared" si="189"/>
        <v>0</v>
      </c>
      <c r="P1013" s="70">
        <v>297</v>
      </c>
      <c r="Q1013" s="71">
        <v>46153</v>
      </c>
      <c r="R1013" s="6">
        <v>46154</v>
      </c>
      <c r="S1013" s="64">
        <v>69192</v>
      </c>
      <c r="T1013" s="22">
        <v>5</v>
      </c>
      <c r="U1013" s="64">
        <f t="shared" si="190"/>
        <v>3459.6000000000004</v>
      </c>
      <c r="V1013" s="22">
        <v>0</v>
      </c>
      <c r="W1013" s="22">
        <v>619557</v>
      </c>
      <c r="X1013" s="62" t="s">
        <v>2465</v>
      </c>
      <c r="Y1013" s="62">
        <v>58165383776</v>
      </c>
      <c r="Z1013" s="62" t="s">
        <v>1112</v>
      </c>
      <c r="AA1013" s="65" t="s">
        <v>2408</v>
      </c>
      <c r="AB1013" s="66"/>
      <c r="AC1013" s="1" t="s">
        <v>903</v>
      </c>
      <c r="AD1013" s="62" t="str">
        <f>VLOOKUP(X1013,'Customer List'!B:C,2,)</f>
        <v>SULTANPUR</v>
      </c>
      <c r="AE1013" s="67"/>
      <c r="AF1013" s="6">
        <v>46155</v>
      </c>
      <c r="AG1013" s="62">
        <f t="shared" si="191"/>
        <v>1</v>
      </c>
      <c r="AH1013" s="62" t="str">
        <f t="shared" si="192"/>
        <v>Wednesday</v>
      </c>
      <c r="AI1013" s="62" t="str">
        <f t="shared" si="186"/>
        <v>Wednesday</v>
      </c>
      <c r="AJ1013" s="62" t="str">
        <f>VLOOKUP(AC1013,'Currency Sheet'!A:C,3,)</f>
        <v>DOLLAR</v>
      </c>
      <c r="AK1013" s="62" t="str">
        <f>VLOOKUP(X1013,'Customer List'!B:D,3,)</f>
        <v>OutStation</v>
      </c>
    </row>
    <row r="1014" spans="1:37" hidden="1" x14ac:dyDescent="0.25">
      <c r="A1014" s="62">
        <f t="shared" si="193"/>
        <v>999</v>
      </c>
      <c r="B1014" s="62" t="s">
        <v>903</v>
      </c>
      <c r="C1014" s="62">
        <v>46724</v>
      </c>
      <c r="D1014" s="6">
        <v>46147</v>
      </c>
      <c r="E1014" s="6">
        <v>46153</v>
      </c>
      <c r="F1014" s="63">
        <v>396</v>
      </c>
      <c r="G1014" s="64">
        <f t="shared" si="187"/>
        <v>34848</v>
      </c>
      <c r="H1014" s="64">
        <f t="shared" si="188"/>
        <v>34848</v>
      </c>
      <c r="I1014" s="70" t="s">
        <v>2469</v>
      </c>
      <c r="J1014" s="62"/>
      <c r="K1014" s="8"/>
      <c r="L1014" s="10"/>
      <c r="M1014" s="62">
        <v>1</v>
      </c>
      <c r="N1014" s="8">
        <v>1</v>
      </c>
      <c r="O1014" s="62">
        <f t="shared" si="189"/>
        <v>0</v>
      </c>
      <c r="P1014" s="70">
        <v>297</v>
      </c>
      <c r="Q1014" s="71">
        <v>46153</v>
      </c>
      <c r="R1014" s="6">
        <v>46154</v>
      </c>
      <c r="S1014" s="64">
        <v>69192</v>
      </c>
      <c r="T1014" s="22">
        <v>5</v>
      </c>
      <c r="U1014" s="64">
        <f t="shared" si="190"/>
        <v>3459.6000000000004</v>
      </c>
      <c r="V1014" s="22">
        <v>0</v>
      </c>
      <c r="W1014" s="22">
        <v>619557</v>
      </c>
      <c r="X1014" s="62" t="s">
        <v>2465</v>
      </c>
      <c r="Y1014" s="62">
        <v>58165383776</v>
      </c>
      <c r="Z1014" s="62" t="s">
        <v>1112</v>
      </c>
      <c r="AA1014" s="65" t="s">
        <v>2408</v>
      </c>
      <c r="AB1014" s="66"/>
      <c r="AC1014" s="1" t="s">
        <v>903</v>
      </c>
      <c r="AD1014" s="62" t="str">
        <f>VLOOKUP(X1014,'Customer List'!B:C,2,)</f>
        <v>SULTANPUR</v>
      </c>
      <c r="AE1014" s="67"/>
      <c r="AF1014" s="6">
        <v>46155</v>
      </c>
      <c r="AG1014" s="62">
        <f t="shared" si="191"/>
        <v>1</v>
      </c>
      <c r="AH1014" s="62" t="str">
        <f t="shared" si="192"/>
        <v>Wednesday</v>
      </c>
      <c r="AI1014" s="62" t="str">
        <f t="shared" si="186"/>
        <v>Wednesday</v>
      </c>
      <c r="AJ1014" s="62" t="str">
        <f>VLOOKUP(AC1014,'Currency Sheet'!A:C,3,)</f>
        <v>DOLLAR</v>
      </c>
      <c r="AK1014" s="62" t="str">
        <f>VLOOKUP(X1014,'Customer List'!B:D,3,)</f>
        <v>OutStation</v>
      </c>
    </row>
    <row r="1015" spans="1:37" hidden="1" x14ac:dyDescent="0.25">
      <c r="A1015" s="62">
        <f t="shared" si="193"/>
        <v>1000</v>
      </c>
      <c r="B1015" s="62" t="s">
        <v>903</v>
      </c>
      <c r="C1015" s="62">
        <v>46724</v>
      </c>
      <c r="D1015" s="6">
        <v>46147</v>
      </c>
      <c r="E1015" s="6">
        <v>46153</v>
      </c>
      <c r="F1015" s="63">
        <v>396</v>
      </c>
      <c r="G1015" s="64">
        <f t="shared" si="187"/>
        <v>34848</v>
      </c>
      <c r="H1015" s="64">
        <f t="shared" si="188"/>
        <v>34848</v>
      </c>
      <c r="I1015" s="70" t="s">
        <v>2470</v>
      </c>
      <c r="J1015" s="62"/>
      <c r="K1015" s="8"/>
      <c r="L1015" s="10"/>
      <c r="M1015" s="62">
        <v>1</v>
      </c>
      <c r="N1015" s="8">
        <v>1</v>
      </c>
      <c r="O1015" s="62">
        <f t="shared" si="189"/>
        <v>0</v>
      </c>
      <c r="P1015" s="70">
        <v>297</v>
      </c>
      <c r="Q1015" s="71">
        <v>46153</v>
      </c>
      <c r="R1015" s="6">
        <v>46154</v>
      </c>
      <c r="S1015" s="64">
        <v>69192</v>
      </c>
      <c r="T1015" s="22">
        <v>5</v>
      </c>
      <c r="U1015" s="64">
        <f t="shared" si="190"/>
        <v>3459.6000000000004</v>
      </c>
      <c r="V1015" s="22">
        <v>0</v>
      </c>
      <c r="W1015" s="22">
        <v>619557</v>
      </c>
      <c r="X1015" s="62" t="s">
        <v>2465</v>
      </c>
      <c r="Y1015" s="62">
        <v>58165383776</v>
      </c>
      <c r="Z1015" s="62" t="s">
        <v>1112</v>
      </c>
      <c r="AA1015" s="65">
        <v>4</v>
      </c>
      <c r="AB1015" s="66"/>
      <c r="AC1015" s="1" t="s">
        <v>903</v>
      </c>
      <c r="AD1015" s="62" t="str">
        <f>VLOOKUP(X1015,'Customer List'!B:C,2,)</f>
        <v>SULTANPUR</v>
      </c>
      <c r="AE1015" s="67"/>
      <c r="AF1015" s="6">
        <v>46155</v>
      </c>
      <c r="AG1015" s="62">
        <f t="shared" si="191"/>
        <v>1</v>
      </c>
      <c r="AH1015" s="62" t="str">
        <f t="shared" si="192"/>
        <v>Wednesday</v>
      </c>
      <c r="AI1015" s="62" t="str">
        <f t="shared" si="186"/>
        <v>Wednesday</v>
      </c>
      <c r="AJ1015" s="62" t="str">
        <f>VLOOKUP(AC1015,'Currency Sheet'!A:C,3,)</f>
        <v>DOLLAR</v>
      </c>
      <c r="AK1015" s="62" t="str">
        <f>VLOOKUP(X1015,'Customer List'!B:D,3,)</f>
        <v>OutStation</v>
      </c>
    </row>
    <row r="1016" spans="1:37" hidden="1" x14ac:dyDescent="0.25">
      <c r="A1016" s="62">
        <f t="shared" si="193"/>
        <v>1001</v>
      </c>
      <c r="B1016" s="62" t="s">
        <v>903</v>
      </c>
      <c r="C1016" s="62">
        <v>46724</v>
      </c>
      <c r="D1016" s="6">
        <v>46147</v>
      </c>
      <c r="E1016" s="6">
        <v>46153</v>
      </c>
      <c r="F1016" s="63">
        <v>396</v>
      </c>
      <c r="G1016" s="64">
        <f t="shared" si="187"/>
        <v>34848</v>
      </c>
      <c r="H1016" s="64">
        <f t="shared" si="188"/>
        <v>34848</v>
      </c>
      <c r="I1016" s="70" t="s">
        <v>2471</v>
      </c>
      <c r="J1016" s="62"/>
      <c r="K1016" s="8"/>
      <c r="L1016" s="10"/>
      <c r="M1016" s="62">
        <v>1</v>
      </c>
      <c r="N1016" s="8">
        <v>1</v>
      </c>
      <c r="O1016" s="62">
        <f t="shared" si="189"/>
        <v>0</v>
      </c>
      <c r="P1016" s="70">
        <v>297</v>
      </c>
      <c r="Q1016" s="71">
        <v>46153</v>
      </c>
      <c r="R1016" s="6">
        <v>46154</v>
      </c>
      <c r="S1016" s="64">
        <v>69192</v>
      </c>
      <c r="T1016" s="22">
        <v>5</v>
      </c>
      <c r="U1016" s="64">
        <f t="shared" si="190"/>
        <v>3459.6000000000004</v>
      </c>
      <c r="V1016" s="22">
        <v>0</v>
      </c>
      <c r="W1016" s="22">
        <v>619557</v>
      </c>
      <c r="X1016" s="62" t="s">
        <v>2465</v>
      </c>
      <c r="Y1016" s="62">
        <v>58165383776</v>
      </c>
      <c r="Z1016" s="62" t="s">
        <v>1112</v>
      </c>
      <c r="AA1016" s="65" t="s">
        <v>2408</v>
      </c>
      <c r="AB1016" s="66"/>
      <c r="AC1016" s="1" t="s">
        <v>903</v>
      </c>
      <c r="AD1016" s="62" t="str">
        <f>VLOOKUP(X1016,'Customer List'!B:C,2,)</f>
        <v>SULTANPUR</v>
      </c>
      <c r="AE1016" s="67"/>
      <c r="AF1016" s="6">
        <v>46155</v>
      </c>
      <c r="AG1016" s="62">
        <f t="shared" si="191"/>
        <v>1</v>
      </c>
      <c r="AH1016" s="62" t="str">
        <f t="shared" si="192"/>
        <v>Wednesday</v>
      </c>
      <c r="AI1016" s="62" t="str">
        <f t="shared" si="186"/>
        <v>Wednesday</v>
      </c>
      <c r="AJ1016" s="62" t="str">
        <f>VLOOKUP(AC1016,'Currency Sheet'!A:C,3,)</f>
        <v>DOLLAR</v>
      </c>
      <c r="AK1016" s="62" t="str">
        <f>VLOOKUP(X1016,'Customer List'!B:D,3,)</f>
        <v>OutStation</v>
      </c>
    </row>
    <row r="1017" spans="1:37" hidden="1" x14ac:dyDescent="0.25">
      <c r="A1017" s="62">
        <f t="shared" si="193"/>
        <v>1002</v>
      </c>
      <c r="B1017" s="62" t="s">
        <v>903</v>
      </c>
      <c r="C1017" s="62">
        <v>46724</v>
      </c>
      <c r="D1017" s="6">
        <v>46147</v>
      </c>
      <c r="E1017" s="6">
        <v>46153</v>
      </c>
      <c r="F1017" s="63">
        <v>396</v>
      </c>
      <c r="G1017" s="64">
        <f t="shared" si="187"/>
        <v>34848</v>
      </c>
      <c r="H1017" s="64">
        <f t="shared" si="188"/>
        <v>34848</v>
      </c>
      <c r="I1017" s="70" t="s">
        <v>2472</v>
      </c>
      <c r="J1017" s="62"/>
      <c r="K1017" s="8"/>
      <c r="L1017" s="10"/>
      <c r="M1017" s="62">
        <v>1</v>
      </c>
      <c r="N1017" s="8">
        <v>1</v>
      </c>
      <c r="O1017" s="62">
        <f t="shared" si="189"/>
        <v>0</v>
      </c>
      <c r="P1017" s="70">
        <v>297</v>
      </c>
      <c r="Q1017" s="71">
        <v>46153</v>
      </c>
      <c r="R1017" s="6">
        <v>46154</v>
      </c>
      <c r="S1017" s="64">
        <v>69192</v>
      </c>
      <c r="T1017" s="22">
        <v>5</v>
      </c>
      <c r="U1017" s="64">
        <f t="shared" si="190"/>
        <v>3459.6000000000004</v>
      </c>
      <c r="V1017" s="22">
        <v>0</v>
      </c>
      <c r="W1017" s="22">
        <v>619557</v>
      </c>
      <c r="X1017" s="62" t="s">
        <v>2465</v>
      </c>
      <c r="Y1017" s="62">
        <v>58165383776</v>
      </c>
      <c r="Z1017" s="62" t="s">
        <v>1112</v>
      </c>
      <c r="AA1017" s="65" t="s">
        <v>2408</v>
      </c>
      <c r="AB1017" s="66"/>
      <c r="AC1017" s="1" t="s">
        <v>903</v>
      </c>
      <c r="AD1017" s="62" t="str">
        <f>VLOOKUP(X1017,'Customer List'!B:C,2,)</f>
        <v>SULTANPUR</v>
      </c>
      <c r="AE1017" s="67"/>
      <c r="AF1017" s="6">
        <v>46155</v>
      </c>
      <c r="AG1017" s="62">
        <f t="shared" si="191"/>
        <v>1</v>
      </c>
      <c r="AH1017" s="62" t="str">
        <f t="shared" si="192"/>
        <v>Wednesday</v>
      </c>
      <c r="AI1017" s="62" t="str">
        <f t="shared" si="186"/>
        <v>Wednesday</v>
      </c>
      <c r="AJ1017" s="62" t="str">
        <f>VLOOKUP(AC1017,'Currency Sheet'!A:C,3,)</f>
        <v>DOLLAR</v>
      </c>
      <c r="AK1017" s="62" t="str">
        <f>VLOOKUP(X1017,'Customer List'!B:D,3,)</f>
        <v>OutStation</v>
      </c>
    </row>
    <row r="1018" spans="1:37" hidden="1" x14ac:dyDescent="0.25">
      <c r="A1018" s="62">
        <f t="shared" si="193"/>
        <v>1003</v>
      </c>
      <c r="B1018" s="62" t="s">
        <v>903</v>
      </c>
      <c r="C1018" s="62">
        <v>46724</v>
      </c>
      <c r="D1018" s="6">
        <v>46147</v>
      </c>
      <c r="E1018" s="6">
        <v>46153</v>
      </c>
      <c r="F1018" s="63">
        <v>396</v>
      </c>
      <c r="G1018" s="64">
        <f t="shared" si="187"/>
        <v>34848</v>
      </c>
      <c r="H1018" s="64">
        <f t="shared" si="188"/>
        <v>34848</v>
      </c>
      <c r="I1018" s="70" t="s">
        <v>2473</v>
      </c>
      <c r="J1018" s="62"/>
      <c r="K1018" s="8"/>
      <c r="L1018" s="10"/>
      <c r="M1018" s="62">
        <v>1</v>
      </c>
      <c r="N1018" s="8">
        <v>1</v>
      </c>
      <c r="O1018" s="62">
        <f t="shared" si="189"/>
        <v>0</v>
      </c>
      <c r="P1018" s="70">
        <v>297</v>
      </c>
      <c r="Q1018" s="71">
        <v>46153</v>
      </c>
      <c r="R1018" s="6">
        <v>46154</v>
      </c>
      <c r="S1018" s="64">
        <v>69192</v>
      </c>
      <c r="T1018" s="22">
        <v>5</v>
      </c>
      <c r="U1018" s="64">
        <f t="shared" si="190"/>
        <v>3459.6000000000004</v>
      </c>
      <c r="V1018" s="22">
        <v>0</v>
      </c>
      <c r="W1018" s="22">
        <v>619557</v>
      </c>
      <c r="X1018" s="62" t="s">
        <v>2465</v>
      </c>
      <c r="Y1018" s="62">
        <v>58165383776</v>
      </c>
      <c r="Z1018" s="62" t="s">
        <v>1112</v>
      </c>
      <c r="AA1018" s="65" t="s">
        <v>2408</v>
      </c>
      <c r="AB1018" s="66"/>
      <c r="AC1018" s="1" t="s">
        <v>903</v>
      </c>
      <c r="AD1018" s="62" t="str">
        <f>VLOOKUP(X1018,'Customer List'!B:C,2,)</f>
        <v>SULTANPUR</v>
      </c>
      <c r="AE1018" s="67"/>
      <c r="AF1018" s="6">
        <v>46155</v>
      </c>
      <c r="AG1018" s="62">
        <f t="shared" si="191"/>
        <v>1</v>
      </c>
      <c r="AH1018" s="62" t="str">
        <f t="shared" si="192"/>
        <v>Wednesday</v>
      </c>
      <c r="AI1018" s="62" t="str">
        <f t="shared" si="186"/>
        <v>Wednesday</v>
      </c>
      <c r="AJ1018" s="62" t="str">
        <f>VLOOKUP(AC1018,'Currency Sheet'!A:C,3,)</f>
        <v>DOLLAR</v>
      </c>
      <c r="AK1018" s="62" t="str">
        <f>VLOOKUP(X1018,'Customer List'!B:D,3,)</f>
        <v>OutStation</v>
      </c>
    </row>
    <row r="1019" spans="1:37" hidden="1" x14ac:dyDescent="0.25">
      <c r="A1019" s="62">
        <f t="shared" si="193"/>
        <v>1004</v>
      </c>
      <c r="B1019" s="62" t="s">
        <v>903</v>
      </c>
      <c r="C1019" s="62">
        <v>46724</v>
      </c>
      <c r="D1019" s="6">
        <v>46147</v>
      </c>
      <c r="E1019" s="6">
        <v>46153</v>
      </c>
      <c r="F1019" s="63">
        <v>81</v>
      </c>
      <c r="G1019" s="64">
        <f t="shared" si="187"/>
        <v>7128</v>
      </c>
      <c r="H1019" s="64">
        <f t="shared" si="188"/>
        <v>7128</v>
      </c>
      <c r="I1019" s="70" t="s">
        <v>2474</v>
      </c>
      <c r="J1019" s="62"/>
      <c r="K1019" s="8"/>
      <c r="L1019" s="10"/>
      <c r="M1019" s="62">
        <v>1</v>
      </c>
      <c r="N1019" s="8">
        <v>1</v>
      </c>
      <c r="O1019" s="62">
        <f t="shared" si="189"/>
        <v>0</v>
      </c>
      <c r="P1019" s="70">
        <v>297</v>
      </c>
      <c r="Q1019" s="71">
        <v>46153</v>
      </c>
      <c r="R1019" s="6">
        <v>46154</v>
      </c>
      <c r="S1019" s="64">
        <v>12973.5</v>
      </c>
      <c r="T1019" s="22">
        <v>5</v>
      </c>
      <c r="U1019" s="64">
        <f t="shared" si="190"/>
        <v>648.67500000000007</v>
      </c>
      <c r="V1019" s="22">
        <v>0</v>
      </c>
      <c r="W1019" s="22">
        <v>619557</v>
      </c>
      <c r="X1019" s="62" t="s">
        <v>2465</v>
      </c>
      <c r="Y1019" s="62">
        <v>58165383776</v>
      </c>
      <c r="Z1019" s="62" t="s">
        <v>1112</v>
      </c>
      <c r="AA1019" s="65">
        <v>4</v>
      </c>
      <c r="AB1019" s="66"/>
      <c r="AC1019" s="1" t="s">
        <v>903</v>
      </c>
      <c r="AD1019" s="62" t="str">
        <f>VLOOKUP(X1019,'Customer List'!B:C,2,)</f>
        <v>SULTANPUR</v>
      </c>
      <c r="AE1019" s="67"/>
      <c r="AF1019" s="6">
        <v>46155</v>
      </c>
      <c r="AG1019" s="62">
        <f t="shared" si="191"/>
        <v>1</v>
      </c>
      <c r="AH1019" s="62" t="str">
        <f t="shared" si="192"/>
        <v>Monday</v>
      </c>
      <c r="AI1019" s="62" t="str">
        <f t="shared" si="186"/>
        <v>Wednesday</v>
      </c>
      <c r="AJ1019" s="62" t="str">
        <f>VLOOKUP(AC1019,'Currency Sheet'!A:C,3,)</f>
        <v>DOLLAR</v>
      </c>
      <c r="AK1019" s="62" t="str">
        <f>VLOOKUP(X1019,'Customer List'!B:D,3,)</f>
        <v>OutStation</v>
      </c>
    </row>
    <row r="1020" spans="1:37" hidden="1" x14ac:dyDescent="0.25">
      <c r="A1020" s="62">
        <f t="shared" si="193"/>
        <v>1005</v>
      </c>
      <c r="B1020" s="62" t="s">
        <v>903</v>
      </c>
      <c r="C1020" s="62">
        <v>46724</v>
      </c>
      <c r="D1020" s="6">
        <v>46147</v>
      </c>
      <c r="E1020" s="6">
        <v>46153</v>
      </c>
      <c r="F1020" s="63">
        <v>147</v>
      </c>
      <c r="G1020" s="64">
        <f t="shared" si="187"/>
        <v>12936</v>
      </c>
      <c r="H1020" s="64">
        <f t="shared" si="188"/>
        <v>12936</v>
      </c>
      <c r="I1020" s="70" t="s">
        <v>2475</v>
      </c>
      <c r="J1020" s="62"/>
      <c r="K1020" s="8"/>
      <c r="L1020" s="10"/>
      <c r="M1020" s="62">
        <v>1</v>
      </c>
      <c r="N1020" s="8">
        <v>1</v>
      </c>
      <c r="O1020" s="62">
        <f t="shared" si="189"/>
        <v>0</v>
      </c>
      <c r="P1020" s="70">
        <v>297</v>
      </c>
      <c r="Q1020" s="71">
        <v>46153</v>
      </c>
      <c r="R1020" s="6">
        <v>46154</v>
      </c>
      <c r="S1020" s="64">
        <v>23544.48</v>
      </c>
      <c r="T1020" s="22">
        <v>5</v>
      </c>
      <c r="U1020" s="64">
        <f t="shared" si="190"/>
        <v>1177.2239999999999</v>
      </c>
      <c r="V1020" s="22">
        <v>0</v>
      </c>
      <c r="W1020" s="22">
        <v>619557</v>
      </c>
      <c r="X1020" s="62" t="s">
        <v>2465</v>
      </c>
      <c r="Y1020" s="62">
        <v>58165383776</v>
      </c>
      <c r="Z1020" s="62" t="s">
        <v>1112</v>
      </c>
      <c r="AA1020" s="65">
        <v>4</v>
      </c>
      <c r="AB1020" s="66"/>
      <c r="AC1020" s="1" t="s">
        <v>903</v>
      </c>
      <c r="AD1020" s="62" t="str">
        <f>VLOOKUP(X1020,'Customer List'!B:C,2,)</f>
        <v>SULTANPUR</v>
      </c>
      <c r="AE1020" s="67"/>
      <c r="AF1020" s="6">
        <v>46155</v>
      </c>
      <c r="AG1020" s="62">
        <f t="shared" si="191"/>
        <v>1</v>
      </c>
      <c r="AH1020" s="62" t="str">
        <f t="shared" si="192"/>
        <v>Tuesday</v>
      </c>
      <c r="AI1020" s="62" t="str">
        <f t="shared" si="186"/>
        <v>Wednesday</v>
      </c>
      <c r="AJ1020" s="62" t="str">
        <f>VLOOKUP(AC1020,'Currency Sheet'!A:C,3,)</f>
        <v>DOLLAR</v>
      </c>
      <c r="AK1020" s="62" t="str">
        <f>VLOOKUP(X1020,'Customer List'!B:D,3,)</f>
        <v>OutStation</v>
      </c>
    </row>
    <row r="1021" spans="1:37" hidden="1" x14ac:dyDescent="0.25">
      <c r="A1021" s="62">
        <f t="shared" si="193"/>
        <v>1006</v>
      </c>
      <c r="B1021" s="62" t="s">
        <v>903</v>
      </c>
      <c r="C1021" s="62">
        <v>46724</v>
      </c>
      <c r="D1021" s="6">
        <v>46147</v>
      </c>
      <c r="E1021" s="6">
        <v>46153</v>
      </c>
      <c r="F1021" s="63">
        <v>396</v>
      </c>
      <c r="G1021" s="64">
        <f t="shared" si="187"/>
        <v>34848</v>
      </c>
      <c r="H1021" s="64">
        <f t="shared" si="188"/>
        <v>34848</v>
      </c>
      <c r="I1021" s="70" t="s">
        <v>2476</v>
      </c>
      <c r="J1021" s="62"/>
      <c r="K1021" s="8"/>
      <c r="L1021" s="10"/>
      <c r="M1021" s="62">
        <v>1</v>
      </c>
      <c r="N1021" s="8">
        <v>1</v>
      </c>
      <c r="O1021" s="62">
        <f t="shared" si="189"/>
        <v>0</v>
      </c>
      <c r="P1021" s="70">
        <v>297</v>
      </c>
      <c r="Q1021" s="71">
        <v>46153</v>
      </c>
      <c r="R1021" s="6">
        <v>46154</v>
      </c>
      <c r="S1021" s="64">
        <v>69192</v>
      </c>
      <c r="T1021" s="22">
        <v>5</v>
      </c>
      <c r="U1021" s="64">
        <f t="shared" si="190"/>
        <v>3459.6000000000004</v>
      </c>
      <c r="V1021" s="22">
        <v>0</v>
      </c>
      <c r="W1021" s="22">
        <v>619557</v>
      </c>
      <c r="X1021" s="62" t="s">
        <v>2465</v>
      </c>
      <c r="Y1021" s="62">
        <v>58165383776</v>
      </c>
      <c r="Z1021" s="62" t="s">
        <v>1112</v>
      </c>
      <c r="AA1021" s="65" t="s">
        <v>2408</v>
      </c>
      <c r="AB1021" s="66"/>
      <c r="AC1021" s="1" t="s">
        <v>903</v>
      </c>
      <c r="AD1021" s="62" t="str">
        <f>VLOOKUP(X1021,'Customer List'!B:C,2,)</f>
        <v>SULTANPUR</v>
      </c>
      <c r="AE1021" s="67"/>
      <c r="AF1021" s="6">
        <v>46155</v>
      </c>
      <c r="AG1021" s="62">
        <f t="shared" si="191"/>
        <v>1</v>
      </c>
      <c r="AH1021" s="62" t="str">
        <f t="shared" si="192"/>
        <v>Wednesday</v>
      </c>
      <c r="AI1021" s="62" t="str">
        <f t="shared" ref="AI1021:AI1052" si="194">IF(AF1021="", "", TEXT(AF1021, "dddd"))</f>
        <v>Wednesday</v>
      </c>
      <c r="AJ1021" s="62" t="str">
        <f>VLOOKUP(AC1021,'Currency Sheet'!A:C,3,)</f>
        <v>DOLLAR</v>
      </c>
      <c r="AK1021" s="62" t="str">
        <f>VLOOKUP(X1021,'Customer List'!B:D,3,)</f>
        <v>OutStation</v>
      </c>
    </row>
    <row r="1022" spans="1:37" hidden="1" x14ac:dyDescent="0.25">
      <c r="A1022" s="62">
        <f t="shared" si="193"/>
        <v>1007</v>
      </c>
      <c r="B1022" s="62" t="s">
        <v>903</v>
      </c>
      <c r="C1022" s="62">
        <v>46724</v>
      </c>
      <c r="D1022" s="6">
        <v>46147</v>
      </c>
      <c r="E1022" s="6">
        <v>46153</v>
      </c>
      <c r="F1022" s="63">
        <v>5</v>
      </c>
      <c r="G1022" s="64">
        <f t="shared" si="187"/>
        <v>440</v>
      </c>
      <c r="H1022" s="64">
        <f t="shared" si="188"/>
        <v>440</v>
      </c>
      <c r="I1022" s="70" t="s">
        <v>2477</v>
      </c>
      <c r="J1022" s="62"/>
      <c r="K1022" s="8"/>
      <c r="L1022" s="10"/>
      <c r="M1022" s="62">
        <v>1</v>
      </c>
      <c r="N1022" s="8">
        <v>1</v>
      </c>
      <c r="O1022" s="62">
        <f t="shared" si="189"/>
        <v>0</v>
      </c>
      <c r="P1022" s="70" t="s">
        <v>2499</v>
      </c>
      <c r="Q1022" s="71">
        <v>46154</v>
      </c>
      <c r="R1022" s="6">
        <v>46154</v>
      </c>
      <c r="S1022" s="64">
        <v>0</v>
      </c>
      <c r="T1022" s="22">
        <v>5</v>
      </c>
      <c r="U1022" s="64">
        <f t="shared" si="190"/>
        <v>0</v>
      </c>
      <c r="V1022" s="22">
        <v>0</v>
      </c>
      <c r="W1022" s="22">
        <v>0</v>
      </c>
      <c r="X1022" s="62" t="s">
        <v>2466</v>
      </c>
      <c r="Y1022" s="62">
        <v>58165383430</v>
      </c>
      <c r="Z1022" s="62" t="s">
        <v>1112</v>
      </c>
      <c r="AA1022" s="65">
        <v>4</v>
      </c>
      <c r="AB1022" s="66" t="s">
        <v>2284</v>
      </c>
      <c r="AC1022" s="1" t="s">
        <v>903</v>
      </c>
      <c r="AD1022" s="62" t="str">
        <f>VLOOKUP(X1022,'Customer List'!B:C,2,)</f>
        <v>Hyderabad</v>
      </c>
      <c r="AE1022" s="67"/>
      <c r="AF1022" s="6">
        <v>46155</v>
      </c>
      <c r="AG1022" s="62">
        <f t="shared" si="191"/>
        <v>1</v>
      </c>
      <c r="AH1022" s="62" t="str">
        <f t="shared" si="192"/>
        <v>Saturday</v>
      </c>
      <c r="AI1022" s="62" t="str">
        <f t="shared" si="194"/>
        <v>Wednesday</v>
      </c>
      <c r="AJ1022" s="62" t="str">
        <f>VLOOKUP(AC1022,'Currency Sheet'!A:C,3,)</f>
        <v>DOLLAR</v>
      </c>
      <c r="AK1022" s="62" t="str">
        <f>VLOOKUP(X1022,'Customer List'!B:D,3,)</f>
        <v>OutStation</v>
      </c>
    </row>
    <row r="1023" spans="1:37" hidden="1" x14ac:dyDescent="0.25">
      <c r="A1023" s="62">
        <f t="shared" si="193"/>
        <v>1008</v>
      </c>
      <c r="B1023" s="62" t="s">
        <v>1607</v>
      </c>
      <c r="C1023" s="62" t="s">
        <v>2483</v>
      </c>
      <c r="D1023" s="6">
        <v>46148</v>
      </c>
      <c r="E1023" s="6">
        <v>46153</v>
      </c>
      <c r="F1023" s="63">
        <v>28350</v>
      </c>
      <c r="G1023" s="64">
        <f t="shared" si="187"/>
        <v>28350</v>
      </c>
      <c r="H1023" s="64">
        <f t="shared" si="188"/>
        <v>28350</v>
      </c>
      <c r="I1023" s="70" t="s">
        <v>1871</v>
      </c>
      <c r="J1023" s="62" t="s">
        <v>1930</v>
      </c>
      <c r="K1023" s="8">
        <v>261001017</v>
      </c>
      <c r="L1023" s="10">
        <v>46811</v>
      </c>
      <c r="M1023" s="62">
        <v>1</v>
      </c>
      <c r="N1023" s="8">
        <v>1</v>
      </c>
      <c r="O1023" s="62">
        <f t="shared" si="189"/>
        <v>0</v>
      </c>
      <c r="P1023" s="70">
        <v>339</v>
      </c>
      <c r="Q1023" s="71">
        <v>46163</v>
      </c>
      <c r="R1023" s="6">
        <v>46163</v>
      </c>
      <c r="S1023" s="64">
        <v>34240.720000000001</v>
      </c>
      <c r="T1023" s="22">
        <v>18</v>
      </c>
      <c r="U1023" s="64">
        <f t="shared" si="190"/>
        <v>6163.3296</v>
      </c>
      <c r="V1023" s="22">
        <v>0</v>
      </c>
      <c r="W1023" s="22">
        <v>40404</v>
      </c>
      <c r="X1023" s="62" t="s">
        <v>322</v>
      </c>
      <c r="Y1023" s="62" t="s">
        <v>1120</v>
      </c>
      <c r="Z1023" s="62" t="s">
        <v>1863</v>
      </c>
      <c r="AA1023" s="65" t="s">
        <v>808</v>
      </c>
      <c r="AB1023" s="66"/>
      <c r="AC1023" s="1" t="s">
        <v>1607</v>
      </c>
      <c r="AD1023" s="62" t="str">
        <f>VLOOKUP(X1023,'Customer List'!B:C,2,)</f>
        <v>DELHI</v>
      </c>
      <c r="AE1023" s="67"/>
      <c r="AF1023" s="6"/>
      <c r="AG1023" s="62" t="str">
        <f t="shared" si="191"/>
        <v/>
      </c>
      <c r="AH1023" s="62" t="str">
        <f t="shared" si="192"/>
        <v>Tuesday</v>
      </c>
      <c r="AI1023" s="62" t="str">
        <f t="shared" si="194"/>
        <v/>
      </c>
      <c r="AJ1023" s="62" t="str">
        <f>VLOOKUP(AC1023,'Currency Sheet'!A:C,3,)</f>
        <v>INR</v>
      </c>
      <c r="AK1023" s="62" t="str">
        <f>VLOOKUP(X1023,'Customer List'!B:D,3,)</f>
        <v>Local</v>
      </c>
    </row>
    <row r="1024" spans="1:37" hidden="1" x14ac:dyDescent="0.25">
      <c r="A1024" s="62">
        <f t="shared" si="193"/>
        <v>1009</v>
      </c>
      <c r="B1024" s="62" t="s">
        <v>2507</v>
      </c>
      <c r="C1024" s="62" t="s">
        <v>2508</v>
      </c>
      <c r="D1024" s="6">
        <v>46149</v>
      </c>
      <c r="E1024" s="6">
        <v>46153</v>
      </c>
      <c r="F1024" s="63">
        <v>24184.2</v>
      </c>
      <c r="G1024" s="64">
        <f t="shared" si="187"/>
        <v>24184.2</v>
      </c>
      <c r="H1024" s="64">
        <f t="shared" si="188"/>
        <v>24184.2</v>
      </c>
      <c r="I1024" s="70" t="s">
        <v>2509</v>
      </c>
      <c r="J1024" s="62"/>
      <c r="K1024" s="8"/>
      <c r="L1024" s="10"/>
      <c r="M1024" s="62">
        <v>1</v>
      </c>
      <c r="N1024" s="8">
        <v>1</v>
      </c>
      <c r="O1024" s="62">
        <f t="shared" si="189"/>
        <v>0</v>
      </c>
      <c r="P1024" s="70">
        <v>308</v>
      </c>
      <c r="Q1024" s="71">
        <v>46156</v>
      </c>
      <c r="R1024" s="6">
        <v>46156</v>
      </c>
      <c r="S1024" s="64">
        <v>23400.5</v>
      </c>
      <c r="T1024" s="22">
        <v>5</v>
      </c>
      <c r="U1024" s="64">
        <f t="shared" si="190"/>
        <v>1170.0250000000001</v>
      </c>
      <c r="V1024" s="22">
        <v>0.47</v>
      </c>
      <c r="W1024" s="22">
        <v>24571</v>
      </c>
      <c r="X1024" s="62" t="s">
        <v>1623</v>
      </c>
      <c r="Y1024" s="62" t="s">
        <v>1120</v>
      </c>
      <c r="Z1024" s="62" t="s">
        <v>1863</v>
      </c>
      <c r="AA1024" s="65">
        <v>4</v>
      </c>
      <c r="AB1024" s="66"/>
      <c r="AC1024" s="1" t="s">
        <v>2507</v>
      </c>
      <c r="AD1024" s="62" t="str">
        <f>VLOOKUP(X1024,'Customer List'!B:C,2,)</f>
        <v>Faridabad</v>
      </c>
      <c r="AE1024" s="67"/>
      <c r="AF1024" s="6"/>
      <c r="AG1024" s="62" t="str">
        <f t="shared" si="191"/>
        <v/>
      </c>
      <c r="AH1024" s="62" t="str">
        <f t="shared" si="192"/>
        <v>Friday</v>
      </c>
      <c r="AI1024" s="62" t="str">
        <f t="shared" si="194"/>
        <v/>
      </c>
      <c r="AJ1024" s="62" t="str">
        <f>VLOOKUP(AC1024,'Currency Sheet'!A:C,3,)</f>
        <v>INR</v>
      </c>
      <c r="AK1024" s="62" t="str">
        <f>VLOOKUP(X1024,'Customer List'!B:D,3,)</f>
        <v>Local</v>
      </c>
    </row>
    <row r="1025" spans="1:37" hidden="1" x14ac:dyDescent="0.25">
      <c r="A1025" s="62">
        <f>A1023+1</f>
        <v>1009</v>
      </c>
      <c r="B1025" s="62" t="s">
        <v>2486</v>
      </c>
      <c r="C1025" s="62">
        <v>90239883</v>
      </c>
      <c r="D1025" s="6">
        <v>46150</v>
      </c>
      <c r="E1025" s="6">
        <v>46153</v>
      </c>
      <c r="F1025" s="63">
        <v>302.06</v>
      </c>
      <c r="G1025" s="64">
        <f t="shared" si="187"/>
        <v>26581.279999999999</v>
      </c>
      <c r="H1025" s="64">
        <f t="shared" si="188"/>
        <v>26581.279999999999</v>
      </c>
      <c r="I1025" s="70" t="s">
        <v>2487</v>
      </c>
      <c r="J1025" s="62"/>
      <c r="K1025" s="8">
        <v>3</v>
      </c>
      <c r="L1025" s="10"/>
      <c r="M1025" s="62">
        <v>1</v>
      </c>
      <c r="N1025" s="8">
        <v>1</v>
      </c>
      <c r="O1025" s="62">
        <f t="shared" si="189"/>
        <v>0</v>
      </c>
      <c r="P1025" s="70">
        <v>359</v>
      </c>
      <c r="Q1025" s="71">
        <v>46164</v>
      </c>
      <c r="R1025" s="6">
        <v>46165</v>
      </c>
      <c r="S1025" s="64">
        <v>42288.4</v>
      </c>
      <c r="T1025" s="22">
        <v>5</v>
      </c>
      <c r="U1025" s="64">
        <f t="shared" si="190"/>
        <v>2114.42</v>
      </c>
      <c r="V1025" s="22">
        <v>1888</v>
      </c>
      <c r="W1025" s="22">
        <v>90694</v>
      </c>
      <c r="X1025" s="62" t="s">
        <v>1417</v>
      </c>
      <c r="Y1025" s="62">
        <v>58165907052</v>
      </c>
      <c r="Z1025" s="62" t="s">
        <v>2894</v>
      </c>
      <c r="AA1025" s="65">
        <v>4</v>
      </c>
      <c r="AB1025" s="66"/>
      <c r="AC1025" s="1" t="s">
        <v>2486</v>
      </c>
      <c r="AD1025" s="62" t="str">
        <f>VLOOKUP(X1025,'Customer List'!B:C,2,)</f>
        <v>Banglore</v>
      </c>
      <c r="AE1025" s="67" t="s">
        <v>1113</v>
      </c>
      <c r="AF1025" s="6">
        <v>46167</v>
      </c>
      <c r="AG1025" s="62">
        <f t="shared" si="191"/>
        <v>2</v>
      </c>
      <c r="AH1025" s="62" t="str">
        <f t="shared" si="192"/>
        <v>Sunday</v>
      </c>
      <c r="AI1025" s="62" t="str">
        <f t="shared" si="194"/>
        <v>Monday</v>
      </c>
      <c r="AJ1025" s="62" t="str">
        <f>VLOOKUP(AC1025,'Currency Sheet'!A:C,3,)</f>
        <v>DOLLAR</v>
      </c>
      <c r="AK1025" s="62" t="str">
        <f>VLOOKUP(X1025,'Customer List'!B:D,3,)</f>
        <v>OutStation</v>
      </c>
    </row>
    <row r="1026" spans="1:37" hidden="1" x14ac:dyDescent="0.25">
      <c r="A1026" s="62">
        <f t="shared" ref="A1026:A1089" si="195">A1025+1</f>
        <v>1010</v>
      </c>
      <c r="B1026" s="62" t="s">
        <v>2486</v>
      </c>
      <c r="C1026" s="62">
        <v>90239883</v>
      </c>
      <c r="D1026" s="6">
        <v>46150</v>
      </c>
      <c r="E1026" s="6">
        <v>46153</v>
      </c>
      <c r="F1026" s="63">
        <v>302.06</v>
      </c>
      <c r="G1026" s="64">
        <f t="shared" si="187"/>
        <v>26581.279999999999</v>
      </c>
      <c r="H1026" s="64">
        <f t="shared" si="188"/>
        <v>26581.279999999999</v>
      </c>
      <c r="I1026" s="70" t="s">
        <v>2488</v>
      </c>
      <c r="J1026" s="62"/>
      <c r="K1026" s="8">
        <v>1</v>
      </c>
      <c r="L1026" s="10"/>
      <c r="M1026" s="62">
        <v>1</v>
      </c>
      <c r="N1026" s="8">
        <v>1</v>
      </c>
      <c r="O1026" s="62">
        <f t="shared" si="189"/>
        <v>0</v>
      </c>
      <c r="P1026" s="70">
        <v>359</v>
      </c>
      <c r="Q1026" s="71">
        <v>46164</v>
      </c>
      <c r="R1026" s="6">
        <v>46165</v>
      </c>
      <c r="S1026" s="64">
        <v>42288.4</v>
      </c>
      <c r="T1026" s="22">
        <v>5</v>
      </c>
      <c r="U1026" s="64">
        <f t="shared" si="190"/>
        <v>2114.42</v>
      </c>
      <c r="V1026" s="22">
        <v>0.36</v>
      </c>
      <c r="W1026" s="22">
        <v>90694</v>
      </c>
      <c r="X1026" s="62" t="s">
        <v>1417</v>
      </c>
      <c r="Y1026" s="62">
        <v>58165907052</v>
      </c>
      <c r="Z1026" s="62" t="s">
        <v>2894</v>
      </c>
      <c r="AA1026" s="65">
        <v>4</v>
      </c>
      <c r="AB1026" s="66"/>
      <c r="AC1026" s="1" t="s">
        <v>2486</v>
      </c>
      <c r="AD1026" s="62" t="str">
        <f>VLOOKUP(X1026,'Customer List'!B:C,2,)</f>
        <v>Banglore</v>
      </c>
      <c r="AE1026" s="67" t="s">
        <v>1113</v>
      </c>
      <c r="AF1026" s="6">
        <v>46167</v>
      </c>
      <c r="AG1026" s="62">
        <f t="shared" si="191"/>
        <v>2</v>
      </c>
      <c r="AH1026" s="62" t="str">
        <f t="shared" si="192"/>
        <v>Sunday</v>
      </c>
      <c r="AI1026" s="62" t="str">
        <f t="shared" si="194"/>
        <v>Monday</v>
      </c>
      <c r="AJ1026" s="62" t="str">
        <f>VLOOKUP(AC1026,'Currency Sheet'!A:C,3,)</f>
        <v>DOLLAR</v>
      </c>
      <c r="AK1026" s="62" t="str">
        <f>VLOOKUP(X1026,'Customer List'!B:D,3,)</f>
        <v>OutStation</v>
      </c>
    </row>
    <row r="1027" spans="1:37" hidden="1" x14ac:dyDescent="0.25">
      <c r="A1027" s="62">
        <f t="shared" si="195"/>
        <v>1011</v>
      </c>
      <c r="B1027" s="62" t="s">
        <v>1943</v>
      </c>
      <c r="C1027" s="62">
        <v>926708</v>
      </c>
      <c r="D1027" s="6">
        <v>46150</v>
      </c>
      <c r="E1027" s="6">
        <v>46154</v>
      </c>
      <c r="F1027" s="63">
        <v>331.5</v>
      </c>
      <c r="G1027" s="64">
        <f t="shared" si="187"/>
        <v>29172</v>
      </c>
      <c r="H1027" s="64">
        <f t="shared" si="188"/>
        <v>29172</v>
      </c>
      <c r="I1027" s="70" t="s">
        <v>2503</v>
      </c>
      <c r="J1027" s="62"/>
      <c r="K1027" s="8" t="s">
        <v>2505</v>
      </c>
      <c r="L1027" s="10">
        <v>46507</v>
      </c>
      <c r="M1027" s="62">
        <v>1</v>
      </c>
      <c r="N1027" s="8">
        <v>1</v>
      </c>
      <c r="O1027" s="62">
        <f t="shared" si="189"/>
        <v>0</v>
      </c>
      <c r="P1027" s="70">
        <v>304</v>
      </c>
      <c r="Q1027" s="71">
        <v>46155</v>
      </c>
      <c r="R1027" s="6">
        <v>46155</v>
      </c>
      <c r="S1027" s="64">
        <v>36855</v>
      </c>
      <c r="T1027" s="22">
        <v>5</v>
      </c>
      <c r="U1027" s="64">
        <f t="shared" si="190"/>
        <v>1842.75</v>
      </c>
      <c r="V1027" s="22">
        <v>0</v>
      </c>
      <c r="W1027" s="22">
        <v>109644</v>
      </c>
      <c r="X1027" s="62" t="s">
        <v>2510</v>
      </c>
      <c r="Y1027" s="62">
        <v>58165455810</v>
      </c>
      <c r="Z1027" s="62" t="s">
        <v>1112</v>
      </c>
      <c r="AA1027" s="65">
        <v>4</v>
      </c>
      <c r="AB1027" s="66"/>
      <c r="AC1027" s="1" t="s">
        <v>1943</v>
      </c>
      <c r="AD1027" s="62" t="str">
        <f>VLOOKUP(X1027,'Customer List'!B:C,2,)</f>
        <v>Pune</v>
      </c>
      <c r="AE1027" s="67"/>
      <c r="AF1027" s="6">
        <v>46157</v>
      </c>
      <c r="AG1027" s="62">
        <f t="shared" si="191"/>
        <v>2</v>
      </c>
      <c r="AH1027" s="62" t="str">
        <f t="shared" si="192"/>
        <v>Saturday</v>
      </c>
      <c r="AI1027" s="62" t="str">
        <f t="shared" si="194"/>
        <v>Friday</v>
      </c>
      <c r="AJ1027" s="62" t="str">
        <f>VLOOKUP(AC1027,'Currency Sheet'!A:C,3,)</f>
        <v>DOLLAR</v>
      </c>
      <c r="AK1027" s="62" t="str">
        <f>VLOOKUP(X1027,'Customer List'!B:D,3,)</f>
        <v>OutStation</v>
      </c>
    </row>
    <row r="1028" spans="1:37" hidden="1" x14ac:dyDescent="0.25">
      <c r="A1028" s="62">
        <f t="shared" si="195"/>
        <v>1012</v>
      </c>
      <c r="B1028" s="62" t="s">
        <v>1943</v>
      </c>
      <c r="C1028" s="62">
        <v>926708</v>
      </c>
      <c r="D1028" s="6">
        <v>46150</v>
      </c>
      <c r="E1028" s="6">
        <v>46154</v>
      </c>
      <c r="F1028" s="63">
        <v>607.75</v>
      </c>
      <c r="G1028" s="64">
        <f t="shared" si="187"/>
        <v>53482</v>
      </c>
      <c r="H1028" s="64">
        <f t="shared" si="188"/>
        <v>53482</v>
      </c>
      <c r="I1028" s="70" t="s">
        <v>2504</v>
      </c>
      <c r="J1028" s="62"/>
      <c r="K1028" s="8" t="s">
        <v>2506</v>
      </c>
      <c r="L1028" s="10">
        <v>46507</v>
      </c>
      <c r="M1028" s="62">
        <v>1</v>
      </c>
      <c r="N1028" s="8">
        <v>1</v>
      </c>
      <c r="O1028" s="62">
        <f t="shared" si="189"/>
        <v>0</v>
      </c>
      <c r="P1028" s="70">
        <v>304</v>
      </c>
      <c r="Q1028" s="71">
        <v>46155</v>
      </c>
      <c r="R1028" s="6">
        <v>46155</v>
      </c>
      <c r="S1028" s="64">
        <v>67567.5</v>
      </c>
      <c r="T1028" s="22">
        <v>5</v>
      </c>
      <c r="U1028" s="64">
        <f t="shared" si="190"/>
        <v>3378.375</v>
      </c>
      <c r="V1028" s="22">
        <v>0.37</v>
      </c>
      <c r="W1028" s="22">
        <v>109644</v>
      </c>
      <c r="X1028" s="62" t="s">
        <v>2510</v>
      </c>
      <c r="Y1028" s="62">
        <v>58165455810</v>
      </c>
      <c r="Z1028" s="62" t="s">
        <v>1112</v>
      </c>
      <c r="AA1028" s="65">
        <v>4</v>
      </c>
      <c r="AB1028" s="66"/>
      <c r="AC1028" s="1" t="s">
        <v>1943</v>
      </c>
      <c r="AD1028" s="62" t="str">
        <f>VLOOKUP(X1028,'Customer List'!B:C,2,)</f>
        <v>Pune</v>
      </c>
      <c r="AE1028" s="67"/>
      <c r="AF1028" s="6">
        <v>46157</v>
      </c>
      <c r="AG1028" s="62">
        <f t="shared" si="191"/>
        <v>2</v>
      </c>
      <c r="AH1028" s="62" t="str">
        <f t="shared" si="192"/>
        <v>Tuesday</v>
      </c>
      <c r="AI1028" s="62" t="str">
        <f t="shared" si="194"/>
        <v>Friday</v>
      </c>
      <c r="AJ1028" s="62" t="str">
        <f>VLOOKUP(AC1028,'Currency Sheet'!A:C,3,)</f>
        <v>DOLLAR</v>
      </c>
      <c r="AK1028" s="62" t="str">
        <f>VLOOKUP(X1028,'Customer List'!B:D,3,)</f>
        <v>OutStation</v>
      </c>
    </row>
    <row r="1029" spans="1:37" hidden="1" x14ac:dyDescent="0.25">
      <c r="A1029" s="62">
        <f t="shared" si="195"/>
        <v>1013</v>
      </c>
      <c r="B1029" s="62" t="s">
        <v>1943</v>
      </c>
      <c r="C1029" s="62" t="s">
        <v>2511</v>
      </c>
      <c r="D1029" s="6">
        <v>46150</v>
      </c>
      <c r="E1029" s="6">
        <v>46155</v>
      </c>
      <c r="F1029" s="63">
        <v>535.5</v>
      </c>
      <c r="G1029" s="64">
        <f t="shared" si="187"/>
        <v>47124</v>
      </c>
      <c r="H1029" s="64">
        <f t="shared" si="188"/>
        <v>47124</v>
      </c>
      <c r="I1029" s="70" t="s">
        <v>2512</v>
      </c>
      <c r="J1029" s="62"/>
      <c r="K1029" s="8"/>
      <c r="L1029" s="10"/>
      <c r="M1029" s="62">
        <v>1</v>
      </c>
      <c r="N1029" s="8">
        <v>1</v>
      </c>
      <c r="O1029" s="62">
        <f t="shared" si="189"/>
        <v>0</v>
      </c>
      <c r="P1029" s="70">
        <v>311</v>
      </c>
      <c r="Q1029" s="71">
        <v>46157</v>
      </c>
      <c r="R1029" s="6">
        <v>46158</v>
      </c>
      <c r="S1029" s="64">
        <v>64800</v>
      </c>
      <c r="T1029" s="22">
        <v>5</v>
      </c>
      <c r="U1029" s="64">
        <f t="shared" si="190"/>
        <v>3240</v>
      </c>
      <c r="V1029" s="22">
        <v>1800</v>
      </c>
      <c r="W1029" s="22">
        <v>69930</v>
      </c>
      <c r="X1029" s="62" t="s">
        <v>2514</v>
      </c>
      <c r="Y1029" s="62">
        <v>58165587244</v>
      </c>
      <c r="Z1029" s="62" t="s">
        <v>1112</v>
      </c>
      <c r="AA1029" s="65">
        <v>-20</v>
      </c>
      <c r="AB1029" s="66"/>
      <c r="AC1029" s="1" t="s">
        <v>1943</v>
      </c>
      <c r="AD1029" s="62" t="str">
        <f>VLOOKUP(X1029,'Customer List'!B:C,2,)</f>
        <v>GUWAHATI</v>
      </c>
      <c r="AE1029" s="67"/>
      <c r="AF1029" s="6">
        <v>46160</v>
      </c>
      <c r="AG1029" s="62">
        <f t="shared" si="191"/>
        <v>2</v>
      </c>
      <c r="AH1029" s="62" t="str">
        <f t="shared" si="192"/>
        <v>Sunday</v>
      </c>
      <c r="AI1029" s="62" t="str">
        <f t="shared" si="194"/>
        <v>Monday</v>
      </c>
      <c r="AJ1029" s="62" t="str">
        <f>VLOOKUP(AC1029,'Currency Sheet'!A:C,3,)</f>
        <v>DOLLAR</v>
      </c>
      <c r="AK1029" s="62" t="str">
        <f>VLOOKUP(X1029,'Customer List'!B:D,3,)</f>
        <v>OutStation</v>
      </c>
    </row>
    <row r="1030" spans="1:37" hidden="1" x14ac:dyDescent="0.25">
      <c r="A1030" s="62">
        <f t="shared" si="195"/>
        <v>1014</v>
      </c>
      <c r="B1030" s="62" t="s">
        <v>1943</v>
      </c>
      <c r="C1030" s="62">
        <v>926992</v>
      </c>
      <c r="D1030" s="6">
        <v>46150</v>
      </c>
      <c r="E1030" s="6">
        <v>46155</v>
      </c>
      <c r="F1030" s="63">
        <v>459</v>
      </c>
      <c r="G1030" s="64">
        <f t="shared" si="187"/>
        <v>40392</v>
      </c>
      <c r="H1030" s="64">
        <f t="shared" si="188"/>
        <v>40392</v>
      </c>
      <c r="I1030" s="70" t="s">
        <v>2513</v>
      </c>
      <c r="J1030" s="62"/>
      <c r="K1030" s="8"/>
      <c r="L1030" s="10"/>
      <c r="M1030" s="62">
        <v>1</v>
      </c>
      <c r="N1030" s="8">
        <v>1</v>
      </c>
      <c r="O1030" s="62">
        <f t="shared" si="189"/>
        <v>0</v>
      </c>
      <c r="P1030" s="70" t="s">
        <v>2528</v>
      </c>
      <c r="Q1030" s="71">
        <v>46157</v>
      </c>
      <c r="R1030" s="6">
        <v>46157</v>
      </c>
      <c r="S1030" s="64">
        <v>51030</v>
      </c>
      <c r="T1030" s="22">
        <v>5</v>
      </c>
      <c r="U1030" s="64">
        <f t="shared" si="190"/>
        <v>2551.5</v>
      </c>
      <c r="V1030" s="22">
        <v>-0.5</v>
      </c>
      <c r="W1030" s="22">
        <v>53581</v>
      </c>
      <c r="X1030" s="62" t="s">
        <v>1589</v>
      </c>
      <c r="Y1030" s="62" t="s">
        <v>1120</v>
      </c>
      <c r="Z1030" s="62" t="s">
        <v>1863</v>
      </c>
      <c r="AA1030" s="65">
        <v>-20</v>
      </c>
      <c r="AB1030" s="66"/>
      <c r="AC1030" s="1" t="s">
        <v>1943</v>
      </c>
      <c r="AD1030" s="62" t="str">
        <f>VLOOKUP(X1030,'Customer List'!B:C,2,)</f>
        <v>Delhi</v>
      </c>
      <c r="AE1030" s="67"/>
      <c r="AF1030" s="6"/>
      <c r="AG1030" s="62" t="str">
        <f t="shared" si="191"/>
        <v/>
      </c>
      <c r="AH1030" s="62" t="str">
        <f t="shared" si="192"/>
        <v>Saturday</v>
      </c>
      <c r="AI1030" s="62" t="str">
        <f t="shared" si="194"/>
        <v/>
      </c>
      <c r="AJ1030" s="62" t="str">
        <f>VLOOKUP(AC1030,'Currency Sheet'!A:C,3,)</f>
        <v>DOLLAR</v>
      </c>
      <c r="AK1030" s="62" t="str">
        <f>VLOOKUP(X1030,'Customer List'!B:D,3,)</f>
        <v>Local</v>
      </c>
    </row>
    <row r="1031" spans="1:37" x14ac:dyDescent="0.25">
      <c r="A1031" s="62">
        <f t="shared" si="195"/>
        <v>1015</v>
      </c>
      <c r="B1031" s="62" t="s">
        <v>2516</v>
      </c>
      <c r="C1031" s="62" t="s">
        <v>2517</v>
      </c>
      <c r="D1031" s="6">
        <v>46149</v>
      </c>
      <c r="E1031" s="6">
        <v>46155</v>
      </c>
      <c r="F1031" s="63">
        <v>621.08000000000004</v>
      </c>
      <c r="G1031" s="64">
        <f t="shared" si="187"/>
        <v>54655.040000000001</v>
      </c>
      <c r="H1031" s="64">
        <f t="shared" si="188"/>
        <v>54655.040000000001</v>
      </c>
      <c r="I1031" s="70" t="s">
        <v>2518</v>
      </c>
      <c r="J1031" s="62"/>
      <c r="K1031" s="8"/>
      <c r="L1031" s="10"/>
      <c r="M1031" s="62">
        <v>1</v>
      </c>
      <c r="N1031" s="8">
        <v>1</v>
      </c>
      <c r="O1031" s="62">
        <f t="shared" si="189"/>
        <v>0</v>
      </c>
      <c r="P1031" s="70">
        <v>330</v>
      </c>
      <c r="Q1031" s="71">
        <v>46161</v>
      </c>
      <c r="R1031" s="6">
        <v>46161</v>
      </c>
      <c r="S1031" s="64">
        <v>105582.72</v>
      </c>
      <c r="T1031" s="22">
        <v>5</v>
      </c>
      <c r="U1031" s="64">
        <f t="shared" si="190"/>
        <v>5279.1360000000004</v>
      </c>
      <c r="V1031" s="22">
        <v>-0.28999999999999998</v>
      </c>
      <c r="W1031" s="22">
        <v>152702</v>
      </c>
      <c r="X1031" s="62" t="s">
        <v>1600</v>
      </c>
      <c r="Y1031" s="62">
        <v>58165687462</v>
      </c>
      <c r="Z1031" s="62" t="s">
        <v>1112</v>
      </c>
      <c r="AA1031" s="65" t="s">
        <v>2519</v>
      </c>
      <c r="AB1031" s="66"/>
      <c r="AC1031" s="1" t="s">
        <v>537</v>
      </c>
      <c r="AD1031" s="62" t="str">
        <f>VLOOKUP(X1031,'Customer List'!B:C,2,)</f>
        <v>Hyderabad</v>
      </c>
      <c r="AE1031" s="67" t="s">
        <v>2522</v>
      </c>
      <c r="AF1031" s="6"/>
      <c r="AG1031" s="62" t="str">
        <f t="shared" si="191"/>
        <v/>
      </c>
      <c r="AH1031" s="62" t="str">
        <f t="shared" si="192"/>
        <v>Sunday</v>
      </c>
      <c r="AI1031" s="62" t="str">
        <f t="shared" si="194"/>
        <v/>
      </c>
      <c r="AJ1031" s="62" t="str">
        <f>VLOOKUP(AC1031,'Currency Sheet'!A:C,3,)</f>
        <v>DOLLAR</v>
      </c>
      <c r="AK1031" s="62" t="str">
        <f>VLOOKUP(X1031,'Customer List'!B:D,3,)</f>
        <v>OutStation</v>
      </c>
    </row>
    <row r="1032" spans="1:37" x14ac:dyDescent="0.25">
      <c r="A1032" s="62">
        <f t="shared" si="195"/>
        <v>1016</v>
      </c>
      <c r="B1032" s="62" t="s">
        <v>2516</v>
      </c>
      <c r="C1032" s="62" t="s">
        <v>2520</v>
      </c>
      <c r="D1032" s="6">
        <v>46149</v>
      </c>
      <c r="E1032" s="6">
        <v>46155</v>
      </c>
      <c r="F1032" s="63">
        <v>219.75</v>
      </c>
      <c r="G1032" s="64">
        <f t="shared" si="187"/>
        <v>19338</v>
      </c>
      <c r="H1032" s="64">
        <f t="shared" si="188"/>
        <v>19338</v>
      </c>
      <c r="I1032" s="70" t="s">
        <v>2521</v>
      </c>
      <c r="J1032" s="62"/>
      <c r="K1032" s="8"/>
      <c r="L1032" s="10"/>
      <c r="M1032" s="62">
        <v>1</v>
      </c>
      <c r="N1032" s="8">
        <v>1</v>
      </c>
      <c r="O1032" s="62">
        <f t="shared" si="189"/>
        <v>0</v>
      </c>
      <c r="P1032" s="70">
        <v>330</v>
      </c>
      <c r="Q1032" s="71">
        <v>46161</v>
      </c>
      <c r="R1032" s="6">
        <v>46161</v>
      </c>
      <c r="S1032" s="64">
        <v>39848</v>
      </c>
      <c r="T1032" s="22">
        <v>5</v>
      </c>
      <c r="U1032" s="64">
        <f t="shared" si="190"/>
        <v>1992.4</v>
      </c>
      <c r="V1032" s="22">
        <v>0</v>
      </c>
      <c r="W1032" s="22">
        <v>152702</v>
      </c>
      <c r="X1032" s="62" t="s">
        <v>1600</v>
      </c>
      <c r="Y1032" s="62">
        <v>58165687462</v>
      </c>
      <c r="Z1032" s="62" t="s">
        <v>1112</v>
      </c>
      <c r="AA1032" s="65">
        <v>-20</v>
      </c>
      <c r="AB1032" s="66"/>
      <c r="AC1032" s="1" t="s">
        <v>537</v>
      </c>
      <c r="AD1032" s="62" t="str">
        <f>VLOOKUP(X1032,'Customer List'!B:C,2,)</f>
        <v>Hyderabad</v>
      </c>
      <c r="AE1032" s="67" t="s">
        <v>2522</v>
      </c>
      <c r="AF1032" s="6"/>
      <c r="AG1032" s="62" t="str">
        <f t="shared" si="191"/>
        <v/>
      </c>
      <c r="AH1032" s="62" t="str">
        <f t="shared" si="192"/>
        <v>Wednesday</v>
      </c>
      <c r="AI1032" s="62" t="str">
        <f t="shared" si="194"/>
        <v/>
      </c>
      <c r="AJ1032" s="62" t="str">
        <f>VLOOKUP(AC1032,'Currency Sheet'!A:C,3,)</f>
        <v>DOLLAR</v>
      </c>
      <c r="AK1032" s="62" t="str">
        <f>VLOOKUP(X1032,'Customer List'!B:D,3,)</f>
        <v>OutStation</v>
      </c>
    </row>
    <row r="1033" spans="1:37" x14ac:dyDescent="0.25">
      <c r="A1033" s="62">
        <f t="shared" si="195"/>
        <v>1017</v>
      </c>
      <c r="B1033" s="62" t="s">
        <v>2516</v>
      </c>
      <c r="C1033" s="62" t="s">
        <v>2520</v>
      </c>
      <c r="D1033" s="6">
        <v>46149</v>
      </c>
      <c r="E1033" s="6">
        <v>46155</v>
      </c>
      <c r="F1033" s="63">
        <v>621.08000000000004</v>
      </c>
      <c r="G1033" s="64">
        <f t="shared" si="187"/>
        <v>54655.040000000001</v>
      </c>
      <c r="H1033" s="64">
        <f t="shared" si="188"/>
        <v>54655.040000000001</v>
      </c>
      <c r="I1033" s="70" t="s">
        <v>2518</v>
      </c>
      <c r="J1033" s="62"/>
      <c r="K1033" s="8"/>
      <c r="L1033" s="10"/>
      <c r="M1033" s="62">
        <v>1</v>
      </c>
      <c r="N1033" s="8">
        <v>1</v>
      </c>
      <c r="O1033" s="62">
        <f t="shared" si="189"/>
        <v>0</v>
      </c>
      <c r="P1033" s="70">
        <v>333</v>
      </c>
      <c r="Q1033" s="71">
        <v>46161</v>
      </c>
      <c r="R1033" s="6">
        <v>46161</v>
      </c>
      <c r="S1033" s="64">
        <v>112621.6</v>
      </c>
      <c r="T1033" s="22">
        <v>5</v>
      </c>
      <c r="U1033" s="64">
        <f t="shared" si="190"/>
        <v>5631.0800000000008</v>
      </c>
      <c r="V1033" s="22">
        <v>0.32</v>
      </c>
      <c r="W1033" s="22">
        <v>118253</v>
      </c>
      <c r="X1033" s="62" t="s">
        <v>1600</v>
      </c>
      <c r="Y1033" s="62">
        <v>58165687462</v>
      </c>
      <c r="Z1033" s="62" t="s">
        <v>1112</v>
      </c>
      <c r="AA1033" s="65" t="s">
        <v>2519</v>
      </c>
      <c r="AB1033" s="66"/>
      <c r="AC1033" s="1" t="s">
        <v>537</v>
      </c>
      <c r="AD1033" s="62" t="str">
        <f>VLOOKUP(X1033,'Customer List'!B:C,2,)</f>
        <v>Hyderabad</v>
      </c>
      <c r="AE1033" s="67" t="s">
        <v>2522</v>
      </c>
      <c r="AF1033" s="6"/>
      <c r="AG1033" s="62" t="str">
        <f t="shared" si="191"/>
        <v/>
      </c>
      <c r="AH1033" s="62" t="str">
        <f t="shared" si="192"/>
        <v>Thursday</v>
      </c>
      <c r="AI1033" s="62" t="str">
        <f t="shared" si="194"/>
        <v/>
      </c>
      <c r="AJ1033" s="62" t="str">
        <f>VLOOKUP(AC1033,'Currency Sheet'!A:C,3,)</f>
        <v>DOLLAR</v>
      </c>
      <c r="AK1033" s="62" t="str">
        <f>VLOOKUP(X1033,'Customer List'!B:D,3,)</f>
        <v>OutStation</v>
      </c>
    </row>
    <row r="1034" spans="1:37" hidden="1" x14ac:dyDescent="0.25">
      <c r="A1034" s="62">
        <f t="shared" si="195"/>
        <v>1018</v>
      </c>
      <c r="B1034" s="62" t="s">
        <v>1435</v>
      </c>
      <c r="C1034" s="62">
        <v>189890</v>
      </c>
      <c r="D1034" s="6">
        <v>46150</v>
      </c>
      <c r="E1034" s="6">
        <v>46157</v>
      </c>
      <c r="F1034" s="63">
        <v>2790.9</v>
      </c>
      <c r="G1034" s="64">
        <f t="shared" ref="G1034:G1053" si="196">IF(AJ1034="DOLLAR",F1034*88,F1034)</f>
        <v>245599.2</v>
      </c>
      <c r="H1034" s="64">
        <f t="shared" ref="H1034:H1053" si="197">G1034*M1034</f>
        <v>245599.2</v>
      </c>
      <c r="I1034" s="70" t="s">
        <v>2523</v>
      </c>
      <c r="J1034" s="62" t="s">
        <v>2524</v>
      </c>
      <c r="K1034" s="8" t="s">
        <v>2525</v>
      </c>
      <c r="L1034" s="10" t="s">
        <v>848</v>
      </c>
      <c r="M1034" s="62">
        <v>1</v>
      </c>
      <c r="N1034" s="8">
        <v>1</v>
      </c>
      <c r="O1034" s="62">
        <f t="shared" ref="O1034:O1060" si="198">M1034-N1034</f>
        <v>0</v>
      </c>
      <c r="P1034" s="70">
        <v>312</v>
      </c>
      <c r="Q1034" s="71">
        <v>46157</v>
      </c>
      <c r="R1034" s="6">
        <v>46158</v>
      </c>
      <c r="S1034" s="64">
        <v>348234.55</v>
      </c>
      <c r="T1034" s="22">
        <v>5</v>
      </c>
      <c r="U1034" s="64">
        <f t="shared" ref="U1034:U1053" si="199">S1034*T1034%</f>
        <v>17411.727500000001</v>
      </c>
      <c r="V1034" s="22">
        <v>-0.28000000000000003</v>
      </c>
      <c r="W1034" s="22">
        <v>365646</v>
      </c>
      <c r="X1034" s="62" t="s">
        <v>2526</v>
      </c>
      <c r="Y1034" s="62">
        <v>58165586684</v>
      </c>
      <c r="Z1034" s="62" t="s">
        <v>1112</v>
      </c>
      <c r="AA1034" s="65">
        <v>4</v>
      </c>
      <c r="AB1034" s="66"/>
      <c r="AC1034" s="1" t="s">
        <v>1435</v>
      </c>
      <c r="AD1034" s="62" t="str">
        <f>VLOOKUP(X1034,'Customer List'!B:C,2,)</f>
        <v>Hyderabad</v>
      </c>
      <c r="AE1034" s="67"/>
      <c r="AF1034" s="6">
        <v>46160</v>
      </c>
      <c r="AG1034" s="62">
        <f t="shared" ref="AG1034:AG1052" si="200">IF(AF1034="", "", AF1034-R1034)</f>
        <v>2</v>
      </c>
      <c r="AH1034" s="62" t="str">
        <f t="shared" ref="AH1034:AH1052" si="201">IF(S1034="", "", TEXT(S1034, "dddd"))</f>
        <v>Thursday</v>
      </c>
      <c r="AI1034" s="62" t="str">
        <f t="shared" si="194"/>
        <v>Monday</v>
      </c>
      <c r="AJ1034" s="62" t="str">
        <f>VLOOKUP(AC1034,'Currency Sheet'!A:C,3,)</f>
        <v>DOLLAR</v>
      </c>
      <c r="AK1034" s="62" t="str">
        <f>VLOOKUP(X1034,'Customer List'!B:D,3,)</f>
        <v>OutStation</v>
      </c>
    </row>
    <row r="1035" spans="1:37" x14ac:dyDescent="0.25">
      <c r="A1035" s="62">
        <f t="shared" si="195"/>
        <v>1019</v>
      </c>
      <c r="B1035" s="62" t="s">
        <v>1369</v>
      </c>
      <c r="C1035" s="62" t="s">
        <v>2533</v>
      </c>
      <c r="D1035" s="6">
        <v>46156</v>
      </c>
      <c r="E1035" s="6">
        <v>46158</v>
      </c>
      <c r="F1035" s="63">
        <v>1687.5</v>
      </c>
      <c r="G1035" s="64">
        <f t="shared" si="196"/>
        <v>1687.5</v>
      </c>
      <c r="H1035" s="64">
        <f t="shared" si="197"/>
        <v>1687.5</v>
      </c>
      <c r="I1035" s="70">
        <v>112200205</v>
      </c>
      <c r="J1035" s="62"/>
      <c r="K1035" s="8"/>
      <c r="L1035" s="10"/>
      <c r="M1035" s="62">
        <v>1</v>
      </c>
      <c r="N1035" s="8">
        <v>1</v>
      </c>
      <c r="O1035" s="62">
        <f t="shared" si="198"/>
        <v>0</v>
      </c>
      <c r="P1035" s="70">
        <v>328</v>
      </c>
      <c r="Q1035" s="71">
        <v>46161</v>
      </c>
      <c r="R1035" s="6">
        <v>46161</v>
      </c>
      <c r="S1035" s="64">
        <v>1845</v>
      </c>
      <c r="T1035" s="22">
        <v>5</v>
      </c>
      <c r="U1035" s="64">
        <f t="shared" si="199"/>
        <v>92.25</v>
      </c>
      <c r="V1035" s="22">
        <v>0.06</v>
      </c>
      <c r="W1035" s="22">
        <v>14669</v>
      </c>
      <c r="X1035" s="62" t="s">
        <v>793</v>
      </c>
      <c r="Y1035" s="62"/>
      <c r="Z1035" s="62"/>
      <c r="AA1035" s="65">
        <v>4</v>
      </c>
      <c r="AB1035" s="66" t="s">
        <v>2544</v>
      </c>
      <c r="AC1035" s="1" t="s">
        <v>1369</v>
      </c>
      <c r="AD1035" s="62" t="str">
        <f>VLOOKUP(X1035,'Customer List'!B:C,2,)</f>
        <v>Delhi</v>
      </c>
      <c r="AE1035" s="67"/>
      <c r="AF1035" s="6"/>
      <c r="AG1035" s="62" t="str">
        <f t="shared" si="200"/>
        <v/>
      </c>
      <c r="AH1035" s="62" t="str">
        <f t="shared" si="201"/>
        <v>Wednesday</v>
      </c>
      <c r="AI1035" s="62" t="str">
        <f t="shared" si="194"/>
        <v/>
      </c>
      <c r="AJ1035" s="62" t="str">
        <f>VLOOKUP(AC1035,'Currency Sheet'!A:C,3,)</f>
        <v>INR</v>
      </c>
      <c r="AK1035" s="62" t="str">
        <f>VLOOKUP(X1035,'Customer List'!B:D,3,)</f>
        <v>Local</v>
      </c>
    </row>
    <row r="1036" spans="1:37" x14ac:dyDescent="0.25">
      <c r="A1036" s="62">
        <f t="shared" si="195"/>
        <v>1020</v>
      </c>
      <c r="B1036" s="62" t="s">
        <v>1369</v>
      </c>
      <c r="C1036" s="62" t="s">
        <v>2533</v>
      </c>
      <c r="D1036" s="6">
        <v>46156</v>
      </c>
      <c r="E1036" s="6">
        <v>46158</v>
      </c>
      <c r="F1036" s="63">
        <v>9868.5</v>
      </c>
      <c r="G1036" s="64">
        <f t="shared" si="196"/>
        <v>9868.5</v>
      </c>
      <c r="H1036" s="64">
        <f t="shared" si="197"/>
        <v>9868.5</v>
      </c>
      <c r="I1036" s="70">
        <v>114511012</v>
      </c>
      <c r="J1036" s="62"/>
      <c r="K1036" s="8" t="s">
        <v>2566</v>
      </c>
      <c r="L1036" s="10">
        <v>47026</v>
      </c>
      <c r="M1036" s="62">
        <v>1</v>
      </c>
      <c r="N1036" s="8">
        <v>1</v>
      </c>
      <c r="O1036" s="62">
        <f t="shared" si="198"/>
        <v>0</v>
      </c>
      <c r="P1036" s="70">
        <v>328</v>
      </c>
      <c r="Q1036" s="71">
        <v>46161</v>
      </c>
      <c r="R1036" s="6">
        <v>46161</v>
      </c>
      <c r="S1036" s="64">
        <v>10789.56</v>
      </c>
      <c r="T1036" s="22">
        <v>18</v>
      </c>
      <c r="U1036" s="64">
        <f t="shared" si="199"/>
        <v>1942.1207999999999</v>
      </c>
      <c r="V1036" s="22">
        <v>0</v>
      </c>
      <c r="W1036" s="22">
        <v>14669</v>
      </c>
      <c r="X1036" s="62" t="s">
        <v>793</v>
      </c>
      <c r="Y1036" s="62"/>
      <c r="Z1036" s="62"/>
      <c r="AA1036" s="65" t="s">
        <v>808</v>
      </c>
      <c r="AB1036" s="66" t="s">
        <v>2544</v>
      </c>
      <c r="AC1036" s="1" t="s">
        <v>1369</v>
      </c>
      <c r="AD1036" s="62" t="str">
        <f>VLOOKUP(X1036,'Customer List'!B:C,2,)</f>
        <v>Delhi</v>
      </c>
      <c r="AE1036" s="67"/>
      <c r="AF1036" s="6"/>
      <c r="AG1036" s="62" t="str">
        <f t="shared" si="200"/>
        <v/>
      </c>
      <c r="AH1036" s="62" t="str">
        <f t="shared" si="201"/>
        <v>Monday</v>
      </c>
      <c r="AI1036" s="62" t="str">
        <f t="shared" si="194"/>
        <v/>
      </c>
      <c r="AJ1036" s="62" t="str">
        <f>VLOOKUP(AC1036,'Currency Sheet'!A:C,3,)</f>
        <v>INR</v>
      </c>
      <c r="AK1036" s="62" t="str">
        <f>VLOOKUP(X1036,'Customer List'!B:D,3,)</f>
        <v>Local</v>
      </c>
    </row>
    <row r="1037" spans="1:37" hidden="1" x14ac:dyDescent="0.25">
      <c r="A1037" s="62">
        <f t="shared" si="195"/>
        <v>1021</v>
      </c>
      <c r="B1037" s="62" t="s">
        <v>824</v>
      </c>
      <c r="C1037" s="62" t="s">
        <v>2542</v>
      </c>
      <c r="D1037" s="6">
        <v>46154</v>
      </c>
      <c r="E1037" s="6">
        <v>46158</v>
      </c>
      <c r="F1037" s="63">
        <v>90.3</v>
      </c>
      <c r="G1037" s="64">
        <f t="shared" si="196"/>
        <v>7946.4</v>
      </c>
      <c r="H1037" s="64">
        <f t="shared" si="197"/>
        <v>7946.4</v>
      </c>
      <c r="I1037" s="70">
        <v>405210</v>
      </c>
      <c r="J1037" s="62" t="s">
        <v>2534</v>
      </c>
      <c r="K1037" s="8" t="s">
        <v>2549</v>
      </c>
      <c r="L1037" s="10">
        <v>46463</v>
      </c>
      <c r="M1037" s="62">
        <v>1</v>
      </c>
      <c r="N1037" s="8"/>
      <c r="O1037" s="62">
        <f t="shared" si="198"/>
        <v>1</v>
      </c>
      <c r="P1037" s="70"/>
      <c r="Q1037" s="71"/>
      <c r="R1037" s="6"/>
      <c r="S1037" s="64">
        <v>15996</v>
      </c>
      <c r="T1037" s="22">
        <v>5</v>
      </c>
      <c r="U1037" s="64">
        <f t="shared" si="199"/>
        <v>799.80000000000007</v>
      </c>
      <c r="V1037" s="22">
        <v>0.2</v>
      </c>
      <c r="W1037" s="22">
        <v>16796</v>
      </c>
      <c r="X1037" s="62" t="s">
        <v>792</v>
      </c>
      <c r="Y1037" s="62"/>
      <c r="Z1037" s="62"/>
      <c r="AA1037" s="65">
        <v>4</v>
      </c>
      <c r="AB1037" s="66" t="s">
        <v>2543</v>
      </c>
      <c r="AC1037" s="1" t="s">
        <v>1842</v>
      </c>
      <c r="AD1037" s="62" t="str">
        <f>VLOOKUP(X1037,'Customer List'!B:C,2,)</f>
        <v>Delhi</v>
      </c>
      <c r="AE1037" s="67"/>
      <c r="AF1037" s="6"/>
      <c r="AG1037" s="62" t="str">
        <f t="shared" si="200"/>
        <v/>
      </c>
      <c r="AH1037" s="62" t="str">
        <f t="shared" si="201"/>
        <v>Sunday</v>
      </c>
      <c r="AI1037" s="62" t="str">
        <f t="shared" si="194"/>
        <v/>
      </c>
      <c r="AJ1037" s="62" t="str">
        <f>VLOOKUP(AC1037,'Currency Sheet'!A:C,3,)</f>
        <v>DOLLAR</v>
      </c>
      <c r="AK1037" s="62" t="str">
        <f>VLOOKUP(X1037,'Customer List'!B:D,3,)</f>
        <v>Local</v>
      </c>
    </row>
    <row r="1038" spans="1:37" hidden="1" x14ac:dyDescent="0.25">
      <c r="A1038" s="62">
        <f t="shared" si="195"/>
        <v>1022</v>
      </c>
      <c r="B1038" s="62" t="s">
        <v>824</v>
      </c>
      <c r="C1038" s="62" t="s">
        <v>2542</v>
      </c>
      <c r="D1038" s="6">
        <v>46154</v>
      </c>
      <c r="E1038" s="6">
        <v>46158</v>
      </c>
      <c r="F1038" s="63">
        <v>62.3</v>
      </c>
      <c r="G1038" s="64">
        <f t="shared" si="196"/>
        <v>5482.4</v>
      </c>
      <c r="H1038" s="64">
        <f t="shared" si="197"/>
        <v>10964.8</v>
      </c>
      <c r="I1038" s="70">
        <v>128005</v>
      </c>
      <c r="J1038" s="62" t="s">
        <v>748</v>
      </c>
      <c r="K1038" s="8" t="s">
        <v>2550</v>
      </c>
      <c r="L1038" s="10">
        <v>48389</v>
      </c>
      <c r="M1038" s="62">
        <v>2</v>
      </c>
      <c r="N1038" s="8">
        <v>2</v>
      </c>
      <c r="O1038" s="62">
        <f t="shared" si="198"/>
        <v>0</v>
      </c>
      <c r="P1038" s="70">
        <v>340</v>
      </c>
      <c r="Q1038" s="71">
        <v>46164</v>
      </c>
      <c r="R1038" s="6">
        <v>46164</v>
      </c>
      <c r="S1038" s="64">
        <v>17755.5</v>
      </c>
      <c r="T1038" s="22">
        <v>5</v>
      </c>
      <c r="U1038" s="64">
        <f t="shared" si="199"/>
        <v>887.77500000000009</v>
      </c>
      <c r="V1038" s="22">
        <v>-0.28000000000000003</v>
      </c>
      <c r="W1038" s="22">
        <v>18643</v>
      </c>
      <c r="X1038" s="62" t="s">
        <v>803</v>
      </c>
      <c r="Y1038" s="62" t="s">
        <v>1120</v>
      </c>
      <c r="Z1038" s="62" t="s">
        <v>1863</v>
      </c>
      <c r="AA1038" s="65">
        <v>4</v>
      </c>
      <c r="AB1038" s="66" t="s">
        <v>2543</v>
      </c>
      <c r="AC1038" s="1" t="s">
        <v>1842</v>
      </c>
      <c r="AD1038" s="62" t="str">
        <f>VLOOKUP(X1038,'Customer List'!B:C,2,)</f>
        <v>Faridabad</v>
      </c>
      <c r="AE1038" s="67"/>
      <c r="AF1038" s="6"/>
      <c r="AG1038" s="62" t="str">
        <f t="shared" si="200"/>
        <v/>
      </c>
      <c r="AH1038" s="62" t="str">
        <f t="shared" si="201"/>
        <v>Tuesday</v>
      </c>
      <c r="AI1038" s="62" t="str">
        <f t="shared" si="194"/>
        <v/>
      </c>
      <c r="AJ1038" s="62" t="str">
        <f>VLOOKUP(AC1038,'Currency Sheet'!A:C,3,)</f>
        <v>DOLLAR</v>
      </c>
      <c r="AK1038" s="62" t="str">
        <f>VLOOKUP(X1038,'Customer List'!B:D,3,)</f>
        <v>Local</v>
      </c>
    </row>
    <row r="1039" spans="1:37" hidden="1" x14ac:dyDescent="0.25">
      <c r="A1039" s="62">
        <f t="shared" si="195"/>
        <v>1023</v>
      </c>
      <c r="B1039" s="62" t="s">
        <v>824</v>
      </c>
      <c r="C1039" s="62" t="s">
        <v>2542</v>
      </c>
      <c r="D1039" s="6">
        <v>46154</v>
      </c>
      <c r="E1039" s="6">
        <v>46158</v>
      </c>
      <c r="F1039" s="63">
        <v>74.2</v>
      </c>
      <c r="G1039" s="64">
        <f t="shared" si="196"/>
        <v>6529.6</v>
      </c>
      <c r="H1039" s="64">
        <f t="shared" si="197"/>
        <v>6529.6</v>
      </c>
      <c r="I1039" s="70">
        <v>645701</v>
      </c>
      <c r="J1039" s="62" t="s">
        <v>2535</v>
      </c>
      <c r="K1039" s="8" t="s">
        <v>2551</v>
      </c>
      <c r="L1039" s="10">
        <v>46965</v>
      </c>
      <c r="M1039" s="62">
        <v>1</v>
      </c>
      <c r="N1039" s="8">
        <v>1</v>
      </c>
      <c r="O1039" s="62">
        <f t="shared" si="198"/>
        <v>0</v>
      </c>
      <c r="P1039" s="70">
        <v>317</v>
      </c>
      <c r="Q1039" s="71">
        <v>46158</v>
      </c>
      <c r="R1039" s="6">
        <v>46158</v>
      </c>
      <c r="S1039" s="64">
        <v>11829.6</v>
      </c>
      <c r="T1039" s="22">
        <v>5</v>
      </c>
      <c r="U1039" s="64">
        <f t="shared" si="199"/>
        <v>591.48</v>
      </c>
      <c r="V1039" s="22">
        <v>-0.08</v>
      </c>
      <c r="W1039" s="22">
        <v>12421</v>
      </c>
      <c r="X1039" s="62" t="s">
        <v>1368</v>
      </c>
      <c r="Y1039" s="62">
        <v>58165588515</v>
      </c>
      <c r="Z1039" s="62" t="s">
        <v>1112</v>
      </c>
      <c r="AA1039" s="65">
        <v>4</v>
      </c>
      <c r="AB1039" s="66" t="s">
        <v>2543</v>
      </c>
      <c r="AC1039" s="1" t="s">
        <v>1842</v>
      </c>
      <c r="AD1039" s="62" t="str">
        <f>VLOOKUP(X1039,'Customer List'!B:C,2,)</f>
        <v>Banglore</v>
      </c>
      <c r="AE1039" s="67"/>
      <c r="AF1039" s="6">
        <v>46160</v>
      </c>
      <c r="AG1039" s="62">
        <f t="shared" si="200"/>
        <v>2</v>
      </c>
      <c r="AH1039" s="62" t="str">
        <f t="shared" si="201"/>
        <v>Friday</v>
      </c>
      <c r="AI1039" s="62" t="str">
        <f t="shared" si="194"/>
        <v>Monday</v>
      </c>
      <c r="AJ1039" s="62" t="str">
        <f>VLOOKUP(AC1039,'Currency Sheet'!A:C,3,)</f>
        <v>DOLLAR</v>
      </c>
      <c r="AK1039" s="62" t="str">
        <f>VLOOKUP(X1039,'Customer List'!B:D,3,)</f>
        <v>OutStation</v>
      </c>
    </row>
    <row r="1040" spans="1:37" hidden="1" x14ac:dyDescent="0.25">
      <c r="A1040" s="62">
        <f t="shared" si="195"/>
        <v>1024</v>
      </c>
      <c r="B1040" s="62" t="s">
        <v>824</v>
      </c>
      <c r="C1040" s="62" t="s">
        <v>2542</v>
      </c>
      <c r="D1040" s="6">
        <v>46154</v>
      </c>
      <c r="E1040" s="6">
        <v>46158</v>
      </c>
      <c r="F1040" s="63">
        <v>49.5</v>
      </c>
      <c r="G1040" s="64">
        <f t="shared" si="196"/>
        <v>4356</v>
      </c>
      <c r="H1040" s="64">
        <f t="shared" si="197"/>
        <v>4356</v>
      </c>
      <c r="I1040" s="70">
        <v>480017</v>
      </c>
      <c r="J1040" s="62" t="s">
        <v>2536</v>
      </c>
      <c r="K1040" s="8" t="s">
        <v>2552</v>
      </c>
      <c r="L1040" s="10">
        <v>46635</v>
      </c>
      <c r="M1040" s="62">
        <v>1</v>
      </c>
      <c r="N1040" s="8">
        <v>1</v>
      </c>
      <c r="O1040" s="62">
        <f t="shared" si="198"/>
        <v>0</v>
      </c>
      <c r="P1040" s="70">
        <v>318</v>
      </c>
      <c r="Q1040" s="71">
        <v>46158</v>
      </c>
      <c r="R1040" s="6">
        <v>46158</v>
      </c>
      <c r="S1040" s="64">
        <v>8184</v>
      </c>
      <c r="T1040" s="22">
        <v>5</v>
      </c>
      <c r="U1040" s="64">
        <f t="shared" si="199"/>
        <v>409.20000000000005</v>
      </c>
      <c r="V1040" s="22">
        <v>-0.2</v>
      </c>
      <c r="W1040" s="22">
        <v>8593</v>
      </c>
      <c r="X1040" s="62" t="s">
        <v>2501</v>
      </c>
      <c r="Y1040" s="62">
        <v>58165588364</v>
      </c>
      <c r="Z1040" s="62" t="s">
        <v>1112</v>
      </c>
      <c r="AA1040" s="65">
        <v>4</v>
      </c>
      <c r="AB1040" s="66" t="s">
        <v>2543</v>
      </c>
      <c r="AC1040" s="1" t="s">
        <v>1842</v>
      </c>
      <c r="AD1040" s="62" t="str">
        <f>VLOOKUP(X1040,'Customer List'!B:C,2,)</f>
        <v>Hyderabad</v>
      </c>
      <c r="AE1040" s="67"/>
      <c r="AF1040" s="6">
        <v>46160</v>
      </c>
      <c r="AG1040" s="62">
        <f t="shared" si="200"/>
        <v>2</v>
      </c>
      <c r="AH1040" s="62" t="str">
        <f t="shared" si="201"/>
        <v>Sunday</v>
      </c>
      <c r="AI1040" s="62" t="str">
        <f t="shared" si="194"/>
        <v>Monday</v>
      </c>
      <c r="AJ1040" s="62" t="str">
        <f>VLOOKUP(AC1040,'Currency Sheet'!A:C,3,)</f>
        <v>DOLLAR</v>
      </c>
      <c r="AK1040" s="62" t="str">
        <f>VLOOKUP(X1040,'Customer List'!B:D,3,)</f>
        <v>OutStation</v>
      </c>
    </row>
    <row r="1041" spans="1:37" hidden="1" x14ac:dyDescent="0.25">
      <c r="A1041" s="62">
        <f t="shared" si="195"/>
        <v>1025</v>
      </c>
      <c r="B1041" s="62" t="s">
        <v>824</v>
      </c>
      <c r="C1041" s="62" t="s">
        <v>2542</v>
      </c>
      <c r="D1041" s="6">
        <v>46154</v>
      </c>
      <c r="E1041" s="6">
        <v>46158</v>
      </c>
      <c r="F1041" s="63">
        <v>164.5</v>
      </c>
      <c r="G1041" s="64">
        <f t="shared" si="196"/>
        <v>14476</v>
      </c>
      <c r="H1041" s="64">
        <f t="shared" si="197"/>
        <v>14476</v>
      </c>
      <c r="I1041" s="70">
        <v>324204</v>
      </c>
      <c r="J1041" s="62" t="s">
        <v>2537</v>
      </c>
      <c r="K1041" s="8" t="s">
        <v>2553</v>
      </c>
      <c r="L1041" s="10">
        <v>46950</v>
      </c>
      <c r="M1041" s="62">
        <v>1</v>
      </c>
      <c r="N1041" s="8">
        <v>1</v>
      </c>
      <c r="O1041" s="62">
        <f t="shared" si="198"/>
        <v>0</v>
      </c>
      <c r="P1041" s="70">
        <v>319</v>
      </c>
      <c r="Q1041" s="71">
        <v>46158</v>
      </c>
      <c r="R1041" s="6">
        <v>46158</v>
      </c>
      <c r="S1041" s="64">
        <v>25497.5</v>
      </c>
      <c r="T1041" s="22">
        <v>5</v>
      </c>
      <c r="U1041" s="64">
        <f t="shared" si="199"/>
        <v>1274.875</v>
      </c>
      <c r="V1041" s="22">
        <v>-0.38</v>
      </c>
      <c r="W1041" s="22">
        <v>26772</v>
      </c>
      <c r="X1041" s="62" t="s">
        <v>1361</v>
      </c>
      <c r="Y1041" s="62" t="s">
        <v>2562</v>
      </c>
      <c r="Z1041" s="62" t="s">
        <v>1112</v>
      </c>
      <c r="AA1041" s="65">
        <v>4</v>
      </c>
      <c r="AB1041" s="66" t="s">
        <v>2543</v>
      </c>
      <c r="AC1041" s="1" t="s">
        <v>1842</v>
      </c>
      <c r="AD1041" s="62" t="str">
        <f>VLOOKUP(X1041,'Customer List'!B:C,2,)</f>
        <v>Chandigarh</v>
      </c>
      <c r="AE1041" s="67"/>
      <c r="AF1041" s="6">
        <v>46160</v>
      </c>
      <c r="AG1041" s="62">
        <f t="shared" si="200"/>
        <v>2</v>
      </c>
      <c r="AH1041" s="62" t="str">
        <f t="shared" si="201"/>
        <v>Tuesday</v>
      </c>
      <c r="AI1041" s="62" t="str">
        <f t="shared" si="194"/>
        <v>Monday</v>
      </c>
      <c r="AJ1041" s="62" t="str">
        <f>VLOOKUP(AC1041,'Currency Sheet'!A:C,3,)</f>
        <v>DOLLAR</v>
      </c>
      <c r="AK1041" s="62" t="str">
        <f>VLOOKUP(X1041,'Customer List'!B:D,3,)</f>
        <v>OutStation</v>
      </c>
    </row>
    <row r="1042" spans="1:37" hidden="1" x14ac:dyDescent="0.25">
      <c r="A1042" s="62">
        <f t="shared" si="195"/>
        <v>1026</v>
      </c>
      <c r="B1042" s="62" t="s">
        <v>824</v>
      </c>
      <c r="C1042" s="62" t="s">
        <v>2542</v>
      </c>
      <c r="D1042" s="6">
        <v>46154</v>
      </c>
      <c r="E1042" s="6">
        <v>46158</v>
      </c>
      <c r="F1042" s="63">
        <v>144.19999999999999</v>
      </c>
      <c r="G1042" s="64">
        <f t="shared" si="196"/>
        <v>12689.599999999999</v>
      </c>
      <c r="H1042" s="64">
        <f t="shared" si="197"/>
        <v>12689.599999999999</v>
      </c>
      <c r="I1042" s="70">
        <v>373202</v>
      </c>
      <c r="J1042" s="62" t="s">
        <v>2538</v>
      </c>
      <c r="K1042" s="8" t="s">
        <v>2554</v>
      </c>
      <c r="L1042" s="10">
        <v>47057</v>
      </c>
      <c r="M1042" s="62">
        <v>1</v>
      </c>
      <c r="N1042" s="8">
        <v>1</v>
      </c>
      <c r="O1042" s="62">
        <f t="shared" si="198"/>
        <v>0</v>
      </c>
      <c r="P1042" s="70">
        <v>320</v>
      </c>
      <c r="Q1042" s="71">
        <v>46158</v>
      </c>
      <c r="R1042" s="6">
        <v>46158</v>
      </c>
      <c r="S1042" s="64">
        <v>21712</v>
      </c>
      <c r="T1042" s="22">
        <v>5</v>
      </c>
      <c r="U1042" s="64">
        <f t="shared" si="199"/>
        <v>1085.6000000000001</v>
      </c>
      <c r="V1042" s="22">
        <v>1800</v>
      </c>
      <c r="W1042" s="22">
        <v>24688</v>
      </c>
      <c r="X1042" s="62" t="s">
        <v>462</v>
      </c>
      <c r="Y1042" s="62"/>
      <c r="Z1042" s="62"/>
      <c r="AA1042" s="65">
        <v>4</v>
      </c>
      <c r="AB1042" s="66" t="s">
        <v>2543</v>
      </c>
      <c r="AC1042" s="1" t="s">
        <v>1842</v>
      </c>
      <c r="AD1042" s="62" t="str">
        <f>VLOOKUP(X1042,'Customer List'!B:C,2,)</f>
        <v>odisha</v>
      </c>
      <c r="AE1042" s="67"/>
      <c r="AF1042" s="6"/>
      <c r="AG1042" s="62" t="str">
        <f t="shared" si="200"/>
        <v/>
      </c>
      <c r="AH1042" s="62" t="str">
        <f t="shared" si="201"/>
        <v>Thursday</v>
      </c>
      <c r="AI1042" s="62" t="str">
        <f t="shared" si="194"/>
        <v/>
      </c>
      <c r="AJ1042" s="62" t="str">
        <f>VLOOKUP(AC1042,'Currency Sheet'!A:C,3,)</f>
        <v>DOLLAR</v>
      </c>
      <c r="AK1042" s="62" t="str">
        <f>VLOOKUP(X1042,'Customer List'!B:D,3,)</f>
        <v>OutStation</v>
      </c>
    </row>
    <row r="1043" spans="1:37" hidden="1" x14ac:dyDescent="0.25">
      <c r="A1043" s="62">
        <f t="shared" si="195"/>
        <v>1027</v>
      </c>
      <c r="B1043" s="62" t="s">
        <v>824</v>
      </c>
      <c r="C1043" s="62" t="s">
        <v>2542</v>
      </c>
      <c r="D1043" s="6">
        <v>46154</v>
      </c>
      <c r="E1043" s="6">
        <v>46158</v>
      </c>
      <c r="F1043" s="63">
        <v>223.3</v>
      </c>
      <c r="G1043" s="64">
        <f t="shared" si="196"/>
        <v>19650.400000000001</v>
      </c>
      <c r="H1043" s="64">
        <f t="shared" si="197"/>
        <v>19650.400000000001</v>
      </c>
      <c r="I1043" s="70">
        <v>356136</v>
      </c>
      <c r="J1043" s="62" t="s">
        <v>751</v>
      </c>
      <c r="K1043" s="8" t="s">
        <v>2555</v>
      </c>
      <c r="L1043" s="10">
        <v>46797</v>
      </c>
      <c r="M1043" s="62">
        <v>1</v>
      </c>
      <c r="N1043" s="8">
        <v>1</v>
      </c>
      <c r="O1043" s="62">
        <f t="shared" si="198"/>
        <v>0</v>
      </c>
      <c r="P1043" s="70">
        <v>321</v>
      </c>
      <c r="Q1043" s="71">
        <v>46158</v>
      </c>
      <c r="R1043" s="6">
        <v>46158</v>
      </c>
      <c r="S1043" s="64">
        <v>34612</v>
      </c>
      <c r="T1043" s="22">
        <v>5</v>
      </c>
      <c r="U1043" s="64">
        <f t="shared" si="199"/>
        <v>1730.6000000000001</v>
      </c>
      <c r="V1043" s="22">
        <v>-0.2</v>
      </c>
      <c r="W1043" s="22">
        <v>94672</v>
      </c>
      <c r="X1043" s="62" t="s">
        <v>1365</v>
      </c>
      <c r="Y1043" s="62" t="s">
        <v>2563</v>
      </c>
      <c r="Z1043" s="62" t="s">
        <v>1112</v>
      </c>
      <c r="AA1043" s="65">
        <v>4</v>
      </c>
      <c r="AB1043" s="66" t="s">
        <v>2543</v>
      </c>
      <c r="AC1043" s="1" t="s">
        <v>1842</v>
      </c>
      <c r="AD1043" s="62" t="str">
        <f>VLOOKUP(X1043,'Customer List'!B:C,2,)</f>
        <v>Punjab</v>
      </c>
      <c r="AE1043" s="67"/>
      <c r="AF1043" s="6">
        <v>46162</v>
      </c>
      <c r="AG1043" s="62">
        <f t="shared" si="200"/>
        <v>4</v>
      </c>
      <c r="AH1043" s="62" t="str">
        <f t="shared" si="201"/>
        <v>Wednesday</v>
      </c>
      <c r="AI1043" s="62" t="str">
        <f t="shared" si="194"/>
        <v>Wednesday</v>
      </c>
      <c r="AJ1043" s="62" t="str">
        <f>VLOOKUP(AC1043,'Currency Sheet'!A:C,3,)</f>
        <v>DOLLAR</v>
      </c>
      <c r="AK1043" s="62" t="str">
        <f>VLOOKUP(X1043,'Customer List'!B:D,3,)</f>
        <v>OutStation</v>
      </c>
    </row>
    <row r="1044" spans="1:37" hidden="1" x14ac:dyDescent="0.25">
      <c r="A1044" s="62">
        <f t="shared" si="195"/>
        <v>1028</v>
      </c>
      <c r="B1044" s="62" t="s">
        <v>824</v>
      </c>
      <c r="C1044" s="62" t="s">
        <v>2542</v>
      </c>
      <c r="D1044" s="6">
        <v>46154</v>
      </c>
      <c r="E1044" s="6">
        <v>46158</v>
      </c>
      <c r="F1044" s="63">
        <v>334.5</v>
      </c>
      <c r="G1044" s="64">
        <f t="shared" si="196"/>
        <v>29436</v>
      </c>
      <c r="H1044" s="64">
        <f t="shared" si="197"/>
        <v>29436</v>
      </c>
      <c r="I1044" s="70">
        <v>354544</v>
      </c>
      <c r="J1044" s="62" t="s">
        <v>2539</v>
      </c>
      <c r="K1044" s="8" t="s">
        <v>2556</v>
      </c>
      <c r="L1044" s="10">
        <v>46445</v>
      </c>
      <c r="M1044" s="62">
        <v>1</v>
      </c>
      <c r="N1044" s="8">
        <v>1</v>
      </c>
      <c r="O1044" s="62">
        <f t="shared" si="198"/>
        <v>0</v>
      </c>
      <c r="P1044" s="70">
        <v>321</v>
      </c>
      <c r="Q1044" s="71">
        <v>46158</v>
      </c>
      <c r="R1044" s="6">
        <v>46158</v>
      </c>
      <c r="S1044" s="64">
        <v>48391</v>
      </c>
      <c r="T1044" s="22">
        <v>5</v>
      </c>
      <c r="U1044" s="64">
        <f t="shared" si="199"/>
        <v>2419.5500000000002</v>
      </c>
      <c r="V1044" s="22">
        <v>0</v>
      </c>
      <c r="W1044" s="22">
        <v>94672</v>
      </c>
      <c r="X1044" s="62" t="s">
        <v>1365</v>
      </c>
      <c r="Y1044" s="62" t="s">
        <v>2563</v>
      </c>
      <c r="Z1044" s="62" t="s">
        <v>1112</v>
      </c>
      <c r="AA1044" s="65">
        <v>4</v>
      </c>
      <c r="AB1044" s="66" t="s">
        <v>2543</v>
      </c>
      <c r="AC1044" s="1" t="s">
        <v>1842</v>
      </c>
      <c r="AD1044" s="62" t="str">
        <f>VLOOKUP(X1044,'Customer List'!B:C,2,)</f>
        <v>Punjab</v>
      </c>
      <c r="AE1044" s="67"/>
      <c r="AF1044" s="6">
        <v>46162</v>
      </c>
      <c r="AG1044" s="62">
        <f t="shared" si="200"/>
        <v>4</v>
      </c>
      <c r="AH1044" s="62" t="str">
        <f t="shared" si="201"/>
        <v>Saturday</v>
      </c>
      <c r="AI1044" s="62" t="str">
        <f t="shared" si="194"/>
        <v>Wednesday</v>
      </c>
      <c r="AJ1044" s="62" t="str">
        <f>VLOOKUP(AC1044,'Currency Sheet'!A:C,3,)</f>
        <v>DOLLAR</v>
      </c>
      <c r="AK1044" s="62" t="str">
        <f>VLOOKUP(X1044,'Customer List'!B:D,3,)</f>
        <v>OutStation</v>
      </c>
    </row>
    <row r="1045" spans="1:37" hidden="1" x14ac:dyDescent="0.25">
      <c r="A1045" s="62">
        <f t="shared" si="195"/>
        <v>1029</v>
      </c>
      <c r="B1045" s="62" t="s">
        <v>824</v>
      </c>
      <c r="C1045" s="62" t="s">
        <v>2542</v>
      </c>
      <c r="D1045" s="6">
        <v>46154</v>
      </c>
      <c r="E1045" s="6">
        <v>46158</v>
      </c>
      <c r="F1045" s="63">
        <v>49.5</v>
      </c>
      <c r="G1045" s="64">
        <f t="shared" si="196"/>
        <v>4356</v>
      </c>
      <c r="H1045" s="64">
        <f t="shared" si="197"/>
        <v>4356</v>
      </c>
      <c r="I1045" s="70">
        <v>480017</v>
      </c>
      <c r="J1045" s="62" t="s">
        <v>2536</v>
      </c>
      <c r="K1045" s="8" t="s">
        <v>2552</v>
      </c>
      <c r="L1045" s="10">
        <v>46635</v>
      </c>
      <c r="M1045" s="62">
        <v>1</v>
      </c>
      <c r="N1045" s="8">
        <v>1</v>
      </c>
      <c r="O1045" s="62">
        <f t="shared" si="198"/>
        <v>0</v>
      </c>
      <c r="P1045" s="70">
        <v>321</v>
      </c>
      <c r="Q1045" s="71">
        <v>46158</v>
      </c>
      <c r="R1045" s="6">
        <v>46158</v>
      </c>
      <c r="S1045" s="64">
        <v>7161</v>
      </c>
      <c r="T1045" s="22">
        <v>5</v>
      </c>
      <c r="U1045" s="64">
        <f t="shared" si="199"/>
        <v>358.05</v>
      </c>
      <c r="V1045" s="22">
        <v>0</v>
      </c>
      <c r="W1045" s="22">
        <v>94672</v>
      </c>
      <c r="X1045" s="62" t="s">
        <v>1365</v>
      </c>
      <c r="Y1045" s="62" t="s">
        <v>2563</v>
      </c>
      <c r="Z1045" s="62" t="s">
        <v>1112</v>
      </c>
      <c r="AA1045" s="65">
        <v>4</v>
      </c>
      <c r="AB1045" s="66" t="s">
        <v>2543</v>
      </c>
      <c r="AC1045" s="1" t="s">
        <v>1842</v>
      </c>
      <c r="AD1045" s="62" t="str">
        <f>VLOOKUP(X1045,'Customer List'!B:C,2,)</f>
        <v>Punjab</v>
      </c>
      <c r="AE1045" s="67"/>
      <c r="AF1045" s="6">
        <v>46162</v>
      </c>
      <c r="AG1045" s="62">
        <f t="shared" si="200"/>
        <v>4</v>
      </c>
      <c r="AH1045" s="62" t="str">
        <f t="shared" si="201"/>
        <v>Saturday</v>
      </c>
      <c r="AI1045" s="62" t="str">
        <f t="shared" si="194"/>
        <v>Wednesday</v>
      </c>
      <c r="AJ1045" s="62" t="str">
        <f>VLOOKUP(AC1045,'Currency Sheet'!A:C,3,)</f>
        <v>DOLLAR</v>
      </c>
      <c r="AK1045" s="62" t="str">
        <f>VLOOKUP(X1045,'Customer List'!B:D,3,)</f>
        <v>OutStation</v>
      </c>
    </row>
    <row r="1046" spans="1:37" hidden="1" x14ac:dyDescent="0.25">
      <c r="A1046" s="62">
        <f t="shared" si="195"/>
        <v>1030</v>
      </c>
      <c r="B1046" s="62" t="s">
        <v>824</v>
      </c>
      <c r="C1046" s="62" t="s">
        <v>2542</v>
      </c>
      <c r="D1046" s="6">
        <v>46154</v>
      </c>
      <c r="E1046" s="6">
        <v>46158</v>
      </c>
      <c r="F1046" s="63">
        <v>118.3</v>
      </c>
      <c r="G1046" s="64">
        <f t="shared" si="196"/>
        <v>10410.4</v>
      </c>
      <c r="H1046" s="64">
        <f t="shared" si="197"/>
        <v>10410.4</v>
      </c>
      <c r="I1046" s="70">
        <v>372227</v>
      </c>
      <c r="J1046" s="62" t="s">
        <v>746</v>
      </c>
      <c r="K1046" s="8" t="s">
        <v>2557</v>
      </c>
      <c r="L1046" s="10">
        <v>46932</v>
      </c>
      <c r="M1046" s="62">
        <v>1</v>
      </c>
      <c r="N1046" s="8">
        <v>1</v>
      </c>
      <c r="O1046" s="62">
        <f t="shared" si="198"/>
        <v>0</v>
      </c>
      <c r="P1046" s="70">
        <v>316</v>
      </c>
      <c r="Q1046" s="71">
        <v>46158</v>
      </c>
      <c r="R1046" s="6">
        <v>46158</v>
      </c>
      <c r="S1046" s="64">
        <v>17745</v>
      </c>
      <c r="T1046" s="22">
        <v>5</v>
      </c>
      <c r="U1046" s="64">
        <f t="shared" si="199"/>
        <v>887.25</v>
      </c>
      <c r="V1046" s="22">
        <v>-0.25</v>
      </c>
      <c r="W1046" s="22">
        <v>18632</v>
      </c>
      <c r="X1046" s="62" t="s">
        <v>204</v>
      </c>
      <c r="Y1046" s="62">
        <v>58165587955</v>
      </c>
      <c r="Z1046" s="62" t="s">
        <v>1112</v>
      </c>
      <c r="AA1046" s="65">
        <v>4</v>
      </c>
      <c r="AB1046" s="66" t="s">
        <v>2543</v>
      </c>
      <c r="AC1046" s="1" t="s">
        <v>1842</v>
      </c>
      <c r="AD1046" s="62" t="str">
        <f>VLOOKUP(X1046,'Customer List'!B:C,2,)</f>
        <v>Kerala</v>
      </c>
      <c r="AE1046" s="67"/>
      <c r="AF1046" s="6">
        <v>46160</v>
      </c>
      <c r="AG1046" s="62">
        <f t="shared" si="200"/>
        <v>2</v>
      </c>
      <c r="AH1046" s="62" t="str">
        <f t="shared" si="201"/>
        <v>Saturday</v>
      </c>
      <c r="AI1046" s="62" t="str">
        <f t="shared" si="194"/>
        <v>Monday</v>
      </c>
      <c r="AJ1046" s="62" t="str">
        <f>VLOOKUP(AC1046,'Currency Sheet'!A:C,3,)</f>
        <v>DOLLAR</v>
      </c>
      <c r="AK1046" s="62" t="str">
        <f>VLOOKUP(X1046,'Customer List'!B:D,3,)</f>
        <v>OutStation</v>
      </c>
    </row>
    <row r="1047" spans="1:37" hidden="1" x14ac:dyDescent="0.25">
      <c r="A1047" s="62">
        <f t="shared" si="195"/>
        <v>1031</v>
      </c>
      <c r="B1047" s="62" t="s">
        <v>824</v>
      </c>
      <c r="C1047" s="62" t="s">
        <v>2542</v>
      </c>
      <c r="D1047" s="6">
        <v>46154</v>
      </c>
      <c r="E1047" s="6">
        <v>46158</v>
      </c>
      <c r="F1047" s="63">
        <v>245</v>
      </c>
      <c r="G1047" s="64">
        <f t="shared" si="196"/>
        <v>21560</v>
      </c>
      <c r="H1047" s="64">
        <f t="shared" si="197"/>
        <v>21560</v>
      </c>
      <c r="I1047" s="70">
        <v>405243</v>
      </c>
      <c r="J1047" s="62" t="s">
        <v>2540</v>
      </c>
      <c r="K1047" s="8" t="s">
        <v>2558</v>
      </c>
      <c r="L1047" s="10">
        <v>47285</v>
      </c>
      <c r="M1047" s="62">
        <v>1</v>
      </c>
      <c r="N1047" s="8">
        <v>1</v>
      </c>
      <c r="O1047" s="62">
        <f t="shared" si="198"/>
        <v>0</v>
      </c>
      <c r="P1047" s="70">
        <v>322</v>
      </c>
      <c r="Q1047" s="71">
        <v>46158</v>
      </c>
      <c r="R1047" s="6">
        <v>46158</v>
      </c>
      <c r="S1047" s="64">
        <v>39602.5</v>
      </c>
      <c r="T1047" s="22">
        <v>5</v>
      </c>
      <c r="U1047" s="64">
        <f t="shared" si="199"/>
        <v>1980.125</v>
      </c>
      <c r="V1047" s="22">
        <v>0.09</v>
      </c>
      <c r="W1047" s="22">
        <v>137579</v>
      </c>
      <c r="X1047" s="62" t="s">
        <v>343</v>
      </c>
      <c r="Y1047" s="62"/>
      <c r="Z1047" s="62"/>
      <c r="AA1047" s="65">
        <v>4</v>
      </c>
      <c r="AB1047" s="66" t="s">
        <v>2543</v>
      </c>
      <c r="AC1047" s="1" t="s">
        <v>1842</v>
      </c>
      <c r="AD1047" s="62" t="str">
        <f>VLOOKUP(X1047,'Customer List'!B:C,2,)</f>
        <v>BANGALORE</v>
      </c>
      <c r="AE1047" s="67"/>
      <c r="AF1047" s="6"/>
      <c r="AG1047" s="62" t="str">
        <f t="shared" si="200"/>
        <v/>
      </c>
      <c r="AH1047" s="62" t="str">
        <f t="shared" si="201"/>
        <v>Tuesday</v>
      </c>
      <c r="AI1047" s="62" t="str">
        <f t="shared" si="194"/>
        <v/>
      </c>
      <c r="AJ1047" s="62" t="str">
        <f>VLOOKUP(AC1047,'Currency Sheet'!A:C,3,)</f>
        <v>DOLLAR</v>
      </c>
      <c r="AK1047" s="62" t="str">
        <f>VLOOKUP(X1047,'Customer List'!B:D,3,)</f>
        <v>OutStation</v>
      </c>
    </row>
    <row r="1048" spans="1:37" hidden="1" x14ac:dyDescent="0.25">
      <c r="A1048" s="62">
        <f t="shared" si="195"/>
        <v>1032</v>
      </c>
      <c r="B1048" s="62" t="s">
        <v>824</v>
      </c>
      <c r="C1048" s="62" t="s">
        <v>2542</v>
      </c>
      <c r="D1048" s="6">
        <v>46154</v>
      </c>
      <c r="E1048" s="6">
        <v>46158</v>
      </c>
      <c r="F1048" s="63">
        <v>81.2</v>
      </c>
      <c r="G1048" s="64">
        <f t="shared" si="196"/>
        <v>7145.6</v>
      </c>
      <c r="H1048" s="64">
        <f t="shared" si="197"/>
        <v>7145.6</v>
      </c>
      <c r="I1048" s="70">
        <v>117306</v>
      </c>
      <c r="J1048" s="62" t="s">
        <v>1480</v>
      </c>
      <c r="K1048" s="8" t="s">
        <v>2559</v>
      </c>
      <c r="L1048" s="10">
        <v>48348</v>
      </c>
      <c r="M1048" s="62">
        <v>1</v>
      </c>
      <c r="N1048" s="8">
        <v>1</v>
      </c>
      <c r="O1048" s="62">
        <f t="shared" si="198"/>
        <v>0</v>
      </c>
      <c r="P1048" s="70">
        <v>322</v>
      </c>
      <c r="Q1048" s="71">
        <v>46158</v>
      </c>
      <c r="R1048" s="6">
        <v>46158</v>
      </c>
      <c r="S1048" s="64">
        <v>13125.4</v>
      </c>
      <c r="T1048" s="22">
        <v>5</v>
      </c>
      <c r="U1048" s="64">
        <f t="shared" si="199"/>
        <v>656.27</v>
      </c>
      <c r="V1048" s="22">
        <v>0</v>
      </c>
      <c r="W1048" s="22">
        <v>137579</v>
      </c>
      <c r="X1048" s="62" t="s">
        <v>343</v>
      </c>
      <c r="Y1048" s="62"/>
      <c r="Z1048" s="62"/>
      <c r="AA1048" s="65">
        <v>4</v>
      </c>
      <c r="AB1048" s="66" t="s">
        <v>2543</v>
      </c>
      <c r="AC1048" s="1" t="s">
        <v>1842</v>
      </c>
      <c r="AD1048" s="62" t="str">
        <f>VLOOKUP(X1048,'Customer List'!B:C,2,)</f>
        <v>BANGALORE</v>
      </c>
      <c r="AE1048" s="67"/>
      <c r="AF1048" s="6"/>
      <c r="AG1048" s="62" t="str">
        <f t="shared" si="200"/>
        <v/>
      </c>
      <c r="AH1048" s="62" t="str">
        <f t="shared" si="201"/>
        <v>Saturday</v>
      </c>
      <c r="AI1048" s="62" t="str">
        <f t="shared" si="194"/>
        <v/>
      </c>
      <c r="AJ1048" s="62" t="str">
        <f>VLOOKUP(AC1048,'Currency Sheet'!A:C,3,)</f>
        <v>DOLLAR</v>
      </c>
      <c r="AK1048" s="62" t="str">
        <f>VLOOKUP(X1048,'Customer List'!B:D,3,)</f>
        <v>OutStation</v>
      </c>
    </row>
    <row r="1049" spans="1:37" hidden="1" x14ac:dyDescent="0.25">
      <c r="A1049" s="62">
        <f t="shared" si="195"/>
        <v>1033</v>
      </c>
      <c r="B1049" s="62" t="s">
        <v>824</v>
      </c>
      <c r="C1049" s="62" t="s">
        <v>2542</v>
      </c>
      <c r="D1049" s="6">
        <v>46154</v>
      </c>
      <c r="E1049" s="6">
        <v>46158</v>
      </c>
      <c r="F1049" s="63">
        <v>209.3</v>
      </c>
      <c r="G1049" s="64">
        <f t="shared" si="196"/>
        <v>18418.400000000001</v>
      </c>
      <c r="H1049" s="64">
        <f t="shared" si="197"/>
        <v>18418.400000000001</v>
      </c>
      <c r="I1049" s="70">
        <v>138214</v>
      </c>
      <c r="J1049" s="62" t="s">
        <v>2541</v>
      </c>
      <c r="K1049" s="8" t="s">
        <v>2560</v>
      </c>
      <c r="L1049" s="10">
        <v>46844</v>
      </c>
      <c r="M1049" s="62">
        <v>1</v>
      </c>
      <c r="N1049" s="8">
        <v>1</v>
      </c>
      <c r="O1049" s="62">
        <f t="shared" si="198"/>
        <v>0</v>
      </c>
      <c r="P1049" s="70">
        <v>322</v>
      </c>
      <c r="Q1049" s="71">
        <v>46158</v>
      </c>
      <c r="R1049" s="6">
        <v>46158</v>
      </c>
      <c r="S1049" s="64">
        <v>33831.85</v>
      </c>
      <c r="T1049" s="22">
        <v>5</v>
      </c>
      <c r="U1049" s="64">
        <f t="shared" si="199"/>
        <v>1691.5925</v>
      </c>
      <c r="V1049" s="22">
        <v>0</v>
      </c>
      <c r="W1049" s="22">
        <v>137579</v>
      </c>
      <c r="X1049" s="62" t="s">
        <v>343</v>
      </c>
      <c r="Y1049" s="62"/>
      <c r="Z1049" s="62"/>
      <c r="AA1049" s="65">
        <v>4</v>
      </c>
      <c r="AB1049" s="66" t="s">
        <v>2543</v>
      </c>
      <c r="AC1049" s="1" t="s">
        <v>1842</v>
      </c>
      <c r="AD1049" s="62" t="str">
        <f>VLOOKUP(X1049,'Customer List'!B:C,2,)</f>
        <v>BANGALORE</v>
      </c>
      <c r="AE1049" s="67"/>
      <c r="AF1049" s="6"/>
      <c r="AG1049" s="62" t="str">
        <f t="shared" si="200"/>
        <v/>
      </c>
      <c r="AH1049" s="62" t="str">
        <f t="shared" si="201"/>
        <v>Saturday</v>
      </c>
      <c r="AI1049" s="62" t="str">
        <f t="shared" si="194"/>
        <v/>
      </c>
      <c r="AJ1049" s="62" t="str">
        <f>VLOOKUP(AC1049,'Currency Sheet'!A:C,3,)</f>
        <v>DOLLAR</v>
      </c>
      <c r="AK1049" s="62" t="str">
        <f>VLOOKUP(X1049,'Customer List'!B:D,3,)</f>
        <v>OutStation</v>
      </c>
    </row>
    <row r="1050" spans="1:37" hidden="1" x14ac:dyDescent="0.25">
      <c r="A1050" s="62">
        <f t="shared" si="195"/>
        <v>1034</v>
      </c>
      <c r="B1050" s="62" t="s">
        <v>824</v>
      </c>
      <c r="C1050" s="62" t="s">
        <v>2542</v>
      </c>
      <c r="D1050" s="6">
        <v>46154</v>
      </c>
      <c r="E1050" s="6">
        <v>46158</v>
      </c>
      <c r="F1050" s="63">
        <v>275.10000000000002</v>
      </c>
      <c r="G1050" s="64">
        <f t="shared" si="196"/>
        <v>24208.800000000003</v>
      </c>
      <c r="H1050" s="64">
        <f t="shared" si="197"/>
        <v>24208.800000000003</v>
      </c>
      <c r="I1050" s="70">
        <v>148224</v>
      </c>
      <c r="J1050" s="62" t="s">
        <v>1501</v>
      </c>
      <c r="K1050" s="8" t="s">
        <v>2561</v>
      </c>
      <c r="L1050" s="10">
        <v>46628</v>
      </c>
      <c r="M1050" s="62">
        <v>1</v>
      </c>
      <c r="N1050" s="8">
        <v>1</v>
      </c>
      <c r="O1050" s="62">
        <f t="shared" si="198"/>
        <v>0</v>
      </c>
      <c r="P1050" s="70">
        <v>322</v>
      </c>
      <c r="Q1050" s="71">
        <v>46158</v>
      </c>
      <c r="R1050" s="6">
        <v>46158</v>
      </c>
      <c r="S1050" s="64">
        <v>44467.95</v>
      </c>
      <c r="T1050" s="22">
        <v>5</v>
      </c>
      <c r="U1050" s="64">
        <f t="shared" si="199"/>
        <v>2223.3975</v>
      </c>
      <c r="V1050" s="22">
        <v>0</v>
      </c>
      <c r="W1050" s="22">
        <v>137579</v>
      </c>
      <c r="X1050" s="62" t="s">
        <v>343</v>
      </c>
      <c r="Y1050" s="62"/>
      <c r="Z1050" s="62"/>
      <c r="AA1050" s="65">
        <v>4</v>
      </c>
      <c r="AB1050" s="66" t="s">
        <v>2543</v>
      </c>
      <c r="AC1050" s="1" t="s">
        <v>1842</v>
      </c>
      <c r="AD1050" s="62" t="str">
        <f>VLOOKUP(X1050,'Customer List'!B:C,2,)</f>
        <v>BANGALORE</v>
      </c>
      <c r="AE1050" s="67"/>
      <c r="AF1050" s="6"/>
      <c r="AG1050" s="62" t="str">
        <f t="shared" si="200"/>
        <v/>
      </c>
      <c r="AH1050" s="62" t="str">
        <f t="shared" si="201"/>
        <v>Tuesday</v>
      </c>
      <c r="AI1050" s="62" t="str">
        <f t="shared" si="194"/>
        <v/>
      </c>
      <c r="AJ1050" s="62" t="str">
        <f>VLOOKUP(AC1050,'Currency Sheet'!A:C,3,)</f>
        <v>DOLLAR</v>
      </c>
      <c r="AK1050" s="62" t="str">
        <f>VLOOKUP(X1050,'Customer List'!B:D,3,)</f>
        <v>OutStation</v>
      </c>
    </row>
    <row r="1051" spans="1:37" x14ac:dyDescent="0.25">
      <c r="A1051" s="62">
        <f t="shared" si="195"/>
        <v>1035</v>
      </c>
      <c r="B1051" s="62" t="s">
        <v>2516</v>
      </c>
      <c r="C1051" s="62" t="s">
        <v>2545</v>
      </c>
      <c r="D1051" s="6">
        <v>46157</v>
      </c>
      <c r="E1051" s="6">
        <v>46160</v>
      </c>
      <c r="F1051" s="63">
        <v>219.75</v>
      </c>
      <c r="G1051" s="64">
        <f t="shared" si="196"/>
        <v>19338</v>
      </c>
      <c r="H1051" s="64">
        <f t="shared" si="197"/>
        <v>19338</v>
      </c>
      <c r="I1051" s="70" t="s">
        <v>2521</v>
      </c>
      <c r="J1051" s="62" t="s">
        <v>2548</v>
      </c>
      <c r="K1051" s="8"/>
      <c r="L1051" s="10"/>
      <c r="M1051" s="62">
        <v>1</v>
      </c>
      <c r="N1051" s="8">
        <v>1</v>
      </c>
      <c r="O1051" s="62">
        <f t="shared" si="198"/>
        <v>0</v>
      </c>
      <c r="P1051" s="70">
        <v>329</v>
      </c>
      <c r="Q1051" s="71">
        <v>46161</v>
      </c>
      <c r="R1051" s="6">
        <v>46161</v>
      </c>
      <c r="S1051" s="64">
        <v>39848</v>
      </c>
      <c r="T1051" s="22">
        <v>5</v>
      </c>
      <c r="U1051" s="64">
        <f t="shared" si="199"/>
        <v>1992.4</v>
      </c>
      <c r="V1051" s="22">
        <v>-0.4</v>
      </c>
      <c r="W1051" s="22">
        <v>41840</v>
      </c>
      <c r="X1051" s="62" t="s">
        <v>1600</v>
      </c>
      <c r="Y1051" s="62">
        <v>58165687462</v>
      </c>
      <c r="Z1051" s="62" t="s">
        <v>1112</v>
      </c>
      <c r="AA1051" s="65">
        <v>-20</v>
      </c>
      <c r="AB1051" s="66"/>
      <c r="AC1051" s="1" t="s">
        <v>537</v>
      </c>
      <c r="AD1051" s="62" t="str">
        <f>VLOOKUP(X1051,'Customer List'!B:C,2,)</f>
        <v>Hyderabad</v>
      </c>
      <c r="AE1051" s="67"/>
      <c r="AF1051" s="6"/>
      <c r="AG1051" s="62" t="str">
        <f t="shared" si="200"/>
        <v/>
      </c>
      <c r="AH1051" s="62" t="str">
        <f t="shared" si="201"/>
        <v>Wednesday</v>
      </c>
      <c r="AI1051" s="62" t="str">
        <f t="shared" si="194"/>
        <v/>
      </c>
      <c r="AJ1051" s="62" t="str">
        <f>VLOOKUP(AC1051,'Currency Sheet'!A:C,3,)</f>
        <v>DOLLAR</v>
      </c>
      <c r="AK1051" s="62" t="str">
        <f>VLOOKUP(X1051,'Customer List'!B:D,3,)</f>
        <v>OutStation</v>
      </c>
    </row>
    <row r="1052" spans="1:37" x14ac:dyDescent="0.25">
      <c r="A1052" s="62">
        <f t="shared" si="195"/>
        <v>1036</v>
      </c>
      <c r="B1052" s="62" t="s">
        <v>2516</v>
      </c>
      <c r="C1052" s="62" t="s">
        <v>2546</v>
      </c>
      <c r="D1052" s="6">
        <v>46157</v>
      </c>
      <c r="E1052" s="6">
        <v>46160</v>
      </c>
      <c r="F1052" s="63">
        <v>220.28</v>
      </c>
      <c r="G1052" s="64">
        <f t="shared" si="196"/>
        <v>19384.64</v>
      </c>
      <c r="H1052" s="64">
        <f t="shared" si="197"/>
        <v>19384.64</v>
      </c>
      <c r="I1052" s="70" t="s">
        <v>2547</v>
      </c>
      <c r="J1052" s="62" t="s">
        <v>1913</v>
      </c>
      <c r="K1052" s="8"/>
      <c r="L1052" s="10"/>
      <c r="M1052" s="62">
        <v>1</v>
      </c>
      <c r="N1052" s="8">
        <v>1</v>
      </c>
      <c r="O1052" s="62">
        <f t="shared" si="198"/>
        <v>0</v>
      </c>
      <c r="P1052" s="70">
        <v>331</v>
      </c>
      <c r="Q1052" s="71">
        <v>46161</v>
      </c>
      <c r="R1052" s="6">
        <v>46161</v>
      </c>
      <c r="S1052" s="64">
        <v>39944</v>
      </c>
      <c r="T1052" s="22">
        <v>5</v>
      </c>
      <c r="U1052" s="64">
        <f t="shared" si="199"/>
        <v>1997.2</v>
      </c>
      <c r="V1052" s="22">
        <v>-0.04</v>
      </c>
      <c r="W1052" s="22">
        <v>41942</v>
      </c>
      <c r="X1052" s="62" t="s">
        <v>1363</v>
      </c>
      <c r="Y1052" s="62">
        <v>58165687160</v>
      </c>
      <c r="Z1052" s="62" t="s">
        <v>1112</v>
      </c>
      <c r="AA1052" s="65">
        <v>-20</v>
      </c>
      <c r="AB1052" s="66"/>
      <c r="AC1052" s="1" t="s">
        <v>537</v>
      </c>
      <c r="AD1052" s="62" t="str">
        <f>VLOOKUP(X1052,'Customer List'!B:C,2,)</f>
        <v>Chennai</v>
      </c>
      <c r="AE1052" s="67"/>
      <c r="AF1052" s="6"/>
      <c r="AG1052" s="62" t="str">
        <f t="shared" si="200"/>
        <v/>
      </c>
      <c r="AH1052" s="62" t="str">
        <f t="shared" si="201"/>
        <v>Monday</v>
      </c>
      <c r="AI1052" s="62" t="str">
        <f t="shared" si="194"/>
        <v/>
      </c>
      <c r="AJ1052" s="62" t="str">
        <f>VLOOKUP(AC1052,'Currency Sheet'!A:C,3,)</f>
        <v>DOLLAR</v>
      </c>
      <c r="AK1052" s="62" t="str">
        <f>VLOOKUP(X1052,'Customer List'!B:D,3,)</f>
        <v>OutStation</v>
      </c>
    </row>
    <row r="1053" spans="1:37" x14ac:dyDescent="0.25">
      <c r="A1053" s="62">
        <f t="shared" si="195"/>
        <v>1037</v>
      </c>
      <c r="B1053" s="62" t="s">
        <v>1607</v>
      </c>
      <c r="C1053" s="62" t="s">
        <v>2567</v>
      </c>
      <c r="D1053" s="6">
        <v>46148</v>
      </c>
      <c r="E1053" s="6">
        <v>46160</v>
      </c>
      <c r="F1053" s="63">
        <v>31500</v>
      </c>
      <c r="G1053" s="64">
        <f t="shared" si="196"/>
        <v>31500</v>
      </c>
      <c r="H1053" s="64">
        <f t="shared" si="197"/>
        <v>157500</v>
      </c>
      <c r="I1053" s="70" t="s">
        <v>2568</v>
      </c>
      <c r="J1053" s="62"/>
      <c r="K1053" s="8">
        <v>260500257</v>
      </c>
      <c r="L1053" s="10"/>
      <c r="M1053" s="62">
        <v>5</v>
      </c>
      <c r="N1053" s="8">
        <v>5</v>
      </c>
      <c r="O1053" s="62">
        <f t="shared" si="198"/>
        <v>0</v>
      </c>
      <c r="P1053" s="70">
        <v>327</v>
      </c>
      <c r="Q1053" s="71">
        <v>46161</v>
      </c>
      <c r="R1053" s="6">
        <v>46161</v>
      </c>
      <c r="S1053" s="64">
        <v>180000</v>
      </c>
      <c r="T1053" s="22">
        <v>18</v>
      </c>
      <c r="U1053" s="64">
        <f t="shared" si="199"/>
        <v>32400</v>
      </c>
      <c r="V1053" s="22">
        <v>0</v>
      </c>
      <c r="W1053" s="22">
        <v>212400</v>
      </c>
      <c r="X1053" s="62" t="s">
        <v>793</v>
      </c>
      <c r="Y1053" s="62"/>
      <c r="Z1053" s="62"/>
      <c r="AA1053" s="65" t="s">
        <v>808</v>
      </c>
      <c r="AB1053" s="66"/>
      <c r="AC1053" s="1" t="s">
        <v>1607</v>
      </c>
      <c r="AD1053" s="62" t="str">
        <f>VLOOKUP(X1053,'Customer List'!B:C,2,)</f>
        <v>Delhi</v>
      </c>
      <c r="AE1053" s="67"/>
      <c r="AF1053" s="6"/>
      <c r="AG1053" s="62" t="str">
        <f t="shared" ref="AG1053" si="202">IF(AF1053="", "", AF1053-R1053)</f>
        <v/>
      </c>
      <c r="AH1053" s="62" t="str">
        <f t="shared" ref="AH1053" si="203">IF(S1053="", "", TEXT(S1053, "dddd"))</f>
        <v>Monday</v>
      </c>
      <c r="AI1053" s="62" t="str">
        <f t="shared" ref="AI1053" si="204">IF(AF1053="", "", TEXT(AF1053, "dddd"))</f>
        <v/>
      </c>
      <c r="AJ1053" s="62" t="str">
        <f>VLOOKUP(AC1053,'Currency Sheet'!A:C,3,)</f>
        <v>INR</v>
      </c>
      <c r="AK1053" s="62" t="str">
        <f>VLOOKUP(X1053,'Customer List'!B:D,3,)</f>
        <v>Local</v>
      </c>
    </row>
    <row r="1054" spans="1:37" x14ac:dyDescent="0.25">
      <c r="A1054" s="62">
        <f t="shared" si="195"/>
        <v>1038</v>
      </c>
      <c r="B1054" s="62" t="s">
        <v>1607</v>
      </c>
      <c r="C1054" s="62" t="s">
        <v>2567</v>
      </c>
      <c r="D1054" s="6">
        <v>46148</v>
      </c>
      <c r="E1054" s="6">
        <v>46160</v>
      </c>
      <c r="F1054" s="63">
        <v>5740</v>
      </c>
      <c r="G1054" s="64">
        <f t="shared" ref="G1054:G1056" si="205">IF(AJ1054="DOLLAR",F1054*88,F1054)</f>
        <v>5740</v>
      </c>
      <c r="H1054" s="64">
        <f t="shared" ref="H1054:H1056" si="206">G1054*M1054</f>
        <v>5740</v>
      </c>
      <c r="I1054" s="70" t="s">
        <v>2569</v>
      </c>
      <c r="J1054" s="62"/>
      <c r="K1054" s="8">
        <v>255101167</v>
      </c>
      <c r="L1054" s="10"/>
      <c r="M1054" s="62">
        <v>1</v>
      </c>
      <c r="N1054" s="8">
        <v>1</v>
      </c>
      <c r="O1054" s="62">
        <f t="shared" si="198"/>
        <v>0</v>
      </c>
      <c r="P1054" s="70">
        <v>326</v>
      </c>
      <c r="Q1054" s="71">
        <v>46161</v>
      </c>
      <c r="R1054" s="6">
        <v>46161</v>
      </c>
      <c r="S1054" s="64">
        <v>6505.33</v>
      </c>
      <c r="T1054" s="22">
        <v>18</v>
      </c>
      <c r="U1054" s="64">
        <f t="shared" ref="U1054:U1056" si="207">S1054*T1054%</f>
        <v>1170.9594</v>
      </c>
      <c r="V1054" s="22">
        <v>-0.35</v>
      </c>
      <c r="W1054" s="22">
        <v>47261</v>
      </c>
      <c r="X1054" s="62" t="s">
        <v>2597</v>
      </c>
      <c r="Y1054" s="62">
        <v>58165685314</v>
      </c>
      <c r="Z1054" s="62" t="s">
        <v>1112</v>
      </c>
      <c r="AA1054" s="65" t="s">
        <v>808</v>
      </c>
      <c r="AB1054" s="66"/>
      <c r="AC1054" s="1" t="s">
        <v>1607</v>
      </c>
      <c r="AD1054" s="62" t="e">
        <f>VLOOKUP(X1054,'Customer List'!B:C,2,)</f>
        <v>#N/A</v>
      </c>
      <c r="AE1054" s="67"/>
      <c r="AF1054" s="6">
        <v>46163</v>
      </c>
      <c r="AG1054" s="62">
        <f t="shared" ref="AG1054:AG1056" si="208">IF(AF1054="", "", AF1054-R1054)</f>
        <v>2</v>
      </c>
      <c r="AH1054" s="62" t="str">
        <f t="shared" ref="AH1054:AH1056" si="209">IF(S1054="", "", TEXT(S1054, "dddd"))</f>
        <v>Monday</v>
      </c>
      <c r="AI1054" s="62" t="str">
        <f t="shared" ref="AI1054:AI1056" si="210">IF(AF1054="", "", TEXT(AF1054, "dddd"))</f>
        <v>Thursday</v>
      </c>
      <c r="AJ1054" s="62" t="str">
        <f>VLOOKUP(AC1054,'Currency Sheet'!A:C,3,)</f>
        <v>INR</v>
      </c>
      <c r="AK1054" s="62" t="e">
        <f>VLOOKUP(X1054,'Customer List'!B:D,3,)</f>
        <v>#N/A</v>
      </c>
    </row>
    <row r="1055" spans="1:37" x14ac:dyDescent="0.25">
      <c r="A1055" s="62">
        <f t="shared" si="195"/>
        <v>1039</v>
      </c>
      <c r="B1055" s="62" t="s">
        <v>1607</v>
      </c>
      <c r="C1055" s="62" t="s">
        <v>2567</v>
      </c>
      <c r="D1055" s="6">
        <v>46148</v>
      </c>
      <c r="E1055" s="6">
        <v>46160</v>
      </c>
      <c r="F1055" s="63">
        <v>16280</v>
      </c>
      <c r="G1055" s="64">
        <f t="shared" si="205"/>
        <v>16280</v>
      </c>
      <c r="H1055" s="64">
        <f t="shared" si="206"/>
        <v>32560</v>
      </c>
      <c r="I1055" s="70" t="s">
        <v>2570</v>
      </c>
      <c r="J1055" s="62"/>
      <c r="K1055" s="8">
        <v>255101607</v>
      </c>
      <c r="L1055" s="10"/>
      <c r="M1055" s="62">
        <v>2</v>
      </c>
      <c r="N1055" s="8">
        <v>2</v>
      </c>
      <c r="O1055" s="62">
        <f t="shared" si="198"/>
        <v>0</v>
      </c>
      <c r="P1055" s="70">
        <v>326</v>
      </c>
      <c r="Q1055" s="71">
        <v>46161</v>
      </c>
      <c r="R1055" s="6">
        <v>46161</v>
      </c>
      <c r="S1055" s="64">
        <v>33546.660000000003</v>
      </c>
      <c r="T1055" s="22">
        <v>18</v>
      </c>
      <c r="U1055" s="64">
        <f t="shared" si="207"/>
        <v>6038.3988000000008</v>
      </c>
      <c r="V1055" s="22">
        <v>0</v>
      </c>
      <c r="W1055" s="22">
        <v>47261</v>
      </c>
      <c r="X1055" s="62" t="s">
        <v>2597</v>
      </c>
      <c r="Y1055" s="62">
        <v>58165685314</v>
      </c>
      <c r="Z1055" s="62" t="s">
        <v>1112</v>
      </c>
      <c r="AA1055" s="65" t="s">
        <v>808</v>
      </c>
      <c r="AB1055" s="66"/>
      <c r="AC1055" s="1" t="s">
        <v>1607</v>
      </c>
      <c r="AD1055" s="62" t="e">
        <f>VLOOKUP(X1055,'Customer List'!B:C,2,)</f>
        <v>#N/A</v>
      </c>
      <c r="AE1055" s="67"/>
      <c r="AF1055" s="6">
        <v>46163</v>
      </c>
      <c r="AG1055" s="62">
        <f t="shared" si="208"/>
        <v>2</v>
      </c>
      <c r="AH1055" s="62" t="str">
        <f t="shared" si="209"/>
        <v>Monday</v>
      </c>
      <c r="AI1055" s="62" t="str">
        <f t="shared" si="210"/>
        <v>Thursday</v>
      </c>
      <c r="AJ1055" s="62" t="str">
        <f>VLOOKUP(AC1055,'Currency Sheet'!A:C,3,)</f>
        <v>INR</v>
      </c>
      <c r="AK1055" s="62" t="e">
        <f>VLOOKUP(X1055,'Customer List'!B:D,3,)</f>
        <v>#N/A</v>
      </c>
    </row>
    <row r="1056" spans="1:37" hidden="1" x14ac:dyDescent="0.25">
      <c r="A1056" s="62">
        <f t="shared" si="195"/>
        <v>1040</v>
      </c>
      <c r="B1056" s="62" t="s">
        <v>1607</v>
      </c>
      <c r="C1056" s="62" t="s">
        <v>2567</v>
      </c>
      <c r="D1056" s="6">
        <v>46148</v>
      </c>
      <c r="E1056" s="6">
        <v>46160</v>
      </c>
      <c r="F1056" s="63">
        <v>2800</v>
      </c>
      <c r="G1056" s="64">
        <f t="shared" si="205"/>
        <v>2800</v>
      </c>
      <c r="H1056" s="64">
        <f t="shared" si="206"/>
        <v>14000</v>
      </c>
      <c r="I1056" s="70" t="s">
        <v>2571</v>
      </c>
      <c r="J1056" s="62"/>
      <c r="K1056" s="8">
        <v>260110103</v>
      </c>
      <c r="L1056" s="10"/>
      <c r="M1056" s="62">
        <v>5</v>
      </c>
      <c r="N1056" s="8"/>
      <c r="O1056" s="62">
        <f t="shared" si="198"/>
        <v>5</v>
      </c>
      <c r="P1056" s="70"/>
      <c r="Q1056" s="71"/>
      <c r="R1056" s="6"/>
      <c r="S1056" s="64"/>
      <c r="T1056" s="22">
        <v>18</v>
      </c>
      <c r="U1056" s="64">
        <f t="shared" si="207"/>
        <v>0</v>
      </c>
      <c r="V1056" s="22"/>
      <c r="W1056" s="22"/>
      <c r="X1056" s="62" t="s">
        <v>257</v>
      </c>
      <c r="Y1056" s="62"/>
      <c r="Z1056" s="62"/>
      <c r="AA1056" s="65" t="s">
        <v>808</v>
      </c>
      <c r="AB1056" s="66"/>
      <c r="AC1056" s="1" t="s">
        <v>1607</v>
      </c>
      <c r="AD1056" s="62" t="str">
        <f>VLOOKUP(X1056,'Customer List'!B:C,2,)</f>
        <v>STOCK</v>
      </c>
      <c r="AE1056" s="67"/>
      <c r="AF1056" s="6"/>
      <c r="AG1056" s="62" t="str">
        <f t="shared" si="208"/>
        <v/>
      </c>
      <c r="AH1056" s="62" t="str">
        <f t="shared" si="209"/>
        <v/>
      </c>
      <c r="AI1056" s="62" t="str">
        <f t="shared" si="210"/>
        <v/>
      </c>
      <c r="AJ1056" s="62" t="str">
        <f>VLOOKUP(AC1056,'Currency Sheet'!A:C,3,)</f>
        <v>INR</v>
      </c>
      <c r="AK1056" s="62" t="str">
        <f>VLOOKUP(X1056,'Customer List'!B:D,3,)</f>
        <v>STOCK</v>
      </c>
    </row>
    <row r="1057" spans="1:37" hidden="1" x14ac:dyDescent="0.25">
      <c r="A1057" s="62">
        <f t="shared" si="195"/>
        <v>1041</v>
      </c>
      <c r="B1057" s="62" t="s">
        <v>1607</v>
      </c>
      <c r="C1057" s="62" t="s">
        <v>2572</v>
      </c>
      <c r="D1057" s="6">
        <v>46155</v>
      </c>
      <c r="E1057" s="6">
        <v>46160</v>
      </c>
      <c r="F1057" s="63">
        <v>12680</v>
      </c>
      <c r="G1057" s="64">
        <f t="shared" ref="G1057" si="211">IF(AJ1057="DOLLAR",F1057*88,F1057)</f>
        <v>12680</v>
      </c>
      <c r="H1057" s="64">
        <f t="shared" ref="H1057" si="212">G1057*M1057</f>
        <v>12680</v>
      </c>
      <c r="I1057" s="70" t="s">
        <v>2573</v>
      </c>
      <c r="J1057" s="62"/>
      <c r="K1057" s="8">
        <v>2603076</v>
      </c>
      <c r="L1057" s="10"/>
      <c r="M1057" s="62">
        <v>1</v>
      </c>
      <c r="N1057" s="8"/>
      <c r="O1057" s="62">
        <f t="shared" si="198"/>
        <v>1</v>
      </c>
      <c r="P1057" s="70"/>
      <c r="Q1057" s="71"/>
      <c r="R1057" s="6"/>
      <c r="S1057" s="64"/>
      <c r="T1057" s="22">
        <v>18</v>
      </c>
      <c r="U1057" s="64">
        <f t="shared" ref="U1057:U1058" si="213">S1057*T1057%</f>
        <v>0</v>
      </c>
      <c r="V1057" s="22"/>
      <c r="W1057" s="22"/>
      <c r="X1057" s="62" t="s">
        <v>257</v>
      </c>
      <c r="Y1057" s="62"/>
      <c r="Z1057" s="62"/>
      <c r="AA1057" s="65" t="s">
        <v>808</v>
      </c>
      <c r="AB1057" s="66"/>
      <c r="AC1057" s="1" t="s">
        <v>1607</v>
      </c>
      <c r="AD1057" s="62" t="str">
        <f>VLOOKUP(X1057,'Customer List'!B:C,2,)</f>
        <v>STOCK</v>
      </c>
      <c r="AE1057" s="67"/>
      <c r="AF1057" s="6"/>
      <c r="AG1057" s="62" t="str">
        <f t="shared" ref="AG1057:AG1058" si="214">IF(AF1057="", "", AF1057-R1057)</f>
        <v/>
      </c>
      <c r="AH1057" s="62" t="str">
        <f t="shared" ref="AH1057:AH1058" si="215">IF(S1057="", "", TEXT(S1057, "dddd"))</f>
        <v/>
      </c>
      <c r="AI1057" s="62" t="str">
        <f t="shared" ref="AI1057:AI1058" si="216">IF(AF1057="", "", TEXT(AF1057, "dddd"))</f>
        <v/>
      </c>
      <c r="AJ1057" s="62" t="str">
        <f>VLOOKUP(AC1057,'Currency Sheet'!A:C,3,)</f>
        <v>INR</v>
      </c>
      <c r="AK1057" s="62" t="str">
        <f>VLOOKUP(X1057,'Customer List'!B:D,3,)</f>
        <v>STOCK</v>
      </c>
    </row>
    <row r="1058" spans="1:37" hidden="1" x14ac:dyDescent="0.25">
      <c r="A1058" s="62">
        <f t="shared" si="195"/>
        <v>1042</v>
      </c>
      <c r="B1058" s="62" t="s">
        <v>1607</v>
      </c>
      <c r="C1058" s="62" t="s">
        <v>2572</v>
      </c>
      <c r="D1058" s="6">
        <v>46155</v>
      </c>
      <c r="E1058" s="6">
        <v>46160</v>
      </c>
      <c r="F1058" s="63">
        <v>4410</v>
      </c>
      <c r="G1058" s="64">
        <f t="shared" ref="G1058:G1059" si="217">IF(AJ1058="DOLLAR",F1058*88,F1058)</f>
        <v>4410</v>
      </c>
      <c r="H1058" s="64">
        <f t="shared" ref="H1058:H1059" si="218">G1058*M1058</f>
        <v>4410</v>
      </c>
      <c r="I1058" s="70" t="s">
        <v>2574</v>
      </c>
      <c r="J1058" s="62"/>
      <c r="K1058" s="8">
        <v>2605009203</v>
      </c>
      <c r="L1058" s="10"/>
      <c r="M1058" s="62">
        <v>1</v>
      </c>
      <c r="N1058" s="8"/>
      <c r="O1058" s="62">
        <f t="shared" si="198"/>
        <v>1</v>
      </c>
      <c r="P1058" s="70"/>
      <c r="Q1058" s="71"/>
      <c r="R1058" s="6"/>
      <c r="S1058" s="64"/>
      <c r="T1058" s="22">
        <v>18</v>
      </c>
      <c r="U1058" s="64">
        <f t="shared" si="213"/>
        <v>0</v>
      </c>
      <c r="V1058" s="22"/>
      <c r="W1058" s="22"/>
      <c r="X1058" s="62" t="s">
        <v>257</v>
      </c>
      <c r="Y1058" s="62"/>
      <c r="Z1058" s="62"/>
      <c r="AA1058" s="65" t="s">
        <v>808</v>
      </c>
      <c r="AB1058" s="66"/>
      <c r="AC1058" s="1" t="s">
        <v>1607</v>
      </c>
      <c r="AD1058" s="62" t="str">
        <f>VLOOKUP(X1058,'Customer List'!B:C,2,)</f>
        <v>STOCK</v>
      </c>
      <c r="AE1058" s="67"/>
      <c r="AF1058" s="6"/>
      <c r="AG1058" s="62" t="str">
        <f t="shared" si="214"/>
        <v/>
      </c>
      <c r="AH1058" s="62" t="str">
        <f t="shared" si="215"/>
        <v/>
      </c>
      <c r="AI1058" s="62" t="str">
        <f t="shared" si="216"/>
        <v/>
      </c>
      <c r="AJ1058" s="62" t="str">
        <f>VLOOKUP(AC1058,'Currency Sheet'!A:C,3,)</f>
        <v>INR</v>
      </c>
      <c r="AK1058" s="62" t="str">
        <f>VLOOKUP(X1058,'Customer List'!B:D,3,)</f>
        <v>STOCK</v>
      </c>
    </row>
    <row r="1059" spans="1:37" hidden="1" x14ac:dyDescent="0.25">
      <c r="A1059" s="62">
        <f t="shared" si="195"/>
        <v>1043</v>
      </c>
      <c r="B1059" s="62" t="s">
        <v>1607</v>
      </c>
      <c r="C1059" s="62" t="s">
        <v>2572</v>
      </c>
      <c r="D1059" s="6">
        <v>46155</v>
      </c>
      <c r="E1059" s="6">
        <v>46160</v>
      </c>
      <c r="F1059" s="63">
        <v>3680</v>
      </c>
      <c r="G1059" s="64">
        <f t="shared" si="217"/>
        <v>3680</v>
      </c>
      <c r="H1059" s="64">
        <f t="shared" si="218"/>
        <v>3680</v>
      </c>
      <c r="I1059" s="70" t="s">
        <v>2575</v>
      </c>
      <c r="J1059" s="62"/>
      <c r="K1059" s="8" t="s">
        <v>2576</v>
      </c>
      <c r="L1059" s="10"/>
      <c r="M1059" s="62">
        <v>1</v>
      </c>
      <c r="N1059" s="8"/>
      <c r="O1059" s="62">
        <f t="shared" si="198"/>
        <v>1</v>
      </c>
      <c r="P1059" s="70"/>
      <c r="Q1059" s="71"/>
      <c r="R1059" s="6"/>
      <c r="S1059" s="64"/>
      <c r="T1059" s="22">
        <v>18</v>
      </c>
      <c r="U1059" s="64">
        <f t="shared" ref="U1059:U1060" si="219">S1059*T1059%</f>
        <v>0</v>
      </c>
      <c r="V1059" s="22"/>
      <c r="W1059" s="22"/>
      <c r="X1059" s="62" t="s">
        <v>257</v>
      </c>
      <c r="Y1059" s="62"/>
      <c r="Z1059" s="62"/>
      <c r="AA1059" s="65" t="s">
        <v>808</v>
      </c>
      <c r="AB1059" s="66"/>
      <c r="AC1059" s="1" t="s">
        <v>1607</v>
      </c>
      <c r="AD1059" s="62" t="str">
        <f>VLOOKUP(X1059,'Customer List'!B:C,2,)</f>
        <v>STOCK</v>
      </c>
      <c r="AE1059" s="67"/>
      <c r="AF1059" s="6"/>
      <c r="AG1059" s="62" t="str">
        <f t="shared" ref="AG1059:AG1060" si="220">IF(AF1059="", "", AF1059-R1059)</f>
        <v/>
      </c>
      <c r="AH1059" s="62" t="str">
        <f t="shared" ref="AH1059:AH1060" si="221">IF(S1059="", "", TEXT(S1059, "dddd"))</f>
        <v/>
      </c>
      <c r="AI1059" s="62" t="str">
        <f t="shared" ref="AI1059:AI1060" si="222">IF(AF1059="", "", TEXT(AF1059, "dddd"))</f>
        <v/>
      </c>
      <c r="AJ1059" s="62" t="str">
        <f>VLOOKUP(AC1059,'Currency Sheet'!A:C,3,)</f>
        <v>INR</v>
      </c>
      <c r="AK1059" s="62" t="str">
        <f>VLOOKUP(X1059,'Customer List'!B:D,3,)</f>
        <v>STOCK</v>
      </c>
    </row>
    <row r="1060" spans="1:37" hidden="1" x14ac:dyDescent="0.25">
      <c r="A1060" s="62">
        <f t="shared" si="195"/>
        <v>1044</v>
      </c>
      <c r="B1060" s="62" t="s">
        <v>1607</v>
      </c>
      <c r="C1060" s="62" t="s">
        <v>2572</v>
      </c>
      <c r="D1060" s="6">
        <v>46155</v>
      </c>
      <c r="E1060" s="6">
        <v>46160</v>
      </c>
      <c r="F1060" s="63">
        <v>17630</v>
      </c>
      <c r="G1060" s="64">
        <f t="shared" ref="G1060" si="223">IF(AJ1060="DOLLAR",F1060*88,F1060)</f>
        <v>17630</v>
      </c>
      <c r="H1060" s="64">
        <f t="shared" ref="H1060" si="224">G1060*M1060</f>
        <v>17630</v>
      </c>
      <c r="I1060" s="70" t="s">
        <v>2577</v>
      </c>
      <c r="J1060" s="62"/>
      <c r="K1060" s="8">
        <v>2601036</v>
      </c>
      <c r="L1060" s="10"/>
      <c r="M1060" s="62">
        <v>1</v>
      </c>
      <c r="N1060" s="8"/>
      <c r="O1060" s="62">
        <f t="shared" si="198"/>
        <v>1</v>
      </c>
      <c r="P1060" s="70"/>
      <c r="Q1060" s="71"/>
      <c r="R1060" s="6"/>
      <c r="S1060" s="64"/>
      <c r="T1060" s="22">
        <v>18</v>
      </c>
      <c r="U1060" s="64">
        <f t="shared" si="219"/>
        <v>0</v>
      </c>
      <c r="V1060" s="22"/>
      <c r="W1060" s="22"/>
      <c r="X1060" s="62" t="s">
        <v>257</v>
      </c>
      <c r="Y1060" s="62"/>
      <c r="Z1060" s="62"/>
      <c r="AA1060" s="65" t="s">
        <v>808</v>
      </c>
      <c r="AB1060" s="66"/>
      <c r="AC1060" s="1" t="s">
        <v>1607</v>
      </c>
      <c r="AD1060" s="62" t="str">
        <f>VLOOKUP(X1060,'Customer List'!B:C,2,)</f>
        <v>STOCK</v>
      </c>
      <c r="AE1060" s="67"/>
      <c r="AF1060" s="6"/>
      <c r="AG1060" s="62" t="str">
        <f t="shared" si="220"/>
        <v/>
      </c>
      <c r="AH1060" s="62" t="str">
        <f t="shared" si="221"/>
        <v/>
      </c>
      <c r="AI1060" s="62" t="str">
        <f t="shared" si="222"/>
        <v/>
      </c>
      <c r="AJ1060" s="62" t="str">
        <f>VLOOKUP(AC1060,'Currency Sheet'!A:C,3,)</f>
        <v>INR</v>
      </c>
      <c r="AK1060" s="62" t="str">
        <f>VLOOKUP(X1060,'Customer List'!B:D,3,)</f>
        <v>STOCK</v>
      </c>
    </row>
    <row r="1061" spans="1:37" hidden="1" x14ac:dyDescent="0.25">
      <c r="A1061" s="62">
        <f t="shared" si="195"/>
        <v>1045</v>
      </c>
      <c r="B1061" s="62" t="s">
        <v>1607</v>
      </c>
      <c r="C1061" s="62" t="s">
        <v>2572</v>
      </c>
      <c r="D1061" s="6">
        <v>46155</v>
      </c>
      <c r="E1061" s="6">
        <v>46160</v>
      </c>
      <c r="F1061" s="63">
        <v>278110</v>
      </c>
      <c r="G1061" s="64">
        <f t="shared" ref="G1061:G1062" si="225">IF(AJ1061="DOLLAR",F1061*88,F1061)</f>
        <v>278110</v>
      </c>
      <c r="H1061" s="64">
        <f t="shared" ref="H1061:H1062" si="226">G1061*M1061</f>
        <v>278110</v>
      </c>
      <c r="I1061" s="70" t="s">
        <v>2578</v>
      </c>
      <c r="J1061" s="62"/>
      <c r="K1061" s="8">
        <v>47602970</v>
      </c>
      <c r="L1061" s="10"/>
      <c r="M1061" s="62">
        <v>1</v>
      </c>
      <c r="N1061" s="8"/>
      <c r="O1061" s="62">
        <f t="shared" ref="O1061:O1066" si="227">M1061-N1061</f>
        <v>1</v>
      </c>
      <c r="P1061" s="70"/>
      <c r="Q1061" s="71"/>
      <c r="R1061" s="6"/>
      <c r="S1061" s="64"/>
      <c r="T1061" s="22">
        <v>18</v>
      </c>
      <c r="U1061" s="64">
        <f t="shared" ref="U1061:U1066" si="228">S1061*T1061%</f>
        <v>0</v>
      </c>
      <c r="V1061" s="22"/>
      <c r="W1061" s="22"/>
      <c r="X1061" s="62" t="s">
        <v>257</v>
      </c>
      <c r="Y1061" s="62"/>
      <c r="Z1061" s="62"/>
      <c r="AA1061" s="65" t="s">
        <v>808</v>
      </c>
      <c r="AB1061" s="66"/>
      <c r="AC1061" s="1" t="s">
        <v>1607</v>
      </c>
      <c r="AD1061" s="62" t="str">
        <f>VLOOKUP(X1061,'Customer List'!B:C,2,)</f>
        <v>STOCK</v>
      </c>
      <c r="AE1061" s="67"/>
      <c r="AF1061" s="6"/>
      <c r="AG1061" s="62" t="str">
        <f t="shared" ref="AG1061:AG1062" si="229">IF(AF1061="", "", AF1061-R1061)</f>
        <v/>
      </c>
      <c r="AH1061" s="62" t="str">
        <f t="shared" ref="AH1061:AH1062" si="230">IF(S1061="", "", TEXT(S1061, "dddd"))</f>
        <v/>
      </c>
      <c r="AI1061" s="62" t="str">
        <f t="shared" ref="AI1061:AI1062" si="231">IF(AF1061="", "", TEXT(AF1061, "dddd"))</f>
        <v/>
      </c>
      <c r="AJ1061" s="62" t="str">
        <f>VLOOKUP(AC1061,'Currency Sheet'!A:C,3,)</f>
        <v>INR</v>
      </c>
      <c r="AK1061" s="62" t="str">
        <f>VLOOKUP(X1061,'Customer List'!B:D,3,)</f>
        <v>STOCK</v>
      </c>
    </row>
    <row r="1062" spans="1:37" hidden="1" x14ac:dyDescent="0.25">
      <c r="A1062" s="62">
        <f t="shared" si="195"/>
        <v>1046</v>
      </c>
      <c r="B1062" s="62" t="s">
        <v>1607</v>
      </c>
      <c r="C1062" s="62" t="s">
        <v>2572</v>
      </c>
      <c r="D1062" s="6">
        <v>46155</v>
      </c>
      <c r="E1062" s="6">
        <v>46160</v>
      </c>
      <c r="F1062" s="63">
        <v>13490</v>
      </c>
      <c r="G1062" s="64">
        <f t="shared" si="225"/>
        <v>13490</v>
      </c>
      <c r="H1062" s="64">
        <f t="shared" si="226"/>
        <v>13490</v>
      </c>
      <c r="I1062" s="70" t="s">
        <v>2579</v>
      </c>
      <c r="J1062" s="62"/>
      <c r="K1062" s="8" t="s">
        <v>2580</v>
      </c>
      <c r="L1062" s="10"/>
      <c r="M1062" s="62">
        <v>1</v>
      </c>
      <c r="N1062" s="8"/>
      <c r="O1062" s="62">
        <f t="shared" si="227"/>
        <v>1</v>
      </c>
      <c r="P1062" s="70"/>
      <c r="Q1062" s="71"/>
      <c r="R1062" s="6"/>
      <c r="S1062" s="64"/>
      <c r="T1062" s="22">
        <v>18</v>
      </c>
      <c r="U1062" s="64">
        <f t="shared" si="228"/>
        <v>0</v>
      </c>
      <c r="V1062" s="22"/>
      <c r="W1062" s="22"/>
      <c r="X1062" s="62" t="s">
        <v>257</v>
      </c>
      <c r="Y1062" s="62"/>
      <c r="Z1062" s="62"/>
      <c r="AA1062" s="65" t="s">
        <v>808</v>
      </c>
      <c r="AB1062" s="66"/>
      <c r="AC1062" s="1" t="s">
        <v>1607</v>
      </c>
      <c r="AD1062" s="62" t="str">
        <f>VLOOKUP(X1062,'Customer List'!B:C,2,)</f>
        <v>STOCK</v>
      </c>
      <c r="AE1062" s="67"/>
      <c r="AF1062" s="6"/>
      <c r="AG1062" s="62" t="str">
        <f t="shared" si="229"/>
        <v/>
      </c>
      <c r="AH1062" s="62" t="str">
        <f t="shared" si="230"/>
        <v/>
      </c>
      <c r="AI1062" s="62" t="str">
        <f t="shared" si="231"/>
        <v/>
      </c>
      <c r="AJ1062" s="62" t="str">
        <f>VLOOKUP(AC1062,'Currency Sheet'!A:C,3,)</f>
        <v>INR</v>
      </c>
      <c r="AK1062" s="62" t="str">
        <f>VLOOKUP(X1062,'Customer List'!B:D,3,)</f>
        <v>STOCK</v>
      </c>
    </row>
    <row r="1063" spans="1:37" hidden="1" x14ac:dyDescent="0.25">
      <c r="A1063" s="62">
        <f t="shared" si="195"/>
        <v>1047</v>
      </c>
      <c r="B1063" s="62" t="s">
        <v>1663</v>
      </c>
      <c r="C1063" s="62" t="s">
        <v>2581</v>
      </c>
      <c r="D1063" s="6">
        <v>46157</v>
      </c>
      <c r="E1063" s="6">
        <v>46161</v>
      </c>
      <c r="F1063" s="63">
        <v>124.8</v>
      </c>
      <c r="G1063" s="64">
        <f t="shared" ref="G1063:G1066" si="232">IF(AJ1063="DOLLAR",F1063*88,F1063)</f>
        <v>10982.4</v>
      </c>
      <c r="H1063" s="64">
        <f t="shared" ref="H1063:H1066" si="233">G1063*M1063</f>
        <v>10982.4</v>
      </c>
      <c r="I1063" s="70" t="s">
        <v>2582</v>
      </c>
      <c r="J1063" s="62"/>
      <c r="K1063" s="8"/>
      <c r="L1063" s="10"/>
      <c r="M1063" s="62">
        <v>1</v>
      </c>
      <c r="N1063" s="8">
        <v>1</v>
      </c>
      <c r="O1063" s="62">
        <f t="shared" si="227"/>
        <v>0</v>
      </c>
      <c r="P1063" s="70">
        <v>336</v>
      </c>
      <c r="Q1063" s="71">
        <v>46161</v>
      </c>
      <c r="R1063" s="6">
        <v>46162</v>
      </c>
      <c r="S1063" s="64">
        <v>21677.5</v>
      </c>
      <c r="T1063" s="22">
        <v>5</v>
      </c>
      <c r="U1063" s="64">
        <f t="shared" si="228"/>
        <v>1083.875</v>
      </c>
      <c r="V1063" s="22">
        <v>-0.38</v>
      </c>
      <c r="W1063" s="22">
        <v>22761</v>
      </c>
      <c r="X1063" s="62" t="s">
        <v>902</v>
      </c>
      <c r="Y1063" s="62">
        <v>58165763423</v>
      </c>
      <c r="Z1063" s="62" t="s">
        <v>1112</v>
      </c>
      <c r="AA1063" s="65">
        <v>-20</v>
      </c>
      <c r="AB1063" s="66"/>
      <c r="AC1063" s="1" t="s">
        <v>1663</v>
      </c>
      <c r="AD1063" s="62" t="str">
        <f>VLOOKUP(X1063,'Customer List'!B:C,2,)</f>
        <v>Hyderabad</v>
      </c>
      <c r="AE1063" s="67"/>
      <c r="AF1063" s="6">
        <v>46163</v>
      </c>
      <c r="AG1063" s="62">
        <f t="shared" ref="AG1063:AG1066" si="234">IF(AF1063="", "", AF1063-R1063)</f>
        <v>1</v>
      </c>
      <c r="AH1063" s="62" t="str">
        <f t="shared" ref="AH1063:AH1066" si="235">IF(S1063="", "", TEXT(S1063, "dddd"))</f>
        <v>Thursday</v>
      </c>
      <c r="AI1063" s="62" t="str">
        <f t="shared" ref="AI1063:AI1066" si="236">IF(AF1063="", "", TEXT(AF1063, "dddd"))</f>
        <v>Thursday</v>
      </c>
      <c r="AJ1063" s="62" t="str">
        <f>VLOOKUP(AC1063,'Currency Sheet'!A:C,3,)</f>
        <v>DOLLAR</v>
      </c>
      <c r="AK1063" s="62" t="str">
        <f>VLOOKUP(X1063,'Customer List'!B:D,3,)</f>
        <v>OutStation</v>
      </c>
    </row>
    <row r="1064" spans="1:37" hidden="1" x14ac:dyDescent="0.25">
      <c r="A1064" s="62">
        <f t="shared" si="195"/>
        <v>1048</v>
      </c>
      <c r="B1064" s="62" t="s">
        <v>1663</v>
      </c>
      <c r="C1064" s="62" t="s">
        <v>2581</v>
      </c>
      <c r="D1064" s="6">
        <v>46157</v>
      </c>
      <c r="E1064" s="6">
        <v>46161</v>
      </c>
      <c r="F1064" s="63">
        <v>18</v>
      </c>
      <c r="G1064" s="64">
        <f t="shared" si="232"/>
        <v>1584</v>
      </c>
      <c r="H1064" s="64">
        <f t="shared" si="233"/>
        <v>1584</v>
      </c>
      <c r="I1064" s="70" t="s">
        <v>2583</v>
      </c>
      <c r="J1064" s="62"/>
      <c r="K1064" s="8"/>
      <c r="L1064" s="10"/>
      <c r="M1064" s="62">
        <v>1</v>
      </c>
      <c r="N1064" s="8">
        <v>1</v>
      </c>
      <c r="O1064" s="62">
        <f t="shared" si="227"/>
        <v>0</v>
      </c>
      <c r="P1064" s="70">
        <v>395</v>
      </c>
      <c r="Q1064" s="71">
        <v>46168</v>
      </c>
      <c r="R1064" s="6">
        <v>46168</v>
      </c>
      <c r="S1064" s="64">
        <v>3480</v>
      </c>
      <c r="T1064" s="22">
        <v>5</v>
      </c>
      <c r="U1064" s="64">
        <f t="shared" si="228"/>
        <v>174</v>
      </c>
      <c r="V1064" s="22">
        <v>0</v>
      </c>
      <c r="W1064" s="22">
        <v>29213.88</v>
      </c>
      <c r="X1064" s="62" t="s">
        <v>800</v>
      </c>
      <c r="Y1064" s="62" t="s">
        <v>1120</v>
      </c>
      <c r="Z1064" s="62" t="s">
        <v>821</v>
      </c>
      <c r="AA1064" s="65">
        <v>-20</v>
      </c>
      <c r="AB1064" s="66"/>
      <c r="AC1064" s="1" t="s">
        <v>1663</v>
      </c>
      <c r="AD1064" s="62" t="str">
        <f>VLOOKUP(X1064,'Customer List'!B:C,2,)</f>
        <v>Delhi</v>
      </c>
      <c r="AE1064" s="67"/>
      <c r="AF1064" s="6"/>
      <c r="AG1064" s="62" t="str">
        <f t="shared" si="234"/>
        <v/>
      </c>
      <c r="AH1064" s="62" t="str">
        <f t="shared" si="235"/>
        <v>Sunday</v>
      </c>
      <c r="AI1064" s="62" t="str">
        <f t="shared" si="236"/>
        <v/>
      </c>
      <c r="AJ1064" s="62" t="str">
        <f>VLOOKUP(AC1064,'Currency Sheet'!A:C,3,)</f>
        <v>DOLLAR</v>
      </c>
      <c r="AK1064" s="62" t="str">
        <f>VLOOKUP(X1064,'Customer List'!B:D,3,)</f>
        <v>Local</v>
      </c>
    </row>
    <row r="1065" spans="1:37" hidden="1" x14ac:dyDescent="0.25">
      <c r="A1065" s="62">
        <f t="shared" si="195"/>
        <v>1049</v>
      </c>
      <c r="B1065" s="62" t="s">
        <v>1663</v>
      </c>
      <c r="C1065" s="62" t="s">
        <v>2581</v>
      </c>
      <c r="D1065" s="6">
        <v>46157</v>
      </c>
      <c r="E1065" s="6">
        <v>46161</v>
      </c>
      <c r="F1065" s="63">
        <v>126</v>
      </c>
      <c r="G1065" s="64">
        <f t="shared" si="232"/>
        <v>11088</v>
      </c>
      <c r="H1065" s="64">
        <f t="shared" si="233"/>
        <v>11088</v>
      </c>
      <c r="I1065" s="70" t="s">
        <v>2584</v>
      </c>
      <c r="J1065" s="62"/>
      <c r="K1065" s="8"/>
      <c r="L1065" s="10"/>
      <c r="M1065" s="62">
        <v>1</v>
      </c>
      <c r="N1065" s="8">
        <v>1</v>
      </c>
      <c r="O1065" s="62">
        <f t="shared" si="227"/>
        <v>0</v>
      </c>
      <c r="P1065" s="70">
        <v>395</v>
      </c>
      <c r="Q1065" s="71">
        <v>46168</v>
      </c>
      <c r="R1065" s="6">
        <v>46168</v>
      </c>
      <c r="S1065" s="64">
        <v>6380</v>
      </c>
      <c r="T1065" s="22">
        <v>5</v>
      </c>
      <c r="U1065" s="64">
        <f t="shared" si="228"/>
        <v>319</v>
      </c>
      <c r="V1065" s="22">
        <v>0</v>
      </c>
      <c r="W1065" s="22">
        <v>29213.88</v>
      </c>
      <c r="X1065" s="62" t="s">
        <v>800</v>
      </c>
      <c r="Y1065" s="62" t="s">
        <v>1120</v>
      </c>
      <c r="Z1065" s="62" t="s">
        <v>821</v>
      </c>
      <c r="AA1065" s="65">
        <v>-20</v>
      </c>
      <c r="AB1065" s="66" t="s">
        <v>2896</v>
      </c>
      <c r="AC1065" s="1" t="s">
        <v>1663</v>
      </c>
      <c r="AD1065" s="62" t="str">
        <f>VLOOKUP(X1065,'Customer List'!B:C,2,)</f>
        <v>Delhi</v>
      </c>
      <c r="AE1065" s="67"/>
      <c r="AF1065" s="6"/>
      <c r="AG1065" s="62" t="str">
        <f t="shared" si="234"/>
        <v/>
      </c>
      <c r="AH1065" s="62" t="str">
        <f t="shared" si="235"/>
        <v>Tuesday</v>
      </c>
      <c r="AI1065" s="62" t="str">
        <f t="shared" si="236"/>
        <v/>
      </c>
      <c r="AJ1065" s="62" t="str">
        <f>VLOOKUP(AC1065,'Currency Sheet'!A:C,3,)</f>
        <v>DOLLAR</v>
      </c>
      <c r="AK1065" s="62" t="str">
        <f>VLOOKUP(X1065,'Customer List'!B:D,3,)</f>
        <v>Local</v>
      </c>
    </row>
    <row r="1066" spans="1:37" hidden="1" x14ac:dyDescent="0.25">
      <c r="A1066" s="62">
        <f t="shared" si="195"/>
        <v>1050</v>
      </c>
      <c r="B1066" s="62" t="s">
        <v>1663</v>
      </c>
      <c r="C1066" s="62" t="s">
        <v>2581</v>
      </c>
      <c r="D1066" s="6">
        <v>46157</v>
      </c>
      <c r="E1066" s="6">
        <v>46161</v>
      </c>
      <c r="F1066" s="63">
        <v>29.4</v>
      </c>
      <c r="G1066" s="64">
        <f t="shared" si="232"/>
        <v>2587.1999999999998</v>
      </c>
      <c r="H1066" s="64">
        <f t="shared" si="233"/>
        <v>2587.1999999999998</v>
      </c>
      <c r="I1066" s="70" t="s">
        <v>2585</v>
      </c>
      <c r="J1066" s="62"/>
      <c r="K1066" s="8"/>
      <c r="L1066" s="10"/>
      <c r="M1066" s="62">
        <v>1</v>
      </c>
      <c r="N1066" s="8">
        <v>1</v>
      </c>
      <c r="O1066" s="62">
        <f t="shared" si="227"/>
        <v>0</v>
      </c>
      <c r="P1066" s="70">
        <v>395</v>
      </c>
      <c r="Q1066" s="71">
        <v>46168</v>
      </c>
      <c r="R1066" s="6">
        <v>46168</v>
      </c>
      <c r="S1066" s="64">
        <v>5684</v>
      </c>
      <c r="T1066" s="22">
        <v>5</v>
      </c>
      <c r="U1066" s="64">
        <f t="shared" si="228"/>
        <v>284.2</v>
      </c>
      <c r="V1066" s="22">
        <v>0</v>
      </c>
      <c r="W1066" s="22">
        <v>29213.88</v>
      </c>
      <c r="X1066" s="62" t="s">
        <v>800</v>
      </c>
      <c r="Y1066" s="62" t="s">
        <v>1120</v>
      </c>
      <c r="Z1066" s="62" t="s">
        <v>821</v>
      </c>
      <c r="AA1066" s="65">
        <v>-20</v>
      </c>
      <c r="AB1066" s="66"/>
      <c r="AC1066" s="1" t="s">
        <v>1663</v>
      </c>
      <c r="AD1066" s="62" t="str">
        <f>VLOOKUP(X1066,'Customer List'!B:C,2,)</f>
        <v>Delhi</v>
      </c>
      <c r="AE1066" s="67"/>
      <c r="AF1066" s="6"/>
      <c r="AG1066" s="62" t="str">
        <f t="shared" si="234"/>
        <v/>
      </c>
      <c r="AH1066" s="62" t="str">
        <f t="shared" si="235"/>
        <v>Saturday</v>
      </c>
      <c r="AI1066" s="62" t="str">
        <f t="shared" si="236"/>
        <v/>
      </c>
      <c r="AJ1066" s="62" t="str">
        <f>VLOOKUP(AC1066,'Currency Sheet'!A:C,3,)</f>
        <v>DOLLAR</v>
      </c>
      <c r="AK1066" s="62" t="str">
        <f>VLOOKUP(X1066,'Customer List'!B:D,3,)</f>
        <v>Local</v>
      </c>
    </row>
    <row r="1067" spans="1:37" hidden="1" x14ac:dyDescent="0.25">
      <c r="A1067" s="62">
        <f t="shared" si="195"/>
        <v>1051</v>
      </c>
      <c r="B1067" s="62" t="s">
        <v>1663</v>
      </c>
      <c r="C1067" s="62" t="s">
        <v>2586</v>
      </c>
      <c r="D1067" s="6">
        <v>46157</v>
      </c>
      <c r="E1067" s="6">
        <v>46161</v>
      </c>
      <c r="F1067" s="63">
        <v>18</v>
      </c>
      <c r="G1067" s="64">
        <f t="shared" ref="G1067:G1072" si="237">IF(AJ1067="DOLLAR",F1067*88,F1067)</f>
        <v>1584</v>
      </c>
      <c r="H1067" s="64">
        <f t="shared" ref="H1067:H1071" si="238">G1067*M1067</f>
        <v>1584</v>
      </c>
      <c r="I1067" s="70" t="s">
        <v>2587</v>
      </c>
      <c r="J1067" s="62"/>
      <c r="K1067" s="8"/>
      <c r="L1067" s="10"/>
      <c r="M1067" s="62">
        <v>1</v>
      </c>
      <c r="N1067" s="8"/>
      <c r="O1067" s="62">
        <f t="shared" ref="O1067:O1071" si="239">M1067-N1067</f>
        <v>1</v>
      </c>
      <c r="P1067" s="70"/>
      <c r="Q1067" s="71"/>
      <c r="R1067" s="6"/>
      <c r="S1067" s="64">
        <v>3480</v>
      </c>
      <c r="T1067" s="22">
        <v>5</v>
      </c>
      <c r="U1067" s="64">
        <f t="shared" ref="U1067:U1071" si="240">S1067*T1067%</f>
        <v>174</v>
      </c>
      <c r="V1067" s="22">
        <v>0</v>
      </c>
      <c r="W1067" s="22">
        <v>3654</v>
      </c>
      <c r="X1067" s="62" t="s">
        <v>792</v>
      </c>
      <c r="Y1067" s="62"/>
      <c r="Z1067" s="62"/>
      <c r="AA1067" s="65">
        <v>-20</v>
      </c>
      <c r="AB1067" s="66"/>
      <c r="AC1067" s="1" t="s">
        <v>1663</v>
      </c>
      <c r="AD1067" s="62" t="str">
        <f>VLOOKUP(X1067,'Customer List'!B:C,2,)</f>
        <v>Delhi</v>
      </c>
      <c r="AE1067" s="67"/>
      <c r="AF1067" s="6"/>
      <c r="AG1067" s="62" t="str">
        <f t="shared" ref="AG1067:AG1072" si="241">IF(AF1067="", "", AF1067-R1067)</f>
        <v/>
      </c>
      <c r="AH1067" s="62" t="str">
        <f t="shared" ref="AH1067:AH1072" si="242">IF(S1067="", "", TEXT(S1067, "dddd"))</f>
        <v>Sunday</v>
      </c>
      <c r="AI1067" s="62" t="str">
        <f t="shared" ref="AI1067:AI1072" si="243">IF(AF1067="", "", TEXT(AF1067, "dddd"))</f>
        <v/>
      </c>
      <c r="AJ1067" s="62" t="str">
        <f>VLOOKUP(AC1067,'Currency Sheet'!A:C,3,)</f>
        <v>DOLLAR</v>
      </c>
      <c r="AK1067" s="62" t="str">
        <f>VLOOKUP(X1067,'Customer List'!B:D,3,)</f>
        <v>Local</v>
      </c>
    </row>
    <row r="1068" spans="1:37" hidden="1" x14ac:dyDescent="0.25">
      <c r="A1068" s="62">
        <f t="shared" si="195"/>
        <v>1052</v>
      </c>
      <c r="B1068" s="62" t="s">
        <v>1663</v>
      </c>
      <c r="C1068" s="62" t="s">
        <v>2586</v>
      </c>
      <c r="D1068" s="6">
        <v>46157</v>
      </c>
      <c r="E1068" s="6">
        <v>46161</v>
      </c>
      <c r="F1068" s="63">
        <v>118.2</v>
      </c>
      <c r="G1068" s="64">
        <f t="shared" si="237"/>
        <v>10401.6</v>
      </c>
      <c r="H1068" s="64">
        <f t="shared" si="238"/>
        <v>10401.6</v>
      </c>
      <c r="I1068" s="70" t="s">
        <v>2588</v>
      </c>
      <c r="J1068" s="62"/>
      <c r="K1068" s="8"/>
      <c r="L1068" s="10"/>
      <c r="M1068" s="62">
        <v>1</v>
      </c>
      <c r="N1068" s="8">
        <v>1</v>
      </c>
      <c r="O1068" s="62">
        <f t="shared" si="239"/>
        <v>0</v>
      </c>
      <c r="P1068" s="70">
        <v>335</v>
      </c>
      <c r="Q1068" s="71">
        <v>46161</v>
      </c>
      <c r="R1068" s="6">
        <v>46162</v>
      </c>
      <c r="S1068" s="64">
        <v>19995.5</v>
      </c>
      <c r="T1068" s="22">
        <v>5</v>
      </c>
      <c r="U1068" s="64">
        <f t="shared" si="240"/>
        <v>999.77500000000009</v>
      </c>
      <c r="V1068" s="22">
        <v>1800</v>
      </c>
      <c r="W1068" s="22">
        <v>22885</v>
      </c>
      <c r="X1068" s="62" t="s">
        <v>801</v>
      </c>
      <c r="Y1068" s="62">
        <v>58165764462</v>
      </c>
      <c r="Z1068" s="62" t="s">
        <v>1112</v>
      </c>
      <c r="AA1068" s="65">
        <v>-20</v>
      </c>
      <c r="AB1068" s="66"/>
      <c r="AC1068" s="1" t="s">
        <v>1663</v>
      </c>
      <c r="AD1068" s="62" t="str">
        <f>VLOOKUP(X1068,'Customer List'!B:C,2,)</f>
        <v>Mumbai</v>
      </c>
      <c r="AE1068" s="67"/>
      <c r="AF1068" s="6">
        <v>46164</v>
      </c>
      <c r="AG1068" s="62">
        <f t="shared" si="241"/>
        <v>2</v>
      </c>
      <c r="AH1068" s="62" t="str">
        <f t="shared" si="242"/>
        <v>Tuesday</v>
      </c>
      <c r="AI1068" s="62" t="str">
        <f t="shared" si="243"/>
        <v>Friday</v>
      </c>
      <c r="AJ1068" s="62" t="str">
        <f>VLOOKUP(AC1068,'Currency Sheet'!A:C,3,)</f>
        <v>DOLLAR</v>
      </c>
      <c r="AK1068" s="62" t="str">
        <f>VLOOKUP(X1068,'Customer List'!B:D,3,)</f>
        <v>OutStation</v>
      </c>
    </row>
    <row r="1069" spans="1:37" hidden="1" x14ac:dyDescent="0.25">
      <c r="A1069" s="62">
        <f t="shared" si="195"/>
        <v>1053</v>
      </c>
      <c r="B1069" s="62" t="s">
        <v>1663</v>
      </c>
      <c r="C1069" s="62" t="s">
        <v>2586</v>
      </c>
      <c r="D1069" s="6">
        <v>46157</v>
      </c>
      <c r="E1069" s="6">
        <v>46161</v>
      </c>
      <c r="F1069" s="63">
        <v>30</v>
      </c>
      <c r="G1069" s="64">
        <f t="shared" si="237"/>
        <v>2640</v>
      </c>
      <c r="H1069" s="64">
        <f t="shared" si="238"/>
        <v>2640</v>
      </c>
      <c r="I1069" s="70" t="s">
        <v>2589</v>
      </c>
      <c r="J1069" s="62"/>
      <c r="K1069" s="8"/>
      <c r="L1069" s="10"/>
      <c r="M1069" s="62">
        <v>1</v>
      </c>
      <c r="N1069" s="8">
        <v>1</v>
      </c>
      <c r="O1069" s="62">
        <f t="shared" si="239"/>
        <v>0</v>
      </c>
      <c r="P1069" s="70" t="s">
        <v>2914</v>
      </c>
      <c r="Q1069" s="71">
        <v>46168</v>
      </c>
      <c r="R1069" s="6">
        <v>46168</v>
      </c>
      <c r="S1069" s="64">
        <v>5437.5</v>
      </c>
      <c r="T1069" s="22">
        <v>5</v>
      </c>
      <c r="U1069" s="64">
        <f t="shared" si="240"/>
        <v>271.875</v>
      </c>
      <c r="V1069" s="22">
        <v>-0.3</v>
      </c>
      <c r="W1069" s="22">
        <v>824117</v>
      </c>
      <c r="X1069" s="62" t="s">
        <v>1591</v>
      </c>
      <c r="Y1069" s="62" t="s">
        <v>1391</v>
      </c>
      <c r="Z1069" s="62" t="s">
        <v>1391</v>
      </c>
      <c r="AA1069" s="65">
        <v>-20</v>
      </c>
      <c r="AB1069" s="66"/>
      <c r="AC1069" s="1" t="s">
        <v>1663</v>
      </c>
      <c r="AD1069" s="62" t="str">
        <f>VLOOKUP(X1069,'Customer List'!B:C,2,)</f>
        <v>Noida</v>
      </c>
      <c r="AE1069" s="67"/>
      <c r="AF1069" s="6"/>
      <c r="AG1069" s="62" t="str">
        <f t="shared" si="241"/>
        <v/>
      </c>
      <c r="AH1069" s="62" t="str">
        <f t="shared" si="242"/>
        <v>Thursday</v>
      </c>
      <c r="AI1069" s="62" t="str">
        <f t="shared" si="243"/>
        <v/>
      </c>
      <c r="AJ1069" s="62" t="str">
        <f>VLOOKUP(AC1069,'Currency Sheet'!A:C,3,)</f>
        <v>DOLLAR</v>
      </c>
      <c r="AK1069" s="62" t="str">
        <f>VLOOKUP(X1069,'Customer List'!B:D,3,)</f>
        <v>Local</v>
      </c>
    </row>
    <row r="1070" spans="1:37" hidden="1" x14ac:dyDescent="0.25">
      <c r="A1070" s="62">
        <f t="shared" si="195"/>
        <v>1054</v>
      </c>
      <c r="B1070" s="62" t="s">
        <v>1663</v>
      </c>
      <c r="C1070" s="62" t="s">
        <v>2586</v>
      </c>
      <c r="D1070" s="6">
        <v>46157</v>
      </c>
      <c r="E1070" s="6">
        <v>46161</v>
      </c>
      <c r="F1070" s="63">
        <v>117.6</v>
      </c>
      <c r="G1070" s="64">
        <f t="shared" si="237"/>
        <v>10348.799999999999</v>
      </c>
      <c r="H1070" s="64">
        <f t="shared" si="238"/>
        <v>10348.799999999999</v>
      </c>
      <c r="I1070" s="70" t="s">
        <v>2590</v>
      </c>
      <c r="J1070" s="62"/>
      <c r="K1070" s="8"/>
      <c r="L1070" s="10"/>
      <c r="M1070" s="62">
        <v>1</v>
      </c>
      <c r="N1070" s="8">
        <v>1</v>
      </c>
      <c r="O1070" s="62">
        <f t="shared" si="239"/>
        <v>0</v>
      </c>
      <c r="P1070" s="70">
        <v>363</v>
      </c>
      <c r="Q1070" s="71">
        <v>46167</v>
      </c>
      <c r="R1070" s="6">
        <v>46167</v>
      </c>
      <c r="S1070" s="64">
        <v>24157</v>
      </c>
      <c r="T1070" s="22">
        <v>5</v>
      </c>
      <c r="U1070" s="64">
        <f t="shared" si="240"/>
        <v>1207.8500000000001</v>
      </c>
      <c r="V1070" s="22">
        <v>0.02</v>
      </c>
      <c r="W1070" s="22">
        <v>31059</v>
      </c>
      <c r="X1070" s="62" t="s">
        <v>797</v>
      </c>
      <c r="Y1070" s="62" t="s">
        <v>1120</v>
      </c>
      <c r="Z1070" s="62" t="s">
        <v>1863</v>
      </c>
      <c r="AA1070" s="65">
        <v>-20</v>
      </c>
      <c r="AB1070" s="66"/>
      <c r="AC1070" s="1" t="s">
        <v>1663</v>
      </c>
      <c r="AD1070" s="62" t="str">
        <f>VLOOKUP(X1070,'Customer List'!B:C,2,)</f>
        <v>Delhi</v>
      </c>
      <c r="AE1070" s="67"/>
      <c r="AF1070" s="6"/>
      <c r="AG1070" s="62" t="str">
        <f t="shared" si="241"/>
        <v/>
      </c>
      <c r="AH1070" s="62" t="str">
        <f t="shared" si="242"/>
        <v>Saturday</v>
      </c>
      <c r="AI1070" s="62" t="str">
        <f t="shared" si="243"/>
        <v/>
      </c>
      <c r="AJ1070" s="62" t="str">
        <f>VLOOKUP(AC1070,'Currency Sheet'!A:C,3,)</f>
        <v>DOLLAR</v>
      </c>
      <c r="AK1070" s="62" t="str">
        <f>VLOOKUP(X1070,'Customer List'!B:D,3,)</f>
        <v>Local</v>
      </c>
    </row>
    <row r="1071" spans="1:37" hidden="1" x14ac:dyDescent="0.25">
      <c r="A1071" s="62">
        <f t="shared" si="195"/>
        <v>1055</v>
      </c>
      <c r="B1071" s="62" t="s">
        <v>1663</v>
      </c>
      <c r="C1071" s="62" t="s">
        <v>2586</v>
      </c>
      <c r="D1071" s="6">
        <v>46157</v>
      </c>
      <c r="E1071" s="6">
        <v>46161</v>
      </c>
      <c r="F1071" s="63">
        <v>26.4</v>
      </c>
      <c r="G1071" s="64">
        <f t="shared" si="237"/>
        <v>2323.1999999999998</v>
      </c>
      <c r="H1071" s="64">
        <f t="shared" si="238"/>
        <v>2323.1999999999998</v>
      </c>
      <c r="I1071" s="70" t="s">
        <v>2591</v>
      </c>
      <c r="J1071" s="62"/>
      <c r="K1071" s="8"/>
      <c r="L1071" s="10"/>
      <c r="M1071" s="62">
        <v>1</v>
      </c>
      <c r="N1071" s="8">
        <v>1</v>
      </c>
      <c r="O1071" s="62">
        <f t="shared" si="239"/>
        <v>0</v>
      </c>
      <c r="P1071" s="70">
        <v>363</v>
      </c>
      <c r="Q1071" s="71">
        <v>46167</v>
      </c>
      <c r="R1071" s="6">
        <v>46167</v>
      </c>
      <c r="S1071" s="64">
        <v>5423</v>
      </c>
      <c r="T1071" s="22">
        <v>5</v>
      </c>
      <c r="U1071" s="64">
        <f t="shared" si="240"/>
        <v>271.15000000000003</v>
      </c>
      <c r="V1071" s="22">
        <v>0</v>
      </c>
      <c r="W1071" s="22">
        <v>31059</v>
      </c>
      <c r="X1071" s="62" t="s">
        <v>797</v>
      </c>
      <c r="Y1071" s="62" t="s">
        <v>1120</v>
      </c>
      <c r="Z1071" s="62" t="s">
        <v>1863</v>
      </c>
      <c r="AA1071" s="65">
        <v>-20</v>
      </c>
      <c r="AB1071" s="66"/>
      <c r="AC1071" s="1" t="s">
        <v>1663</v>
      </c>
      <c r="AD1071" s="62" t="str">
        <f>VLOOKUP(X1071,'Customer List'!B:C,2,)</f>
        <v>Delhi</v>
      </c>
      <c r="AE1071" s="67"/>
      <c r="AF1071" s="6"/>
      <c r="AG1071" s="62" t="str">
        <f t="shared" si="241"/>
        <v/>
      </c>
      <c r="AH1071" s="62" t="str">
        <f t="shared" si="242"/>
        <v>Thursday</v>
      </c>
      <c r="AI1071" s="62" t="str">
        <f t="shared" si="243"/>
        <v/>
      </c>
      <c r="AJ1071" s="62" t="str">
        <f>VLOOKUP(AC1071,'Currency Sheet'!A:C,3,)</f>
        <v>DOLLAR</v>
      </c>
      <c r="AK1071" s="62" t="str">
        <f>VLOOKUP(X1071,'Customer List'!B:D,3,)</f>
        <v>Local</v>
      </c>
    </row>
    <row r="1072" spans="1:37" hidden="1" x14ac:dyDescent="0.25">
      <c r="A1072" s="62">
        <f t="shared" si="195"/>
        <v>1056</v>
      </c>
      <c r="B1072" s="62" t="s">
        <v>1663</v>
      </c>
      <c r="C1072" s="62" t="s">
        <v>2592</v>
      </c>
      <c r="D1072" s="6">
        <v>46157</v>
      </c>
      <c r="E1072" s="6">
        <v>46161</v>
      </c>
      <c r="F1072" s="63">
        <v>85.5</v>
      </c>
      <c r="G1072" s="64">
        <f t="shared" si="237"/>
        <v>7524</v>
      </c>
      <c r="H1072" s="64">
        <f t="shared" ref="H1072" si="244">G1072*M1072</f>
        <v>7524</v>
      </c>
      <c r="I1072" s="70" t="s">
        <v>2593</v>
      </c>
      <c r="J1072" s="62"/>
      <c r="K1072" s="8"/>
      <c r="L1072" s="10"/>
      <c r="M1072" s="62">
        <v>1</v>
      </c>
      <c r="N1072" s="8">
        <v>1</v>
      </c>
      <c r="O1072" s="62">
        <f t="shared" ref="O1072" si="245">M1072-N1072</f>
        <v>0</v>
      </c>
      <c r="P1072" s="70">
        <v>339</v>
      </c>
      <c r="Q1072" s="71">
        <v>46163</v>
      </c>
      <c r="R1072" s="6">
        <v>46163</v>
      </c>
      <c r="S1072" s="64">
        <v>34240.720000000001</v>
      </c>
      <c r="T1072" s="22">
        <v>18</v>
      </c>
      <c r="U1072" s="64">
        <f t="shared" ref="U1072" si="246">S1072*T1072%</f>
        <v>6163.3296</v>
      </c>
      <c r="V1072" s="22">
        <v>0</v>
      </c>
      <c r="W1072" s="22">
        <v>40404</v>
      </c>
      <c r="X1072" s="62" t="s">
        <v>2594</v>
      </c>
      <c r="Y1072" s="62" t="s">
        <v>1120</v>
      </c>
      <c r="Z1072" s="62" t="s">
        <v>1116</v>
      </c>
      <c r="AA1072" s="65">
        <v>-20</v>
      </c>
      <c r="AB1072" s="66" t="s">
        <v>2657</v>
      </c>
      <c r="AC1072" s="1" t="s">
        <v>1663</v>
      </c>
      <c r="AD1072" s="62" t="str">
        <f>VLOOKUP(X1072,'Customer List'!B:C,2,)</f>
        <v>Delhi</v>
      </c>
      <c r="AE1072" s="67"/>
      <c r="AF1072" s="6"/>
      <c r="AG1072" s="62" t="str">
        <f t="shared" si="241"/>
        <v/>
      </c>
      <c r="AH1072" s="62" t="str">
        <f t="shared" si="242"/>
        <v>Tuesday</v>
      </c>
      <c r="AI1072" s="62" t="str">
        <f t="shared" si="243"/>
        <v/>
      </c>
      <c r="AJ1072" s="62" t="str">
        <f>VLOOKUP(AC1072,'Currency Sheet'!A:C,3,)</f>
        <v>DOLLAR</v>
      </c>
      <c r="AK1072" s="62" t="str">
        <f>VLOOKUP(X1072,'Customer List'!B:D,3,)</f>
        <v>Local</v>
      </c>
    </row>
    <row r="1073" spans="1:37" x14ac:dyDescent="0.25">
      <c r="A1073" s="62">
        <f t="shared" si="195"/>
        <v>1057</v>
      </c>
      <c r="B1073" s="62" t="s">
        <v>1663</v>
      </c>
      <c r="C1073" s="62" t="s">
        <v>2595</v>
      </c>
      <c r="D1073" s="6">
        <v>46157</v>
      </c>
      <c r="E1073" s="6">
        <v>46161</v>
      </c>
      <c r="F1073" s="63">
        <v>24</v>
      </c>
      <c r="G1073" s="64">
        <f t="shared" ref="G1073:G1075" si="247">IF(AJ1073="DOLLAR",F1073*88,F1073)</f>
        <v>2112</v>
      </c>
      <c r="H1073" s="64">
        <f t="shared" ref="H1073:H1075" si="248">G1073*M1073</f>
        <v>2112</v>
      </c>
      <c r="I1073" s="70" t="s">
        <v>2596</v>
      </c>
      <c r="J1073" s="62"/>
      <c r="K1073" s="8"/>
      <c r="L1073" s="10"/>
      <c r="M1073" s="62">
        <v>1</v>
      </c>
      <c r="N1073" s="8">
        <v>1</v>
      </c>
      <c r="O1073" s="62">
        <f t="shared" ref="O1073:O1136" si="249">M1073-N1073</f>
        <v>0</v>
      </c>
      <c r="P1073" s="70">
        <v>332</v>
      </c>
      <c r="Q1073" s="71">
        <v>46161</v>
      </c>
      <c r="R1073" s="6">
        <v>46161</v>
      </c>
      <c r="S1073" s="64">
        <v>4060</v>
      </c>
      <c r="T1073" s="22">
        <v>5</v>
      </c>
      <c r="U1073" s="64">
        <f t="shared" ref="U1073" si="250">S1073*T1073%</f>
        <v>203</v>
      </c>
      <c r="V1073" s="22">
        <v>0</v>
      </c>
      <c r="W1073" s="22">
        <v>4263</v>
      </c>
      <c r="X1073" s="62" t="s">
        <v>1363</v>
      </c>
      <c r="Y1073" s="62">
        <v>58165687160</v>
      </c>
      <c r="Z1073" s="62" t="s">
        <v>1112</v>
      </c>
      <c r="AA1073" s="65">
        <v>-20</v>
      </c>
      <c r="AB1073" s="66"/>
      <c r="AC1073" s="1" t="s">
        <v>1663</v>
      </c>
      <c r="AD1073" s="62" t="str">
        <f>VLOOKUP(X1073,'Customer List'!B:C,2,)</f>
        <v>Chennai</v>
      </c>
      <c r="AE1073" s="67"/>
      <c r="AF1073" s="6"/>
      <c r="AG1073" s="62" t="str">
        <f t="shared" ref="AG1073" si="251">IF(AF1073="", "", AF1073-R1073)</f>
        <v/>
      </c>
      <c r="AH1073" s="62" t="str">
        <f t="shared" ref="AH1073" si="252">IF(S1073="", "", TEXT(S1073, "dddd"))</f>
        <v>Saturday</v>
      </c>
      <c r="AI1073" s="62" t="str">
        <f t="shared" ref="AI1073" si="253">IF(AF1073="", "", TEXT(AF1073, "dddd"))</f>
        <v/>
      </c>
      <c r="AJ1073" s="62" t="str">
        <f>VLOOKUP(AC1073,'Currency Sheet'!A:C,3,)</f>
        <v>DOLLAR</v>
      </c>
      <c r="AK1073" s="62" t="str">
        <f>VLOOKUP(X1073,'Customer List'!B:D,3,)</f>
        <v>OutStation</v>
      </c>
    </row>
    <row r="1074" spans="1:37" hidden="1" x14ac:dyDescent="0.25">
      <c r="A1074" s="62">
        <f t="shared" si="195"/>
        <v>1058</v>
      </c>
      <c r="B1074" s="62" t="s">
        <v>2600</v>
      </c>
      <c r="C1074" s="62" t="s">
        <v>2598</v>
      </c>
      <c r="D1074" s="6">
        <v>46162</v>
      </c>
      <c r="E1074" s="6">
        <v>46163</v>
      </c>
      <c r="F1074" s="63">
        <v>12732</v>
      </c>
      <c r="G1074" s="64">
        <v>12732</v>
      </c>
      <c r="H1074" s="64">
        <f t="shared" si="248"/>
        <v>12732</v>
      </c>
      <c r="I1074" s="70" t="s">
        <v>2599</v>
      </c>
      <c r="J1074" s="62"/>
      <c r="K1074" s="8">
        <v>3</v>
      </c>
      <c r="L1074" s="10"/>
      <c r="M1074" s="62">
        <v>1</v>
      </c>
      <c r="N1074" s="8">
        <v>1</v>
      </c>
      <c r="O1074" s="62">
        <f t="shared" si="249"/>
        <v>0</v>
      </c>
      <c r="P1074" s="70">
        <v>341</v>
      </c>
      <c r="Q1074" s="71">
        <v>46164</v>
      </c>
      <c r="R1074" s="6">
        <v>46165</v>
      </c>
      <c r="S1074" s="64">
        <v>12792</v>
      </c>
      <c r="T1074" s="22">
        <v>5</v>
      </c>
      <c r="U1074" s="64">
        <f t="shared" ref="U1074" si="254">S1074*T1074%</f>
        <v>639.6</v>
      </c>
      <c r="V1074" s="22">
        <v>1800</v>
      </c>
      <c r="W1074" s="22">
        <v>15322</v>
      </c>
      <c r="X1074" s="62" t="s">
        <v>2601</v>
      </c>
      <c r="Y1074" s="62">
        <v>58165905803</v>
      </c>
      <c r="Z1074" s="62" t="s">
        <v>2894</v>
      </c>
      <c r="AA1074" s="65">
        <v>4</v>
      </c>
      <c r="AB1074" s="66"/>
      <c r="AC1074" s="1" t="s">
        <v>2486</v>
      </c>
      <c r="AD1074" s="62" t="str">
        <f>VLOOKUP(X1074,'Customer List'!B:C,2,)</f>
        <v>Manglore</v>
      </c>
      <c r="AE1074" s="67"/>
      <c r="AF1074" s="6">
        <v>46167</v>
      </c>
      <c r="AG1074" s="62">
        <f t="shared" ref="AG1074" si="255">IF(AF1074="", "", AF1074-R1074)</f>
        <v>2</v>
      </c>
      <c r="AH1074" s="62" t="str">
        <f t="shared" ref="AH1074" si="256">IF(S1074="", "", TEXT(S1074, "dddd"))</f>
        <v>Tuesday</v>
      </c>
      <c r="AI1074" s="62" t="str">
        <f t="shared" ref="AI1074" si="257">IF(AF1074="", "", TEXT(AF1074, "dddd"))</f>
        <v>Monday</v>
      </c>
      <c r="AJ1074" s="62" t="str">
        <f>VLOOKUP(AC1074,'Currency Sheet'!A:C,3,)</f>
        <v>DOLLAR</v>
      </c>
      <c r="AK1074" s="62" t="str">
        <f>VLOOKUP(X1074,'Customer List'!B:D,3,)</f>
        <v>OutStation</v>
      </c>
    </row>
    <row r="1075" spans="1:37" hidden="1" x14ac:dyDescent="0.25">
      <c r="A1075" s="62">
        <f t="shared" si="195"/>
        <v>1059</v>
      </c>
      <c r="B1075" s="62" t="s">
        <v>903</v>
      </c>
      <c r="C1075" s="62">
        <v>46801</v>
      </c>
      <c r="D1075" s="6">
        <v>46160</v>
      </c>
      <c r="E1075" s="6">
        <v>46163</v>
      </c>
      <c r="F1075" s="63">
        <v>423.5</v>
      </c>
      <c r="G1075" s="64">
        <f t="shared" si="247"/>
        <v>37268</v>
      </c>
      <c r="H1075" s="64">
        <f t="shared" si="248"/>
        <v>111804</v>
      </c>
      <c r="I1075" s="70" t="s">
        <v>2602</v>
      </c>
      <c r="J1075" s="62"/>
      <c r="K1075" s="8">
        <v>342</v>
      </c>
      <c r="L1075" s="10">
        <v>46873</v>
      </c>
      <c r="M1075" s="62">
        <v>3</v>
      </c>
      <c r="N1075" s="8">
        <v>3</v>
      </c>
      <c r="O1075" s="62">
        <f t="shared" si="249"/>
        <v>0</v>
      </c>
      <c r="P1075" s="70">
        <v>344</v>
      </c>
      <c r="Q1075" s="71">
        <v>46164</v>
      </c>
      <c r="R1075" s="6">
        <v>46165</v>
      </c>
      <c r="S1075" s="64">
        <v>210993.75</v>
      </c>
      <c r="T1075" s="22">
        <v>5</v>
      </c>
      <c r="U1075" s="64">
        <f t="shared" ref="U1075" si="258">S1075*T1075%</f>
        <v>10549.6875</v>
      </c>
      <c r="V1075" s="22">
        <v>-0.44</v>
      </c>
      <c r="W1075" s="22">
        <v>221543</v>
      </c>
      <c r="X1075" s="62" t="s">
        <v>2466</v>
      </c>
      <c r="Y1075" s="62">
        <v>58165906330</v>
      </c>
      <c r="Z1075" s="62" t="s">
        <v>2894</v>
      </c>
      <c r="AA1075" s="65">
        <v>4</v>
      </c>
      <c r="AB1075" s="66"/>
      <c r="AC1075" s="1" t="s">
        <v>903</v>
      </c>
      <c r="AD1075" s="62" t="str">
        <f>VLOOKUP(X1075,'Customer List'!B:C,2,)</f>
        <v>Hyderabad</v>
      </c>
      <c r="AE1075" s="67"/>
      <c r="AF1075" s="6">
        <v>46167</v>
      </c>
      <c r="AG1075" s="62">
        <f t="shared" ref="AG1075" si="259">IF(AF1075="", "", AF1075-R1075)</f>
        <v>2</v>
      </c>
      <c r="AH1075" s="62" t="str">
        <f t="shared" ref="AH1075" si="260">IF(S1075="", "", TEXT(S1075, "dddd"))</f>
        <v>Friday</v>
      </c>
      <c r="AI1075" s="62" t="str">
        <f t="shared" ref="AI1075" si="261">IF(AF1075="", "", TEXT(AF1075, "dddd"))</f>
        <v>Monday</v>
      </c>
      <c r="AJ1075" s="62" t="str">
        <f>VLOOKUP(AC1075,'Currency Sheet'!A:C,3,)</f>
        <v>DOLLAR</v>
      </c>
      <c r="AK1075" s="62" t="str">
        <f>VLOOKUP(X1075,'Customer List'!B:D,3,)</f>
        <v>OutStation</v>
      </c>
    </row>
    <row r="1076" spans="1:37" hidden="1" x14ac:dyDescent="0.25">
      <c r="A1076" s="62">
        <f t="shared" si="195"/>
        <v>1060</v>
      </c>
      <c r="B1076" s="62" t="s">
        <v>27</v>
      </c>
      <c r="C1076" s="62" t="s">
        <v>2603</v>
      </c>
      <c r="D1076" s="6">
        <v>46157</v>
      </c>
      <c r="E1076" s="6">
        <v>46163</v>
      </c>
      <c r="F1076" s="63">
        <v>4906.83</v>
      </c>
      <c r="G1076" s="64">
        <f t="shared" ref="G1076:G1099" si="262">IF(AJ1076="DOLLAR",F1076*88,F1076)</f>
        <v>431801.04</v>
      </c>
      <c r="H1076" s="64">
        <f t="shared" ref="H1076:H1099" si="263">G1076*M1076</f>
        <v>431801.04</v>
      </c>
      <c r="I1076" s="70" t="s">
        <v>2604</v>
      </c>
      <c r="J1076" s="62" t="s">
        <v>2605</v>
      </c>
      <c r="K1076" s="8">
        <v>4002118</v>
      </c>
      <c r="L1076" s="10">
        <v>46513</v>
      </c>
      <c r="M1076" s="62">
        <v>1</v>
      </c>
      <c r="N1076" s="8">
        <v>1</v>
      </c>
      <c r="O1076" s="62">
        <f t="shared" si="249"/>
        <v>0</v>
      </c>
      <c r="P1076" s="70">
        <v>346</v>
      </c>
      <c r="Q1076" s="71">
        <v>46164</v>
      </c>
      <c r="R1076" s="6">
        <v>46165</v>
      </c>
      <c r="S1076" s="64">
        <v>788596.88</v>
      </c>
      <c r="T1076" s="22">
        <v>18</v>
      </c>
      <c r="U1076" s="64">
        <f t="shared" ref="U1076:U1099" si="264">S1076*T1076%</f>
        <v>141947.43839999998</v>
      </c>
      <c r="V1076" s="22">
        <v>-0.32</v>
      </c>
      <c r="W1076" s="22">
        <v>930544</v>
      </c>
      <c r="X1076" s="62" t="s">
        <v>1840</v>
      </c>
      <c r="Y1076" s="62">
        <v>58165905291</v>
      </c>
      <c r="Z1076" s="62" t="s">
        <v>2894</v>
      </c>
      <c r="AA1076" s="65">
        <v>-20</v>
      </c>
      <c r="AB1076" s="66"/>
      <c r="AC1076" s="1" t="s">
        <v>27</v>
      </c>
      <c r="AD1076" s="62" t="str">
        <f>VLOOKUP(X1076,'Customer List'!B:C,2,)</f>
        <v>Gujrat</v>
      </c>
      <c r="AE1076" s="67"/>
      <c r="AF1076" s="6">
        <v>46167</v>
      </c>
      <c r="AG1076" s="62">
        <f t="shared" ref="AG1076:AG1099" si="265">IF(AF1076="", "", AF1076-R1076)</f>
        <v>2</v>
      </c>
      <c r="AH1076" s="62" t="str">
        <f t="shared" ref="AH1076:AH1099" si="266">IF(S1076="", "", TEXT(S1076, "dddd"))</f>
        <v>Wednesday</v>
      </c>
      <c r="AI1076" s="62" t="str">
        <f t="shared" ref="AI1076:AI1099" si="267">IF(AF1076="", "", TEXT(AF1076, "dddd"))</f>
        <v>Monday</v>
      </c>
      <c r="AJ1076" s="62" t="str">
        <f>VLOOKUP(AC1076,'Currency Sheet'!A:C,3,)</f>
        <v>DOLLAR</v>
      </c>
      <c r="AK1076" s="62" t="str">
        <f>VLOOKUP(X1076,'Customer List'!B:D,3,)</f>
        <v>OutStation</v>
      </c>
    </row>
    <row r="1077" spans="1:37" hidden="1" x14ac:dyDescent="0.25">
      <c r="A1077" s="62">
        <f t="shared" si="195"/>
        <v>1061</v>
      </c>
      <c r="B1077" s="62" t="s">
        <v>27</v>
      </c>
      <c r="C1077" s="62" t="s">
        <v>2603</v>
      </c>
      <c r="D1077" s="6">
        <v>46157</v>
      </c>
      <c r="E1077" s="6">
        <v>46163</v>
      </c>
      <c r="F1077" s="63">
        <v>145.66</v>
      </c>
      <c r="G1077" s="64">
        <f t="shared" si="262"/>
        <v>12818.08</v>
      </c>
      <c r="H1077" s="64">
        <f t="shared" si="263"/>
        <v>12818.08</v>
      </c>
      <c r="I1077" s="70" t="s">
        <v>2606</v>
      </c>
      <c r="J1077" s="62" t="s">
        <v>2607</v>
      </c>
      <c r="K1077" s="8">
        <v>3984696</v>
      </c>
      <c r="L1077" s="10">
        <v>46498</v>
      </c>
      <c r="M1077" s="62">
        <v>1</v>
      </c>
      <c r="N1077" s="8"/>
      <c r="O1077" s="62">
        <f t="shared" si="249"/>
        <v>1</v>
      </c>
      <c r="P1077" s="70"/>
      <c r="Q1077" s="71"/>
      <c r="R1077" s="6"/>
      <c r="S1077" s="64">
        <v>23409</v>
      </c>
      <c r="T1077" s="22">
        <v>18</v>
      </c>
      <c r="U1077" s="64">
        <f t="shared" si="264"/>
        <v>4213.62</v>
      </c>
      <c r="V1077" s="22">
        <v>0</v>
      </c>
      <c r="W1077" s="22">
        <v>162486</v>
      </c>
      <c r="X1077" s="62" t="s">
        <v>2652</v>
      </c>
      <c r="Y1077" s="62"/>
      <c r="Z1077" s="62"/>
      <c r="AA1077" s="65">
        <v>-20</v>
      </c>
      <c r="AB1077" s="66"/>
      <c r="AC1077" s="1" t="s">
        <v>27</v>
      </c>
      <c r="AD1077" s="62" t="str">
        <f>VLOOKUP(X1077,'Customer List'!B:C,2,)</f>
        <v>Pune</v>
      </c>
      <c r="AE1077" s="67" t="s">
        <v>2668</v>
      </c>
      <c r="AF1077" s="6"/>
      <c r="AG1077" s="62" t="str">
        <f t="shared" si="265"/>
        <v/>
      </c>
      <c r="AH1077" s="62" t="str">
        <f t="shared" si="266"/>
        <v>Sunday</v>
      </c>
      <c r="AI1077" s="62" t="str">
        <f t="shared" si="267"/>
        <v/>
      </c>
      <c r="AJ1077" s="62" t="str">
        <f>VLOOKUP(AC1077,'Currency Sheet'!A:C,3,)</f>
        <v>DOLLAR</v>
      </c>
      <c r="AK1077" s="62" t="str">
        <f>VLOOKUP(X1077,'Customer List'!B:D,3,)</f>
        <v>OutStation</v>
      </c>
    </row>
    <row r="1078" spans="1:37" hidden="1" x14ac:dyDescent="0.25">
      <c r="A1078" s="62">
        <f t="shared" si="195"/>
        <v>1062</v>
      </c>
      <c r="B1078" s="62" t="s">
        <v>27</v>
      </c>
      <c r="C1078" s="62" t="s">
        <v>2603</v>
      </c>
      <c r="D1078" s="6">
        <v>46157</v>
      </c>
      <c r="E1078" s="6">
        <v>46163</v>
      </c>
      <c r="F1078" s="63">
        <v>158.51</v>
      </c>
      <c r="G1078" s="64">
        <f t="shared" si="262"/>
        <v>13948.88</v>
      </c>
      <c r="H1078" s="64">
        <f t="shared" si="263"/>
        <v>13948.88</v>
      </c>
      <c r="I1078" s="70" t="s">
        <v>2608</v>
      </c>
      <c r="J1078" s="62" t="s">
        <v>2609</v>
      </c>
      <c r="K1078" s="8">
        <v>3980934</v>
      </c>
      <c r="L1078" s="10">
        <v>46497</v>
      </c>
      <c r="M1078" s="62">
        <v>1</v>
      </c>
      <c r="N1078" s="8"/>
      <c r="O1078" s="62">
        <f t="shared" si="249"/>
        <v>1</v>
      </c>
      <c r="P1078" s="70"/>
      <c r="Q1078" s="71"/>
      <c r="R1078" s="6"/>
      <c r="S1078" s="64">
        <v>25474.5</v>
      </c>
      <c r="T1078" s="22">
        <v>18</v>
      </c>
      <c r="U1078" s="64">
        <f t="shared" si="264"/>
        <v>4585.41</v>
      </c>
      <c r="V1078" s="22">
        <v>0</v>
      </c>
      <c r="W1078" s="22">
        <v>162486</v>
      </c>
      <c r="X1078" s="62" t="s">
        <v>2652</v>
      </c>
      <c r="Y1078" s="62"/>
      <c r="Z1078" s="62"/>
      <c r="AA1078" s="65">
        <v>-20</v>
      </c>
      <c r="AB1078" s="66"/>
      <c r="AC1078" s="1" t="s">
        <v>27</v>
      </c>
      <c r="AD1078" s="62" t="str">
        <f>VLOOKUP(X1078,'Customer List'!B:C,2,)</f>
        <v>Pune</v>
      </c>
      <c r="AE1078" s="67" t="s">
        <v>2668</v>
      </c>
      <c r="AF1078" s="6"/>
      <c r="AG1078" s="62" t="str">
        <f t="shared" si="265"/>
        <v/>
      </c>
      <c r="AH1078" s="62" t="str">
        <f t="shared" si="266"/>
        <v>Sunday</v>
      </c>
      <c r="AI1078" s="62" t="str">
        <f t="shared" si="267"/>
        <v/>
      </c>
      <c r="AJ1078" s="62" t="str">
        <f>VLOOKUP(AC1078,'Currency Sheet'!A:C,3,)</f>
        <v>DOLLAR</v>
      </c>
      <c r="AK1078" s="62" t="str">
        <f>VLOOKUP(X1078,'Customer List'!B:D,3,)</f>
        <v>OutStation</v>
      </c>
    </row>
    <row r="1079" spans="1:37" hidden="1" x14ac:dyDescent="0.25">
      <c r="A1079" s="62">
        <f t="shared" si="195"/>
        <v>1063</v>
      </c>
      <c r="B1079" s="62" t="s">
        <v>27</v>
      </c>
      <c r="C1079" s="62" t="s">
        <v>2603</v>
      </c>
      <c r="D1079" s="6">
        <v>46157</v>
      </c>
      <c r="E1079" s="6">
        <v>46163</v>
      </c>
      <c r="F1079" s="63">
        <v>197.06</v>
      </c>
      <c r="G1079" s="64">
        <f t="shared" si="262"/>
        <v>17341.28</v>
      </c>
      <c r="H1079" s="64">
        <f t="shared" si="263"/>
        <v>17341.28</v>
      </c>
      <c r="I1079" s="70" t="s">
        <v>2610</v>
      </c>
      <c r="J1079" s="62" t="s">
        <v>2611</v>
      </c>
      <c r="K1079" s="8">
        <v>3987690</v>
      </c>
      <c r="L1079" s="10">
        <v>46500</v>
      </c>
      <c r="M1079" s="62">
        <v>1</v>
      </c>
      <c r="N1079" s="8"/>
      <c r="O1079" s="62">
        <f t="shared" si="249"/>
        <v>1</v>
      </c>
      <c r="P1079" s="70"/>
      <c r="Q1079" s="71"/>
      <c r="R1079" s="6"/>
      <c r="S1079" s="64">
        <v>29605.5</v>
      </c>
      <c r="T1079" s="22">
        <v>18</v>
      </c>
      <c r="U1079" s="64">
        <f t="shared" si="264"/>
        <v>5328.99</v>
      </c>
      <c r="V1079" s="22">
        <v>0</v>
      </c>
      <c r="W1079" s="22">
        <v>162486</v>
      </c>
      <c r="X1079" s="62" t="s">
        <v>2652</v>
      </c>
      <c r="Y1079" s="62"/>
      <c r="Z1079" s="62"/>
      <c r="AA1079" s="65">
        <v>-20</v>
      </c>
      <c r="AB1079" s="66"/>
      <c r="AC1079" s="1" t="s">
        <v>27</v>
      </c>
      <c r="AD1079" s="62" t="str">
        <f>VLOOKUP(X1079,'Customer List'!B:C,2,)</f>
        <v>Pune</v>
      </c>
      <c r="AE1079" s="67" t="s">
        <v>2668</v>
      </c>
      <c r="AF1079" s="6"/>
      <c r="AG1079" s="62" t="str">
        <f t="shared" si="265"/>
        <v/>
      </c>
      <c r="AH1079" s="62" t="str">
        <f t="shared" si="266"/>
        <v>Monday</v>
      </c>
      <c r="AI1079" s="62" t="str">
        <f t="shared" si="267"/>
        <v/>
      </c>
      <c r="AJ1079" s="62" t="str">
        <f>VLOOKUP(AC1079,'Currency Sheet'!A:C,3,)</f>
        <v>DOLLAR</v>
      </c>
      <c r="AK1079" s="62" t="str">
        <f>VLOOKUP(X1079,'Customer List'!B:D,3,)</f>
        <v>OutStation</v>
      </c>
    </row>
    <row r="1080" spans="1:37" hidden="1" x14ac:dyDescent="0.25">
      <c r="A1080" s="62">
        <f t="shared" si="195"/>
        <v>1064</v>
      </c>
      <c r="B1080" s="62" t="s">
        <v>27</v>
      </c>
      <c r="C1080" s="62" t="s">
        <v>2603</v>
      </c>
      <c r="D1080" s="6">
        <v>46157</v>
      </c>
      <c r="E1080" s="6">
        <v>46163</v>
      </c>
      <c r="F1080" s="63">
        <v>184.21</v>
      </c>
      <c r="G1080" s="64">
        <f t="shared" si="262"/>
        <v>16210.480000000001</v>
      </c>
      <c r="H1080" s="64">
        <f t="shared" si="263"/>
        <v>16210.480000000001</v>
      </c>
      <c r="I1080" s="70" t="s">
        <v>2612</v>
      </c>
      <c r="J1080" s="62" t="s">
        <v>2613</v>
      </c>
      <c r="K1080" s="8">
        <v>3980936</v>
      </c>
      <c r="L1080" s="10">
        <v>46497</v>
      </c>
      <c r="M1080" s="62">
        <v>1</v>
      </c>
      <c r="N1080" s="8"/>
      <c r="O1080" s="62">
        <f t="shared" si="249"/>
        <v>1</v>
      </c>
      <c r="P1080" s="70"/>
      <c r="Q1080" s="71"/>
      <c r="R1080" s="6"/>
      <c r="S1080" s="64">
        <v>31671</v>
      </c>
      <c r="T1080" s="22">
        <v>18</v>
      </c>
      <c r="U1080" s="64">
        <f t="shared" si="264"/>
        <v>5700.78</v>
      </c>
      <c r="V1080" s="22">
        <v>0</v>
      </c>
      <c r="W1080" s="22">
        <v>162486</v>
      </c>
      <c r="X1080" s="62" t="s">
        <v>2652</v>
      </c>
      <c r="Y1080" s="62"/>
      <c r="Z1080" s="62"/>
      <c r="AA1080" s="65">
        <v>-20</v>
      </c>
      <c r="AB1080" s="66"/>
      <c r="AC1080" s="1" t="s">
        <v>27</v>
      </c>
      <c r="AD1080" s="62" t="str">
        <f>VLOOKUP(X1080,'Customer List'!B:C,2,)</f>
        <v>Pune</v>
      </c>
      <c r="AE1080" s="67" t="s">
        <v>2668</v>
      </c>
      <c r="AF1080" s="6"/>
      <c r="AG1080" s="62" t="str">
        <f t="shared" si="265"/>
        <v/>
      </c>
      <c r="AH1080" s="62" t="str">
        <f t="shared" si="266"/>
        <v>Tuesday</v>
      </c>
      <c r="AI1080" s="62" t="str">
        <f t="shared" si="267"/>
        <v/>
      </c>
      <c r="AJ1080" s="62" t="str">
        <f>VLOOKUP(AC1080,'Currency Sheet'!A:C,3,)</f>
        <v>DOLLAR</v>
      </c>
      <c r="AK1080" s="62" t="str">
        <f>VLOOKUP(X1080,'Customer List'!B:D,3,)</f>
        <v>OutStation</v>
      </c>
    </row>
    <row r="1081" spans="1:37" hidden="1" x14ac:dyDescent="0.25">
      <c r="A1081" s="62">
        <f t="shared" si="195"/>
        <v>1065</v>
      </c>
      <c r="B1081" s="62" t="s">
        <v>27</v>
      </c>
      <c r="C1081" s="62" t="s">
        <v>2603</v>
      </c>
      <c r="D1081" s="6">
        <v>46157</v>
      </c>
      <c r="E1081" s="6">
        <v>46163</v>
      </c>
      <c r="F1081" s="63">
        <v>171.36</v>
      </c>
      <c r="G1081" s="64">
        <f t="shared" si="262"/>
        <v>15079.68</v>
      </c>
      <c r="H1081" s="64">
        <f t="shared" si="263"/>
        <v>15079.68</v>
      </c>
      <c r="I1081" s="70" t="s">
        <v>2614</v>
      </c>
      <c r="J1081" s="62" t="s">
        <v>2615</v>
      </c>
      <c r="K1081" s="8">
        <v>3980937</v>
      </c>
      <c r="L1081" s="10">
        <v>46497</v>
      </c>
      <c r="M1081" s="62">
        <v>1</v>
      </c>
      <c r="N1081" s="8"/>
      <c r="O1081" s="62">
        <f t="shared" si="249"/>
        <v>1</v>
      </c>
      <c r="P1081" s="70"/>
      <c r="Q1081" s="71"/>
      <c r="R1081" s="6"/>
      <c r="S1081" s="64">
        <v>27540</v>
      </c>
      <c r="T1081" s="22">
        <v>18</v>
      </c>
      <c r="U1081" s="64">
        <f t="shared" si="264"/>
        <v>4957.2</v>
      </c>
      <c r="V1081" s="22">
        <v>0</v>
      </c>
      <c r="W1081" s="22">
        <v>162486</v>
      </c>
      <c r="X1081" s="62" t="s">
        <v>2652</v>
      </c>
      <c r="Y1081" s="62"/>
      <c r="Z1081" s="62"/>
      <c r="AA1081" s="65">
        <v>-20</v>
      </c>
      <c r="AB1081" s="66"/>
      <c r="AC1081" s="1" t="s">
        <v>27</v>
      </c>
      <c r="AD1081" s="62" t="str">
        <f>VLOOKUP(X1081,'Customer List'!B:C,2,)</f>
        <v>Pune</v>
      </c>
      <c r="AE1081" s="67" t="s">
        <v>2668</v>
      </c>
      <c r="AF1081" s="6"/>
      <c r="AG1081" s="62" t="str">
        <f t="shared" si="265"/>
        <v/>
      </c>
      <c r="AH1081" s="62" t="str">
        <f t="shared" si="266"/>
        <v>Monday</v>
      </c>
      <c r="AI1081" s="62" t="str">
        <f t="shared" si="267"/>
        <v/>
      </c>
      <c r="AJ1081" s="62" t="str">
        <f>VLOOKUP(AC1081,'Currency Sheet'!A:C,3,)</f>
        <v>DOLLAR</v>
      </c>
      <c r="AK1081" s="62" t="str">
        <f>VLOOKUP(X1081,'Customer List'!B:D,3,)</f>
        <v>OutStation</v>
      </c>
    </row>
    <row r="1082" spans="1:37" hidden="1" x14ac:dyDescent="0.25">
      <c r="A1082" s="62">
        <f t="shared" si="195"/>
        <v>1066</v>
      </c>
      <c r="B1082" s="62" t="s">
        <v>27</v>
      </c>
      <c r="C1082" s="62" t="s">
        <v>2603</v>
      </c>
      <c r="D1082" s="6">
        <v>46157</v>
      </c>
      <c r="E1082" s="6">
        <v>46163</v>
      </c>
      <c r="F1082" s="63">
        <v>697.2</v>
      </c>
      <c r="G1082" s="64">
        <f t="shared" si="262"/>
        <v>61353.600000000006</v>
      </c>
      <c r="H1082" s="64">
        <f t="shared" si="263"/>
        <v>61353.600000000006</v>
      </c>
      <c r="I1082" s="70" t="s">
        <v>2616</v>
      </c>
      <c r="J1082" s="62" t="s">
        <v>2617</v>
      </c>
      <c r="K1082" s="8" t="s">
        <v>2618</v>
      </c>
      <c r="L1082" s="10">
        <v>46508</v>
      </c>
      <c r="M1082" s="62">
        <v>1</v>
      </c>
      <c r="N1082" s="8">
        <v>1</v>
      </c>
      <c r="O1082" s="62">
        <f t="shared" si="249"/>
        <v>0</v>
      </c>
      <c r="P1082" s="70">
        <v>343</v>
      </c>
      <c r="Q1082" s="71">
        <v>46164</v>
      </c>
      <c r="R1082" s="6">
        <v>46165</v>
      </c>
      <c r="S1082" s="64">
        <v>104580</v>
      </c>
      <c r="T1082" s="22">
        <v>18</v>
      </c>
      <c r="U1082" s="64">
        <f t="shared" si="264"/>
        <v>18824.399999999998</v>
      </c>
      <c r="V1082" s="22">
        <v>-0.4</v>
      </c>
      <c r="W1082" s="22">
        <v>123404</v>
      </c>
      <c r="X1082" s="62" t="s">
        <v>806</v>
      </c>
      <c r="Y1082" s="62">
        <v>58165905556</v>
      </c>
      <c r="Z1082" s="62"/>
      <c r="AA1082" s="65">
        <v>-20</v>
      </c>
      <c r="AB1082" s="66"/>
      <c r="AC1082" s="1" t="s">
        <v>27</v>
      </c>
      <c r="AD1082" s="62" t="str">
        <f>VLOOKUP(X1082,'Customer List'!B:C,2,)</f>
        <v>Kerala</v>
      </c>
      <c r="AE1082" s="67"/>
      <c r="AF1082" s="6"/>
      <c r="AG1082" s="62" t="str">
        <f t="shared" si="265"/>
        <v/>
      </c>
      <c r="AH1082" s="62" t="str">
        <f t="shared" si="266"/>
        <v>Saturday</v>
      </c>
      <c r="AI1082" s="62" t="str">
        <f t="shared" si="267"/>
        <v/>
      </c>
      <c r="AJ1082" s="62" t="str">
        <f>VLOOKUP(AC1082,'Currency Sheet'!A:C,3,)</f>
        <v>DOLLAR</v>
      </c>
      <c r="AK1082" s="62" t="str">
        <f>VLOOKUP(X1082,'Customer List'!B:D,3,)</f>
        <v>OutStation</v>
      </c>
    </row>
    <row r="1083" spans="1:37" hidden="1" x14ac:dyDescent="0.25">
      <c r="A1083" s="62">
        <f t="shared" si="195"/>
        <v>1067</v>
      </c>
      <c r="B1083" s="62" t="s">
        <v>27</v>
      </c>
      <c r="C1083" s="62" t="s">
        <v>2603</v>
      </c>
      <c r="D1083" s="6">
        <v>46157</v>
      </c>
      <c r="E1083" s="6">
        <v>46163</v>
      </c>
      <c r="F1083" s="63">
        <v>587.29999999999995</v>
      </c>
      <c r="G1083" s="64">
        <f t="shared" si="262"/>
        <v>51682.399999999994</v>
      </c>
      <c r="H1083" s="64">
        <f t="shared" si="263"/>
        <v>51682.399999999994</v>
      </c>
      <c r="I1083" s="70" t="s">
        <v>2619</v>
      </c>
      <c r="J1083" s="62" t="s">
        <v>2620</v>
      </c>
      <c r="K1083" s="8">
        <v>260506</v>
      </c>
      <c r="L1083" s="10">
        <v>46513</v>
      </c>
      <c r="M1083" s="62">
        <v>1</v>
      </c>
      <c r="N1083" s="8">
        <v>1</v>
      </c>
      <c r="O1083" s="62">
        <f t="shared" si="249"/>
        <v>0</v>
      </c>
      <c r="P1083" s="70">
        <v>342</v>
      </c>
      <c r="Q1083" s="71">
        <v>46164</v>
      </c>
      <c r="R1083" s="6">
        <v>46165</v>
      </c>
      <c r="S1083" s="64">
        <v>94387.5</v>
      </c>
      <c r="T1083" s="22">
        <v>5</v>
      </c>
      <c r="U1083" s="64">
        <f t="shared" si="264"/>
        <v>4719.375</v>
      </c>
      <c r="V1083" s="22">
        <v>1800</v>
      </c>
      <c r="W1083" s="22">
        <v>113501</v>
      </c>
      <c r="X1083" s="62" t="s">
        <v>2653</v>
      </c>
      <c r="Y1083" s="62">
        <v>58165905442</v>
      </c>
      <c r="Z1083" s="62" t="s">
        <v>2894</v>
      </c>
      <c r="AA1083" s="65">
        <v>-20</v>
      </c>
      <c r="AB1083" s="66"/>
      <c r="AC1083" s="1" t="s">
        <v>27</v>
      </c>
      <c r="AD1083" s="62" t="str">
        <f>VLOOKUP(X1083,'Customer List'!B:C,2,)</f>
        <v>Kolkata</v>
      </c>
      <c r="AE1083" s="67"/>
      <c r="AF1083" s="6">
        <v>46167</v>
      </c>
      <c r="AG1083" s="62">
        <f t="shared" si="265"/>
        <v>2</v>
      </c>
      <c r="AH1083" s="62" t="str">
        <f t="shared" si="266"/>
        <v>Friday</v>
      </c>
      <c r="AI1083" s="62" t="str">
        <f t="shared" si="267"/>
        <v>Monday</v>
      </c>
      <c r="AJ1083" s="62" t="str">
        <f>VLOOKUP(AC1083,'Currency Sheet'!A:C,3,)</f>
        <v>DOLLAR</v>
      </c>
      <c r="AK1083" s="62" t="str">
        <f>VLOOKUP(X1083,'Customer List'!B:D,3,)</f>
        <v>OutStation</v>
      </c>
    </row>
    <row r="1084" spans="1:37" hidden="1" x14ac:dyDescent="0.25">
      <c r="A1084" s="62">
        <f t="shared" si="195"/>
        <v>1068</v>
      </c>
      <c r="B1084" s="62" t="s">
        <v>27</v>
      </c>
      <c r="C1084" s="62" t="s">
        <v>2603</v>
      </c>
      <c r="D1084" s="6">
        <v>46157</v>
      </c>
      <c r="E1084" s="6">
        <v>46163</v>
      </c>
      <c r="F1084" s="63">
        <v>162.4</v>
      </c>
      <c r="G1084" s="64">
        <f t="shared" si="262"/>
        <v>14291.2</v>
      </c>
      <c r="H1084" s="64">
        <f t="shared" si="263"/>
        <v>14291.2</v>
      </c>
      <c r="I1084" s="70" t="s">
        <v>2621</v>
      </c>
      <c r="J1084" s="62" t="s">
        <v>2622</v>
      </c>
      <c r="K1084" s="8">
        <v>3672094</v>
      </c>
      <c r="L1084" s="10">
        <v>46621</v>
      </c>
      <c r="M1084" s="62">
        <v>1</v>
      </c>
      <c r="N1084" s="8">
        <v>1</v>
      </c>
      <c r="O1084" s="62">
        <f t="shared" si="249"/>
        <v>0</v>
      </c>
      <c r="P1084" s="70">
        <v>347</v>
      </c>
      <c r="Q1084" s="71">
        <v>46164</v>
      </c>
      <c r="R1084" s="6">
        <v>46165</v>
      </c>
      <c r="S1084" s="64">
        <v>24360</v>
      </c>
      <c r="T1084" s="22">
        <v>18</v>
      </c>
      <c r="U1084" s="64">
        <f t="shared" si="264"/>
        <v>4384.8</v>
      </c>
      <c r="V1084" s="22">
        <v>0.2</v>
      </c>
      <c r="W1084" s="22">
        <v>28745</v>
      </c>
      <c r="X1084" s="62" t="s">
        <v>385</v>
      </c>
      <c r="Y1084" s="62">
        <v>58165905700</v>
      </c>
      <c r="Z1084" s="62"/>
      <c r="AA1084" s="65">
        <v>-20</v>
      </c>
      <c r="AB1084" s="66"/>
      <c r="AC1084" s="1" t="s">
        <v>27</v>
      </c>
      <c r="AD1084" s="62" t="str">
        <f>VLOOKUP(X1084,'Customer List'!B:C,2,)</f>
        <v>Mumbai</v>
      </c>
      <c r="AE1084" s="67"/>
      <c r="AF1084" s="6"/>
      <c r="AG1084" s="62" t="str">
        <f t="shared" si="265"/>
        <v/>
      </c>
      <c r="AH1084" s="62" t="str">
        <f t="shared" si="266"/>
        <v>Saturday</v>
      </c>
      <c r="AI1084" s="62" t="str">
        <f t="shared" si="267"/>
        <v/>
      </c>
      <c r="AJ1084" s="62" t="str">
        <f>VLOOKUP(AC1084,'Currency Sheet'!A:C,3,)</f>
        <v>DOLLAR</v>
      </c>
      <c r="AK1084" s="62" t="str">
        <f>VLOOKUP(X1084,'Customer List'!B:D,3,)</f>
        <v>OutStation</v>
      </c>
    </row>
    <row r="1085" spans="1:37" hidden="1" x14ac:dyDescent="0.25">
      <c r="A1085" s="62">
        <f t="shared" si="195"/>
        <v>1069</v>
      </c>
      <c r="B1085" s="62" t="s">
        <v>27</v>
      </c>
      <c r="C1085" s="62" t="s">
        <v>2603</v>
      </c>
      <c r="D1085" s="6">
        <v>46157</v>
      </c>
      <c r="E1085" s="6">
        <v>46163</v>
      </c>
      <c r="F1085" s="63">
        <v>211.4</v>
      </c>
      <c r="G1085" s="64">
        <f t="shared" si="262"/>
        <v>18603.2</v>
      </c>
      <c r="H1085" s="64">
        <f t="shared" si="263"/>
        <v>18603.2</v>
      </c>
      <c r="I1085" s="70" t="s">
        <v>2623</v>
      </c>
      <c r="J1085" s="62" t="s">
        <v>2624</v>
      </c>
      <c r="K1085" s="8">
        <v>260506</v>
      </c>
      <c r="L1085" s="10">
        <v>46436</v>
      </c>
      <c r="M1085" s="62">
        <v>1</v>
      </c>
      <c r="N1085" s="8">
        <v>1</v>
      </c>
      <c r="O1085" s="62">
        <f t="shared" si="249"/>
        <v>0</v>
      </c>
      <c r="P1085" s="70">
        <v>348</v>
      </c>
      <c r="Q1085" s="71">
        <v>46164</v>
      </c>
      <c r="R1085" s="6">
        <v>46165</v>
      </c>
      <c r="S1085" s="64">
        <v>31710</v>
      </c>
      <c r="T1085" s="22">
        <v>18</v>
      </c>
      <c r="U1085" s="64">
        <f t="shared" si="264"/>
        <v>5707.8</v>
      </c>
      <c r="V1085" s="22">
        <v>0.4</v>
      </c>
      <c r="W1085" s="22">
        <v>74836</v>
      </c>
      <c r="X1085" s="62" t="s">
        <v>385</v>
      </c>
      <c r="Y1085" s="62">
        <v>58165905700</v>
      </c>
      <c r="Z1085" s="62"/>
      <c r="AA1085" s="65">
        <v>-20</v>
      </c>
      <c r="AB1085" s="66"/>
      <c r="AC1085" s="1" t="s">
        <v>27</v>
      </c>
      <c r="AD1085" s="62" t="str">
        <f>VLOOKUP(X1085,'Customer List'!B:C,2,)</f>
        <v>Mumbai</v>
      </c>
      <c r="AE1085" s="67"/>
      <c r="AF1085" s="6"/>
      <c r="AG1085" s="62" t="str">
        <f t="shared" si="265"/>
        <v/>
      </c>
      <c r="AH1085" s="62" t="str">
        <f t="shared" si="266"/>
        <v>Saturday</v>
      </c>
      <c r="AI1085" s="62" t="str">
        <f t="shared" si="267"/>
        <v/>
      </c>
      <c r="AJ1085" s="62" t="str">
        <f>VLOOKUP(AC1085,'Currency Sheet'!A:C,3,)</f>
        <v>DOLLAR</v>
      </c>
      <c r="AK1085" s="62" t="str">
        <f>VLOOKUP(X1085,'Customer List'!B:D,3,)</f>
        <v>OutStation</v>
      </c>
    </row>
    <row r="1086" spans="1:37" hidden="1" x14ac:dyDescent="0.25">
      <c r="A1086" s="62">
        <f t="shared" si="195"/>
        <v>1070</v>
      </c>
      <c r="B1086" s="62" t="s">
        <v>27</v>
      </c>
      <c r="C1086" s="62" t="s">
        <v>2603</v>
      </c>
      <c r="D1086" s="6">
        <v>46157</v>
      </c>
      <c r="E1086" s="6">
        <v>46163</v>
      </c>
      <c r="F1086" s="63">
        <v>211.4</v>
      </c>
      <c r="G1086" s="64">
        <f t="shared" si="262"/>
        <v>18603.2</v>
      </c>
      <c r="H1086" s="64">
        <f t="shared" si="263"/>
        <v>18603.2</v>
      </c>
      <c r="I1086" s="70" t="s">
        <v>2625</v>
      </c>
      <c r="J1086" s="62" t="s">
        <v>2624</v>
      </c>
      <c r="K1086" s="8">
        <v>260506</v>
      </c>
      <c r="L1086" s="10">
        <v>46436</v>
      </c>
      <c r="M1086" s="62">
        <v>1</v>
      </c>
      <c r="N1086" s="8">
        <v>1</v>
      </c>
      <c r="O1086" s="62">
        <f t="shared" si="249"/>
        <v>0</v>
      </c>
      <c r="P1086" s="70">
        <v>348</v>
      </c>
      <c r="Q1086" s="71">
        <v>46164</v>
      </c>
      <c r="R1086" s="6">
        <v>46165</v>
      </c>
      <c r="S1086" s="64">
        <v>31710</v>
      </c>
      <c r="T1086" s="22">
        <v>18</v>
      </c>
      <c r="U1086" s="64">
        <f t="shared" si="264"/>
        <v>5707.8</v>
      </c>
      <c r="V1086" s="22">
        <v>0</v>
      </c>
      <c r="W1086" s="22">
        <v>74836</v>
      </c>
      <c r="X1086" s="62" t="s">
        <v>385</v>
      </c>
      <c r="Y1086" s="62">
        <v>58165905700</v>
      </c>
      <c r="Z1086" s="62"/>
      <c r="AA1086" s="65">
        <v>-20</v>
      </c>
      <c r="AB1086" s="66"/>
      <c r="AC1086" s="1" t="s">
        <v>27</v>
      </c>
      <c r="AD1086" s="62" t="str">
        <f>VLOOKUP(X1086,'Customer List'!B:C,2,)</f>
        <v>Mumbai</v>
      </c>
      <c r="AE1086" s="67"/>
      <c r="AF1086" s="6"/>
      <c r="AG1086" s="62" t="str">
        <f t="shared" si="265"/>
        <v/>
      </c>
      <c r="AH1086" s="62" t="str">
        <f t="shared" si="266"/>
        <v>Saturday</v>
      </c>
      <c r="AI1086" s="62" t="str">
        <f t="shared" si="267"/>
        <v/>
      </c>
      <c r="AJ1086" s="62" t="str">
        <f>VLOOKUP(AC1086,'Currency Sheet'!A:C,3,)</f>
        <v>DOLLAR</v>
      </c>
      <c r="AK1086" s="62" t="str">
        <f>VLOOKUP(X1086,'Customer List'!B:D,3,)</f>
        <v>OutStation</v>
      </c>
    </row>
    <row r="1087" spans="1:37" hidden="1" x14ac:dyDescent="0.25">
      <c r="A1087" s="62">
        <f t="shared" si="195"/>
        <v>1071</v>
      </c>
      <c r="B1087" s="62" t="s">
        <v>27</v>
      </c>
      <c r="C1087" s="62" t="s">
        <v>2603</v>
      </c>
      <c r="D1087" s="6">
        <v>46157</v>
      </c>
      <c r="E1087" s="6">
        <v>46163</v>
      </c>
      <c r="F1087" s="63">
        <v>211.4</v>
      </c>
      <c r="G1087" s="64">
        <f t="shared" si="262"/>
        <v>18603.2</v>
      </c>
      <c r="H1087" s="64">
        <f t="shared" si="263"/>
        <v>18603.2</v>
      </c>
      <c r="I1087" s="70" t="s">
        <v>2626</v>
      </c>
      <c r="J1087" s="62" t="s">
        <v>2627</v>
      </c>
      <c r="K1087" s="8">
        <v>260508</v>
      </c>
      <c r="L1087" s="10">
        <v>46514</v>
      </c>
      <c r="M1087" s="62">
        <v>1</v>
      </c>
      <c r="N1087" s="8">
        <v>1</v>
      </c>
      <c r="O1087" s="62">
        <f t="shared" si="249"/>
        <v>0</v>
      </c>
      <c r="P1087" s="70">
        <v>349</v>
      </c>
      <c r="Q1087" s="71">
        <v>46164</v>
      </c>
      <c r="R1087" s="6">
        <v>46165</v>
      </c>
      <c r="S1087" s="64">
        <v>31710</v>
      </c>
      <c r="T1087" s="22">
        <v>18</v>
      </c>
      <c r="U1087" s="64">
        <f t="shared" si="264"/>
        <v>5707.8</v>
      </c>
      <c r="V1087" s="22">
        <v>0.4</v>
      </c>
      <c r="W1087" s="22">
        <v>74836</v>
      </c>
      <c r="X1087" s="62" t="s">
        <v>385</v>
      </c>
      <c r="Y1087" s="62">
        <v>58165905700</v>
      </c>
      <c r="Z1087" s="62"/>
      <c r="AA1087" s="65">
        <v>-20</v>
      </c>
      <c r="AB1087" s="66"/>
      <c r="AC1087" s="1" t="s">
        <v>27</v>
      </c>
      <c r="AD1087" s="62" t="str">
        <f>VLOOKUP(X1087,'Customer List'!B:C,2,)</f>
        <v>Mumbai</v>
      </c>
      <c r="AE1087" s="67"/>
      <c r="AF1087" s="6"/>
      <c r="AG1087" s="62" t="str">
        <f t="shared" si="265"/>
        <v/>
      </c>
      <c r="AH1087" s="62" t="str">
        <f t="shared" si="266"/>
        <v>Saturday</v>
      </c>
      <c r="AI1087" s="62" t="str">
        <f t="shared" si="267"/>
        <v/>
      </c>
      <c r="AJ1087" s="62" t="str">
        <f>VLOOKUP(AC1087,'Currency Sheet'!A:C,3,)</f>
        <v>DOLLAR</v>
      </c>
      <c r="AK1087" s="62" t="str">
        <f>VLOOKUP(X1087,'Customer List'!B:D,3,)</f>
        <v>OutStation</v>
      </c>
    </row>
    <row r="1088" spans="1:37" hidden="1" x14ac:dyDescent="0.25">
      <c r="A1088" s="62">
        <f t="shared" si="195"/>
        <v>1072</v>
      </c>
      <c r="B1088" s="62" t="s">
        <v>27</v>
      </c>
      <c r="C1088" s="62" t="s">
        <v>2603</v>
      </c>
      <c r="D1088" s="6">
        <v>46157</v>
      </c>
      <c r="E1088" s="6">
        <v>46163</v>
      </c>
      <c r="F1088" s="63">
        <v>211.4</v>
      </c>
      <c r="G1088" s="64">
        <f t="shared" si="262"/>
        <v>18603.2</v>
      </c>
      <c r="H1088" s="64">
        <f t="shared" si="263"/>
        <v>18603.2</v>
      </c>
      <c r="I1088" s="70" t="s">
        <v>2628</v>
      </c>
      <c r="J1088" s="62" t="s">
        <v>2624</v>
      </c>
      <c r="K1088" s="8">
        <v>260506</v>
      </c>
      <c r="L1088" s="10">
        <v>46436</v>
      </c>
      <c r="M1088" s="62">
        <v>1</v>
      </c>
      <c r="N1088" s="8">
        <v>1</v>
      </c>
      <c r="O1088" s="62">
        <f t="shared" si="249"/>
        <v>0</v>
      </c>
      <c r="P1088" s="70">
        <v>349</v>
      </c>
      <c r="Q1088" s="71">
        <v>46164</v>
      </c>
      <c r="R1088" s="6">
        <v>46165</v>
      </c>
      <c r="S1088" s="64">
        <v>31710</v>
      </c>
      <c r="T1088" s="22">
        <v>18</v>
      </c>
      <c r="U1088" s="64">
        <f t="shared" si="264"/>
        <v>5707.8</v>
      </c>
      <c r="V1088" s="22">
        <v>0</v>
      </c>
      <c r="W1088" s="22">
        <v>74836</v>
      </c>
      <c r="X1088" s="62" t="s">
        <v>385</v>
      </c>
      <c r="Y1088" s="62">
        <v>58165905700</v>
      </c>
      <c r="Z1088" s="62"/>
      <c r="AA1088" s="65">
        <v>-20</v>
      </c>
      <c r="AB1088" s="66"/>
      <c r="AC1088" s="1" t="s">
        <v>27</v>
      </c>
      <c r="AD1088" s="62" t="str">
        <f>VLOOKUP(X1088,'Customer List'!B:C,2,)</f>
        <v>Mumbai</v>
      </c>
      <c r="AE1088" s="67"/>
      <c r="AF1088" s="6"/>
      <c r="AG1088" s="62" t="str">
        <f t="shared" si="265"/>
        <v/>
      </c>
      <c r="AH1088" s="62" t="str">
        <f t="shared" si="266"/>
        <v>Saturday</v>
      </c>
      <c r="AI1088" s="62" t="str">
        <f t="shared" si="267"/>
        <v/>
      </c>
      <c r="AJ1088" s="62" t="str">
        <f>VLOOKUP(AC1088,'Currency Sheet'!A:C,3,)</f>
        <v>DOLLAR</v>
      </c>
      <c r="AK1088" s="62" t="str">
        <f>VLOOKUP(X1088,'Customer List'!B:D,3,)</f>
        <v>OutStation</v>
      </c>
    </row>
    <row r="1089" spans="1:37" hidden="1" x14ac:dyDescent="0.25">
      <c r="A1089" s="62">
        <f t="shared" si="195"/>
        <v>1073</v>
      </c>
      <c r="B1089" s="62" t="s">
        <v>27</v>
      </c>
      <c r="C1089" s="62" t="s">
        <v>2603</v>
      </c>
      <c r="D1089" s="6">
        <v>46157</v>
      </c>
      <c r="E1089" s="6">
        <v>46163</v>
      </c>
      <c r="F1089" s="63">
        <v>211.4</v>
      </c>
      <c r="G1089" s="64">
        <f t="shared" si="262"/>
        <v>18603.2</v>
      </c>
      <c r="H1089" s="64">
        <f t="shared" si="263"/>
        <v>18603.2</v>
      </c>
      <c r="I1089" s="70" t="s">
        <v>2629</v>
      </c>
      <c r="J1089" s="62" t="s">
        <v>2627</v>
      </c>
      <c r="K1089" s="8">
        <v>260508</v>
      </c>
      <c r="L1089" s="10">
        <v>46514</v>
      </c>
      <c r="M1089" s="62">
        <v>1</v>
      </c>
      <c r="N1089" s="8">
        <v>1</v>
      </c>
      <c r="O1089" s="62">
        <f t="shared" si="249"/>
        <v>0</v>
      </c>
      <c r="P1089" s="70">
        <v>350</v>
      </c>
      <c r="Q1089" s="71">
        <v>46164</v>
      </c>
      <c r="R1089" s="6">
        <v>46165</v>
      </c>
      <c r="S1089" s="64">
        <v>31710</v>
      </c>
      <c r="T1089" s="22">
        <v>18</v>
      </c>
      <c r="U1089" s="64">
        <f t="shared" si="264"/>
        <v>5707.8</v>
      </c>
      <c r="V1089" s="22">
        <v>0</v>
      </c>
      <c r="W1089" s="22">
        <v>80535</v>
      </c>
      <c r="X1089" s="62" t="s">
        <v>385</v>
      </c>
      <c r="Y1089" s="62">
        <v>58165905700</v>
      </c>
      <c r="Z1089" s="62"/>
      <c r="AA1089" s="65">
        <v>-20</v>
      </c>
      <c r="AB1089" s="66"/>
      <c r="AC1089" s="1" t="s">
        <v>27</v>
      </c>
      <c r="AD1089" s="62" t="str">
        <f>VLOOKUP(X1089,'Customer List'!B:C,2,)</f>
        <v>Mumbai</v>
      </c>
      <c r="AE1089" s="67"/>
      <c r="AF1089" s="6"/>
      <c r="AG1089" s="62" t="str">
        <f t="shared" si="265"/>
        <v/>
      </c>
      <c r="AH1089" s="62" t="str">
        <f t="shared" si="266"/>
        <v>Saturday</v>
      </c>
      <c r="AI1089" s="62" t="str">
        <f t="shared" si="267"/>
        <v/>
      </c>
      <c r="AJ1089" s="62" t="str">
        <f>VLOOKUP(AC1089,'Currency Sheet'!A:C,3,)</f>
        <v>DOLLAR</v>
      </c>
      <c r="AK1089" s="62" t="str">
        <f>VLOOKUP(X1089,'Customer List'!B:D,3,)</f>
        <v>OutStation</v>
      </c>
    </row>
    <row r="1090" spans="1:37" hidden="1" x14ac:dyDescent="0.25">
      <c r="A1090" s="62">
        <f t="shared" ref="A1090:A1153" si="268">A1089+1</f>
        <v>1074</v>
      </c>
      <c r="B1090" s="62" t="s">
        <v>27</v>
      </c>
      <c r="C1090" s="62" t="s">
        <v>2603</v>
      </c>
      <c r="D1090" s="6">
        <v>46157</v>
      </c>
      <c r="E1090" s="6">
        <v>46163</v>
      </c>
      <c r="F1090" s="63">
        <v>211.4</v>
      </c>
      <c r="G1090" s="64">
        <f t="shared" si="262"/>
        <v>18603.2</v>
      </c>
      <c r="H1090" s="64">
        <f t="shared" si="263"/>
        <v>18603.2</v>
      </c>
      <c r="I1090" s="70" t="s">
        <v>2630</v>
      </c>
      <c r="J1090" s="62" t="s">
        <v>2627</v>
      </c>
      <c r="K1090" s="8">
        <v>260508</v>
      </c>
      <c r="L1090" s="10">
        <v>46514</v>
      </c>
      <c r="M1090" s="62">
        <v>1</v>
      </c>
      <c r="N1090" s="8">
        <v>1</v>
      </c>
      <c r="O1090" s="62">
        <f t="shared" si="249"/>
        <v>0</v>
      </c>
      <c r="P1090" s="70">
        <v>350</v>
      </c>
      <c r="Q1090" s="71">
        <v>46164</v>
      </c>
      <c r="R1090" s="6">
        <v>46165</v>
      </c>
      <c r="S1090" s="64">
        <v>31710</v>
      </c>
      <c r="T1090" s="22">
        <v>18</v>
      </c>
      <c r="U1090" s="64">
        <f t="shared" si="264"/>
        <v>5707.8</v>
      </c>
      <c r="V1090" s="22">
        <v>0</v>
      </c>
      <c r="W1090" s="22">
        <v>80535</v>
      </c>
      <c r="X1090" s="62" t="s">
        <v>385</v>
      </c>
      <c r="Y1090" s="62">
        <v>58165905700</v>
      </c>
      <c r="Z1090" s="62"/>
      <c r="AA1090" s="65">
        <v>-20</v>
      </c>
      <c r="AB1090" s="66"/>
      <c r="AC1090" s="1" t="s">
        <v>27</v>
      </c>
      <c r="AD1090" s="62" t="str">
        <f>VLOOKUP(X1090,'Customer List'!B:C,2,)</f>
        <v>Mumbai</v>
      </c>
      <c r="AE1090" s="67"/>
      <c r="AF1090" s="6"/>
      <c r="AG1090" s="62" t="str">
        <f t="shared" si="265"/>
        <v/>
      </c>
      <c r="AH1090" s="62" t="str">
        <f t="shared" si="266"/>
        <v>Saturday</v>
      </c>
      <c r="AI1090" s="62" t="str">
        <f t="shared" si="267"/>
        <v/>
      </c>
      <c r="AJ1090" s="62" t="str">
        <f>VLOOKUP(AC1090,'Currency Sheet'!A:C,3,)</f>
        <v>DOLLAR</v>
      </c>
      <c r="AK1090" s="62" t="str">
        <f>VLOOKUP(X1090,'Customer List'!B:D,3,)</f>
        <v>OutStation</v>
      </c>
    </row>
    <row r="1091" spans="1:37" hidden="1" x14ac:dyDescent="0.25">
      <c r="A1091" s="62">
        <f t="shared" si="268"/>
        <v>1075</v>
      </c>
      <c r="B1091" s="62" t="s">
        <v>27</v>
      </c>
      <c r="C1091" s="62" t="s">
        <v>2603</v>
      </c>
      <c r="D1091" s="6">
        <v>46157</v>
      </c>
      <c r="E1091" s="6">
        <v>46163</v>
      </c>
      <c r="F1091" s="63">
        <v>587.29999999999995</v>
      </c>
      <c r="G1091" s="64">
        <f t="shared" si="262"/>
        <v>51682.399999999994</v>
      </c>
      <c r="H1091" s="64">
        <f t="shared" si="263"/>
        <v>51682.399999999994</v>
      </c>
      <c r="I1091" s="70" t="s">
        <v>2631</v>
      </c>
      <c r="J1091" s="62" t="s">
        <v>2632</v>
      </c>
      <c r="K1091" s="8">
        <v>260508</v>
      </c>
      <c r="L1091" s="10">
        <v>46515</v>
      </c>
      <c r="M1091" s="62">
        <v>1</v>
      </c>
      <c r="N1091" s="8">
        <v>1</v>
      </c>
      <c r="O1091" s="62">
        <f t="shared" si="249"/>
        <v>0</v>
      </c>
      <c r="P1091" s="70">
        <v>354</v>
      </c>
      <c r="Q1091" s="71">
        <v>46164</v>
      </c>
      <c r="R1091" s="6">
        <v>46165</v>
      </c>
      <c r="S1091" s="64">
        <v>83685</v>
      </c>
      <c r="T1091" s="22">
        <v>18</v>
      </c>
      <c r="U1091" s="64">
        <f t="shared" si="264"/>
        <v>15063.3</v>
      </c>
      <c r="V1091" s="22">
        <v>-0.3</v>
      </c>
      <c r="W1091" s="22">
        <v>98748</v>
      </c>
      <c r="X1091" s="62" t="s">
        <v>799</v>
      </c>
      <c r="Y1091" s="62">
        <v>58165904381</v>
      </c>
      <c r="Z1091" s="62" t="s">
        <v>2894</v>
      </c>
      <c r="AA1091" s="65">
        <v>-20</v>
      </c>
      <c r="AB1091" s="66"/>
      <c r="AC1091" s="1" t="s">
        <v>27</v>
      </c>
      <c r="AD1091" s="62" t="str">
        <f>VLOOKUP(X1091,'Customer List'!B:C,2,)</f>
        <v>Banglore</v>
      </c>
      <c r="AE1091" s="67"/>
      <c r="AF1091" s="6">
        <v>46167</v>
      </c>
      <c r="AG1091" s="62">
        <f t="shared" si="265"/>
        <v>2</v>
      </c>
      <c r="AH1091" s="62" t="str">
        <f t="shared" si="266"/>
        <v>Saturday</v>
      </c>
      <c r="AI1091" s="62" t="str">
        <f t="shared" si="267"/>
        <v>Monday</v>
      </c>
      <c r="AJ1091" s="62" t="str">
        <f>VLOOKUP(AC1091,'Currency Sheet'!A:C,3,)</f>
        <v>DOLLAR</v>
      </c>
      <c r="AK1091" s="62" t="str">
        <f>VLOOKUP(X1091,'Customer List'!B:D,3,)</f>
        <v>OutStation</v>
      </c>
    </row>
    <row r="1092" spans="1:37" hidden="1" x14ac:dyDescent="0.25">
      <c r="A1092" s="62">
        <f t="shared" si="268"/>
        <v>1076</v>
      </c>
      <c r="B1092" s="62" t="s">
        <v>27</v>
      </c>
      <c r="C1092" s="62" t="s">
        <v>2603</v>
      </c>
      <c r="D1092" s="6">
        <v>46157</v>
      </c>
      <c r="E1092" s="6">
        <v>46163</v>
      </c>
      <c r="F1092" s="63">
        <v>191.57</v>
      </c>
      <c r="G1092" s="64">
        <f t="shared" si="262"/>
        <v>16858.16</v>
      </c>
      <c r="H1092" s="64">
        <f t="shared" si="263"/>
        <v>16858.16</v>
      </c>
      <c r="I1092" s="70" t="s">
        <v>2633</v>
      </c>
      <c r="J1092" s="62" t="s">
        <v>2634</v>
      </c>
      <c r="K1092" s="8">
        <v>4007008</v>
      </c>
      <c r="L1092" s="10">
        <v>46516</v>
      </c>
      <c r="M1092" s="62">
        <v>1</v>
      </c>
      <c r="N1092" s="8">
        <v>1</v>
      </c>
      <c r="O1092" s="62">
        <f t="shared" si="249"/>
        <v>0</v>
      </c>
      <c r="P1092" s="70">
        <v>357</v>
      </c>
      <c r="Q1092" s="71">
        <v>46164</v>
      </c>
      <c r="R1092" s="6">
        <v>46165</v>
      </c>
      <c r="S1092" s="64">
        <v>81802</v>
      </c>
      <c r="T1092" s="22">
        <v>18</v>
      </c>
      <c r="U1092" s="64">
        <f t="shared" si="264"/>
        <v>14724.359999999999</v>
      </c>
      <c r="V1092" s="22">
        <v>0</v>
      </c>
      <c r="W1092" s="22"/>
      <c r="X1092" s="62" t="s">
        <v>1111</v>
      </c>
      <c r="Y1092" s="62" t="s">
        <v>2895</v>
      </c>
      <c r="Z1092" s="62" t="s">
        <v>1112</v>
      </c>
      <c r="AA1092" s="65">
        <v>-20</v>
      </c>
      <c r="AB1092" s="66" t="s">
        <v>2659</v>
      </c>
      <c r="AC1092" s="1" t="s">
        <v>27</v>
      </c>
      <c r="AD1092" s="62" t="str">
        <f>VLOOKUP(X1092,'Customer List'!B:C,2,)</f>
        <v>Kanpur</v>
      </c>
      <c r="AE1092" s="67"/>
      <c r="AF1092" s="6">
        <v>46167</v>
      </c>
      <c r="AG1092" s="62">
        <f t="shared" si="265"/>
        <v>2</v>
      </c>
      <c r="AH1092" s="62" t="str">
        <f t="shared" si="266"/>
        <v>Saturday</v>
      </c>
      <c r="AI1092" s="62" t="str">
        <f t="shared" si="267"/>
        <v>Monday</v>
      </c>
      <c r="AJ1092" s="62" t="str">
        <f>VLOOKUP(AC1092,'Currency Sheet'!A:C,3,)</f>
        <v>DOLLAR</v>
      </c>
      <c r="AK1092" s="62" t="str">
        <f>VLOOKUP(X1092,'Customer List'!B:D,3,)</f>
        <v>OutStation</v>
      </c>
    </row>
    <row r="1093" spans="1:37" hidden="1" x14ac:dyDescent="0.25">
      <c r="A1093" s="62">
        <f t="shared" si="268"/>
        <v>1077</v>
      </c>
      <c r="B1093" s="62" t="s">
        <v>27</v>
      </c>
      <c r="C1093" s="62" t="s">
        <v>2603</v>
      </c>
      <c r="D1093" s="6">
        <v>46157</v>
      </c>
      <c r="E1093" s="6">
        <v>46163</v>
      </c>
      <c r="F1093" s="63">
        <v>587.29999999999995</v>
      </c>
      <c r="G1093" s="64">
        <f t="shared" si="262"/>
        <v>51682.399999999994</v>
      </c>
      <c r="H1093" s="64">
        <f t="shared" si="263"/>
        <v>51682.399999999994</v>
      </c>
      <c r="I1093" s="70" t="s">
        <v>2635</v>
      </c>
      <c r="J1093" s="62" t="s">
        <v>2636</v>
      </c>
      <c r="K1093" s="8">
        <v>260508</v>
      </c>
      <c r="L1093" s="10">
        <v>46515</v>
      </c>
      <c r="M1093" s="62">
        <v>1</v>
      </c>
      <c r="N1093" s="8">
        <v>1</v>
      </c>
      <c r="O1093" s="62">
        <f t="shared" si="249"/>
        <v>0</v>
      </c>
      <c r="P1093" s="70">
        <v>357</v>
      </c>
      <c r="Q1093" s="71">
        <v>46164</v>
      </c>
      <c r="R1093" s="6">
        <v>46165</v>
      </c>
      <c r="S1093" s="64">
        <v>26682</v>
      </c>
      <c r="T1093" s="22">
        <v>18</v>
      </c>
      <c r="U1093" s="64">
        <f t="shared" si="264"/>
        <v>4802.76</v>
      </c>
      <c r="V1093" s="22">
        <v>0</v>
      </c>
      <c r="W1093" s="22"/>
      <c r="X1093" s="62" t="s">
        <v>1111</v>
      </c>
      <c r="Y1093" s="62" t="s">
        <v>2895</v>
      </c>
      <c r="Z1093" s="62" t="s">
        <v>1112</v>
      </c>
      <c r="AA1093" s="65">
        <v>-20</v>
      </c>
      <c r="AB1093" s="66" t="s">
        <v>2659</v>
      </c>
      <c r="AC1093" s="1" t="s">
        <v>27</v>
      </c>
      <c r="AD1093" s="62" t="str">
        <f>VLOOKUP(X1093,'Customer List'!B:C,2,)</f>
        <v>Kanpur</v>
      </c>
      <c r="AE1093" s="67"/>
      <c r="AF1093" s="6">
        <v>46167</v>
      </c>
      <c r="AG1093" s="62">
        <f t="shared" si="265"/>
        <v>2</v>
      </c>
      <c r="AH1093" s="62" t="str">
        <f t="shared" si="266"/>
        <v>Thursday</v>
      </c>
      <c r="AI1093" s="62" t="str">
        <f t="shared" si="267"/>
        <v>Monday</v>
      </c>
      <c r="AJ1093" s="62" t="str">
        <f>VLOOKUP(AC1093,'Currency Sheet'!A:C,3,)</f>
        <v>DOLLAR</v>
      </c>
      <c r="AK1093" s="62" t="str">
        <f>VLOOKUP(X1093,'Customer List'!B:D,3,)</f>
        <v>OutStation</v>
      </c>
    </row>
    <row r="1094" spans="1:37" hidden="1" x14ac:dyDescent="0.25">
      <c r="A1094" s="62">
        <f t="shared" si="268"/>
        <v>1078</v>
      </c>
      <c r="B1094" s="62" t="s">
        <v>27</v>
      </c>
      <c r="C1094" s="62" t="s">
        <v>2603</v>
      </c>
      <c r="D1094" s="6">
        <v>46157</v>
      </c>
      <c r="E1094" s="6">
        <v>46163</v>
      </c>
      <c r="F1094" s="63">
        <v>55.3</v>
      </c>
      <c r="G1094" s="64">
        <f t="shared" si="262"/>
        <v>4866.3999999999996</v>
      </c>
      <c r="H1094" s="64">
        <f t="shared" si="263"/>
        <v>4866.3999999999996</v>
      </c>
      <c r="I1094" s="70" t="s">
        <v>2637</v>
      </c>
      <c r="J1094" s="62" t="s">
        <v>2638</v>
      </c>
      <c r="K1094" s="8" t="s">
        <v>2639</v>
      </c>
      <c r="L1094" s="10">
        <v>46397</v>
      </c>
      <c r="M1094" s="62">
        <v>1</v>
      </c>
      <c r="N1094" s="8">
        <v>1</v>
      </c>
      <c r="O1094" s="62">
        <f t="shared" si="249"/>
        <v>0</v>
      </c>
      <c r="P1094" s="70">
        <v>355</v>
      </c>
      <c r="Q1094" s="71">
        <v>46164</v>
      </c>
      <c r="R1094" s="6">
        <v>46165</v>
      </c>
      <c r="S1094" s="64">
        <v>8887.5</v>
      </c>
      <c r="T1094" s="22">
        <v>5</v>
      </c>
      <c r="U1094" s="64">
        <f t="shared" si="264"/>
        <v>444.375</v>
      </c>
      <c r="V1094" s="22">
        <v>1800</v>
      </c>
      <c r="W1094" s="22">
        <v>20436</v>
      </c>
      <c r="X1094" s="62" t="s">
        <v>799</v>
      </c>
      <c r="Y1094" s="62">
        <v>58165904510</v>
      </c>
      <c r="Z1094" s="62" t="s">
        <v>2894</v>
      </c>
      <c r="AA1094" s="65">
        <v>-20</v>
      </c>
      <c r="AB1094" s="66"/>
      <c r="AC1094" s="1" t="s">
        <v>27</v>
      </c>
      <c r="AD1094" s="62" t="str">
        <f>VLOOKUP(X1094,'Customer List'!B:C,2,)</f>
        <v>Banglore</v>
      </c>
      <c r="AE1094" s="67"/>
      <c r="AF1094" s="6">
        <v>46167</v>
      </c>
      <c r="AG1094" s="62">
        <f t="shared" si="265"/>
        <v>2</v>
      </c>
      <c r="AH1094" s="62" t="str">
        <f t="shared" si="266"/>
        <v>Wednesday</v>
      </c>
      <c r="AI1094" s="62" t="str">
        <f t="shared" si="267"/>
        <v>Monday</v>
      </c>
      <c r="AJ1094" s="62" t="str">
        <f>VLOOKUP(AC1094,'Currency Sheet'!A:C,3,)</f>
        <v>DOLLAR</v>
      </c>
      <c r="AK1094" s="62" t="str">
        <f>VLOOKUP(X1094,'Customer List'!B:D,3,)</f>
        <v>OutStation</v>
      </c>
    </row>
    <row r="1095" spans="1:37" hidden="1" x14ac:dyDescent="0.25">
      <c r="A1095" s="62">
        <f t="shared" si="268"/>
        <v>1079</v>
      </c>
      <c r="B1095" s="62" t="s">
        <v>27</v>
      </c>
      <c r="C1095" s="62" t="s">
        <v>2603</v>
      </c>
      <c r="D1095" s="6">
        <v>46157</v>
      </c>
      <c r="E1095" s="6">
        <v>46163</v>
      </c>
      <c r="F1095" s="63">
        <v>54.6</v>
      </c>
      <c r="G1095" s="64">
        <f t="shared" si="262"/>
        <v>4804.8</v>
      </c>
      <c r="H1095" s="64">
        <f t="shared" si="263"/>
        <v>4804.8</v>
      </c>
      <c r="I1095" s="70" t="s">
        <v>2640</v>
      </c>
      <c r="J1095" s="62" t="s">
        <v>2641</v>
      </c>
      <c r="K1095" s="8">
        <v>22724</v>
      </c>
      <c r="L1095" s="10">
        <v>46515</v>
      </c>
      <c r="M1095" s="62">
        <v>1</v>
      </c>
      <c r="N1095" s="8">
        <v>1</v>
      </c>
      <c r="O1095" s="62">
        <f t="shared" si="249"/>
        <v>0</v>
      </c>
      <c r="P1095" s="70">
        <v>355</v>
      </c>
      <c r="Q1095" s="71">
        <v>46164</v>
      </c>
      <c r="R1095" s="6">
        <v>46165</v>
      </c>
      <c r="S1095" s="64">
        <v>875</v>
      </c>
      <c r="T1095" s="22">
        <v>5</v>
      </c>
      <c r="U1095" s="64">
        <f t="shared" si="264"/>
        <v>43.75</v>
      </c>
      <c r="V1095" s="22">
        <v>0.37</v>
      </c>
      <c r="W1095" s="22">
        <v>20436</v>
      </c>
      <c r="X1095" s="62" t="s">
        <v>799</v>
      </c>
      <c r="Y1095" s="62">
        <v>58165904510</v>
      </c>
      <c r="Z1095" s="62" t="s">
        <v>2894</v>
      </c>
      <c r="AA1095" s="65">
        <v>-20</v>
      </c>
      <c r="AB1095" s="66"/>
      <c r="AC1095" s="1" t="s">
        <v>27</v>
      </c>
      <c r="AD1095" s="62" t="str">
        <f>VLOOKUP(X1095,'Customer List'!B:C,2,)</f>
        <v>Banglore</v>
      </c>
      <c r="AE1095" s="67"/>
      <c r="AF1095" s="6">
        <v>46167</v>
      </c>
      <c r="AG1095" s="62">
        <f t="shared" si="265"/>
        <v>2</v>
      </c>
      <c r="AH1095" s="62" t="str">
        <f t="shared" si="266"/>
        <v>Saturday</v>
      </c>
      <c r="AI1095" s="62" t="str">
        <f t="shared" si="267"/>
        <v>Monday</v>
      </c>
      <c r="AJ1095" s="62" t="str">
        <f>VLOOKUP(AC1095,'Currency Sheet'!A:C,3,)</f>
        <v>DOLLAR</v>
      </c>
      <c r="AK1095" s="62" t="str">
        <f>VLOOKUP(X1095,'Customer List'!B:D,3,)</f>
        <v>OutStation</v>
      </c>
    </row>
    <row r="1096" spans="1:37" hidden="1" x14ac:dyDescent="0.25">
      <c r="A1096" s="62">
        <f t="shared" si="268"/>
        <v>1080</v>
      </c>
      <c r="B1096" s="62" t="s">
        <v>27</v>
      </c>
      <c r="C1096" s="62" t="s">
        <v>2603</v>
      </c>
      <c r="D1096" s="6">
        <v>46157</v>
      </c>
      <c r="E1096" s="6">
        <v>46163</v>
      </c>
      <c r="F1096" s="63">
        <v>72.099999999999994</v>
      </c>
      <c r="G1096" s="64">
        <f t="shared" si="262"/>
        <v>6344.7999999999993</v>
      </c>
      <c r="H1096" s="64">
        <f t="shared" si="263"/>
        <v>6344.7999999999993</v>
      </c>
      <c r="I1096" s="70" t="s">
        <v>2642</v>
      </c>
      <c r="J1096" s="62" t="s">
        <v>2643</v>
      </c>
      <c r="K1096" s="8" t="s">
        <v>2644</v>
      </c>
      <c r="L1096" s="10">
        <v>46522</v>
      </c>
      <c r="M1096" s="62">
        <v>1</v>
      </c>
      <c r="N1096" s="8">
        <v>1</v>
      </c>
      <c r="O1096" s="62">
        <f t="shared" si="249"/>
        <v>0</v>
      </c>
      <c r="P1096" s="70">
        <v>351</v>
      </c>
      <c r="Q1096" s="71">
        <v>46164</v>
      </c>
      <c r="R1096" s="6">
        <v>46165</v>
      </c>
      <c r="S1096" s="64">
        <v>11680</v>
      </c>
      <c r="T1096" s="22">
        <v>18</v>
      </c>
      <c r="U1096" s="64">
        <f t="shared" si="264"/>
        <v>2102.4</v>
      </c>
      <c r="V1096" s="22">
        <v>-0.2</v>
      </c>
      <c r="W1096" s="22">
        <v>11680</v>
      </c>
      <c r="X1096" s="62" t="s">
        <v>385</v>
      </c>
      <c r="Y1096" s="62">
        <v>58165905081</v>
      </c>
      <c r="Z1096" s="62"/>
      <c r="AA1096" s="65">
        <v>-80</v>
      </c>
      <c r="AB1096" s="66"/>
      <c r="AC1096" s="1" t="s">
        <v>27</v>
      </c>
      <c r="AD1096" s="62" t="str">
        <f>VLOOKUP(X1096,'Customer List'!B:C,2,)</f>
        <v>Mumbai</v>
      </c>
      <c r="AE1096" s="67"/>
      <c r="AF1096" s="6"/>
      <c r="AG1096" s="62" t="str">
        <f t="shared" si="265"/>
        <v/>
      </c>
      <c r="AH1096" s="62" t="str">
        <f t="shared" si="266"/>
        <v>Wednesday</v>
      </c>
      <c r="AI1096" s="62" t="str">
        <f t="shared" si="267"/>
        <v/>
      </c>
      <c r="AJ1096" s="62" t="str">
        <f>VLOOKUP(AC1096,'Currency Sheet'!A:C,3,)</f>
        <v>DOLLAR</v>
      </c>
      <c r="AK1096" s="62" t="str">
        <f>VLOOKUP(X1096,'Customer List'!B:D,3,)</f>
        <v>OutStation</v>
      </c>
    </row>
    <row r="1097" spans="1:37" hidden="1" x14ac:dyDescent="0.25">
      <c r="A1097" s="62">
        <f t="shared" si="268"/>
        <v>1081</v>
      </c>
      <c r="B1097" s="62" t="s">
        <v>27</v>
      </c>
      <c r="C1097" s="62" t="s">
        <v>2603</v>
      </c>
      <c r="D1097" s="6">
        <v>46157</v>
      </c>
      <c r="E1097" s="6">
        <v>46163</v>
      </c>
      <c r="F1097" s="63">
        <v>406</v>
      </c>
      <c r="G1097" s="64">
        <f t="shared" si="262"/>
        <v>35728</v>
      </c>
      <c r="H1097" s="64">
        <f t="shared" si="263"/>
        <v>35728</v>
      </c>
      <c r="I1097" s="70" t="s">
        <v>2645</v>
      </c>
      <c r="J1097" s="62" t="s">
        <v>2646</v>
      </c>
      <c r="K1097" s="8" t="s">
        <v>2647</v>
      </c>
      <c r="L1097" s="10">
        <v>46874</v>
      </c>
      <c r="M1097" s="62">
        <v>1</v>
      </c>
      <c r="N1097" s="8">
        <v>1</v>
      </c>
      <c r="O1097" s="62">
        <f t="shared" si="249"/>
        <v>0</v>
      </c>
      <c r="P1097" s="70">
        <v>352</v>
      </c>
      <c r="Q1097" s="71">
        <v>46164</v>
      </c>
      <c r="R1097" s="6">
        <v>46165</v>
      </c>
      <c r="S1097" s="64">
        <v>73950</v>
      </c>
      <c r="T1097" s="22">
        <v>18</v>
      </c>
      <c r="U1097" s="64">
        <f t="shared" si="264"/>
        <v>13311</v>
      </c>
      <c r="V1097" s="22">
        <v>1800</v>
      </c>
      <c r="W1097" s="22">
        <v>89385</v>
      </c>
      <c r="X1097" s="62" t="s">
        <v>1111</v>
      </c>
      <c r="Y1097" s="62">
        <v>58165904753</v>
      </c>
      <c r="Z1097" s="62" t="s">
        <v>2894</v>
      </c>
      <c r="AA1097" s="65">
        <v>-20</v>
      </c>
      <c r="AB1097" s="66"/>
      <c r="AC1097" s="1" t="s">
        <v>27</v>
      </c>
      <c r="AD1097" s="62" t="str">
        <f>VLOOKUP(X1097,'Customer List'!B:C,2,)</f>
        <v>Kanpur</v>
      </c>
      <c r="AE1097" s="67"/>
      <c r="AF1097" s="6">
        <v>46167</v>
      </c>
      <c r="AG1097" s="62">
        <f t="shared" si="265"/>
        <v>2</v>
      </c>
      <c r="AH1097" s="62" t="str">
        <f t="shared" si="266"/>
        <v>Monday</v>
      </c>
      <c r="AI1097" s="62" t="str">
        <f t="shared" si="267"/>
        <v>Monday</v>
      </c>
      <c r="AJ1097" s="62" t="str">
        <f>VLOOKUP(AC1097,'Currency Sheet'!A:C,3,)</f>
        <v>DOLLAR</v>
      </c>
      <c r="AK1097" s="62" t="str">
        <f>VLOOKUP(X1097,'Customer List'!B:D,3,)</f>
        <v>OutStation</v>
      </c>
    </row>
    <row r="1098" spans="1:37" hidden="1" x14ac:dyDescent="0.25">
      <c r="A1098" s="62">
        <f t="shared" si="268"/>
        <v>1082</v>
      </c>
      <c r="B1098" s="62" t="s">
        <v>27</v>
      </c>
      <c r="C1098" s="62" t="s">
        <v>2603</v>
      </c>
      <c r="D1098" s="6">
        <v>46157</v>
      </c>
      <c r="E1098" s="6">
        <v>46163</v>
      </c>
      <c r="F1098" s="63">
        <v>32.200000000000003</v>
      </c>
      <c r="G1098" s="64">
        <f t="shared" si="262"/>
        <v>2833.6000000000004</v>
      </c>
      <c r="H1098" s="64">
        <f t="shared" si="263"/>
        <v>2833.6000000000004</v>
      </c>
      <c r="I1098" s="70" t="s">
        <v>2648</v>
      </c>
      <c r="J1098" s="62" t="s">
        <v>2649</v>
      </c>
      <c r="K1098" s="8" t="s">
        <v>2207</v>
      </c>
      <c r="L1098" s="10">
        <v>46415</v>
      </c>
      <c r="M1098" s="62">
        <v>1</v>
      </c>
      <c r="N1098" s="8">
        <v>1</v>
      </c>
      <c r="O1098" s="62">
        <f t="shared" si="249"/>
        <v>0</v>
      </c>
      <c r="P1098" s="70">
        <v>350</v>
      </c>
      <c r="Q1098" s="71">
        <v>46164</v>
      </c>
      <c r="R1098" s="6">
        <v>46165</v>
      </c>
      <c r="S1098" s="64">
        <v>4830</v>
      </c>
      <c r="T1098" s="22">
        <v>18</v>
      </c>
      <c r="U1098" s="64">
        <f t="shared" si="264"/>
        <v>869.4</v>
      </c>
      <c r="V1098" s="22">
        <v>0</v>
      </c>
      <c r="W1098" s="22">
        <v>80535</v>
      </c>
      <c r="X1098" s="62" t="s">
        <v>385</v>
      </c>
      <c r="Y1098" s="62">
        <v>58165905700</v>
      </c>
      <c r="Z1098" s="62"/>
      <c r="AA1098" s="65">
        <v>4</v>
      </c>
      <c r="AB1098" s="66"/>
      <c r="AC1098" s="1" t="s">
        <v>27</v>
      </c>
      <c r="AD1098" s="62" t="str">
        <f>VLOOKUP(X1098,'Customer List'!B:C,2,)</f>
        <v>Mumbai</v>
      </c>
      <c r="AE1098" s="67"/>
      <c r="AF1098" s="6"/>
      <c r="AG1098" s="62" t="str">
        <f t="shared" si="265"/>
        <v/>
      </c>
      <c r="AH1098" s="62" t="str">
        <f t="shared" si="266"/>
        <v>Saturday</v>
      </c>
      <c r="AI1098" s="62" t="str">
        <f t="shared" si="267"/>
        <v/>
      </c>
      <c r="AJ1098" s="62" t="str">
        <f>VLOOKUP(AC1098,'Currency Sheet'!A:C,3,)</f>
        <v>DOLLAR</v>
      </c>
      <c r="AK1098" s="62" t="str">
        <f>VLOOKUP(X1098,'Customer List'!B:D,3,)</f>
        <v>OutStation</v>
      </c>
    </row>
    <row r="1099" spans="1:37" hidden="1" x14ac:dyDescent="0.25">
      <c r="A1099" s="62">
        <f t="shared" si="268"/>
        <v>1083</v>
      </c>
      <c r="B1099" s="62" t="s">
        <v>27</v>
      </c>
      <c r="C1099" s="62" t="s">
        <v>2603</v>
      </c>
      <c r="D1099" s="6">
        <v>46157</v>
      </c>
      <c r="E1099" s="6">
        <v>46163</v>
      </c>
      <c r="F1099" s="63">
        <v>236.6</v>
      </c>
      <c r="G1099" s="64">
        <f t="shared" si="262"/>
        <v>20820.8</v>
      </c>
      <c r="H1099" s="64">
        <f t="shared" si="263"/>
        <v>20820.8</v>
      </c>
      <c r="I1099" s="70" t="s">
        <v>2650</v>
      </c>
      <c r="J1099" s="62" t="s">
        <v>2651</v>
      </c>
      <c r="K1099" s="8">
        <v>3365773</v>
      </c>
      <c r="L1099" s="10">
        <v>46538</v>
      </c>
      <c r="M1099" s="62">
        <v>1</v>
      </c>
      <c r="N1099" s="8">
        <v>1</v>
      </c>
      <c r="O1099" s="62">
        <f t="shared" si="249"/>
        <v>0</v>
      </c>
      <c r="P1099" s="70">
        <v>345</v>
      </c>
      <c r="Q1099" s="71">
        <v>46164</v>
      </c>
      <c r="R1099" s="6">
        <v>46165</v>
      </c>
      <c r="S1099" s="64">
        <v>35490</v>
      </c>
      <c r="T1099" s="22">
        <v>5</v>
      </c>
      <c r="U1099" s="64">
        <f t="shared" si="264"/>
        <v>1774.5</v>
      </c>
      <c r="V1099" s="22">
        <v>1800</v>
      </c>
      <c r="W1099" s="22">
        <v>39154</v>
      </c>
      <c r="X1099" s="62" t="s">
        <v>404</v>
      </c>
      <c r="Y1099" s="62">
        <v>58165906724</v>
      </c>
      <c r="Z1099" s="62" t="s">
        <v>2894</v>
      </c>
      <c r="AA1099" s="65">
        <v>4</v>
      </c>
      <c r="AB1099" s="66"/>
      <c r="AC1099" s="1" t="s">
        <v>27</v>
      </c>
      <c r="AD1099" s="62" t="str">
        <f>VLOOKUP(X1099,'Customer List'!B:C,2,)</f>
        <v>BANGLORE</v>
      </c>
      <c r="AE1099" s="67"/>
      <c r="AF1099" s="6">
        <v>46167</v>
      </c>
      <c r="AG1099" s="62">
        <f t="shared" si="265"/>
        <v>2</v>
      </c>
      <c r="AH1099" s="62" t="str">
        <f t="shared" si="266"/>
        <v>Saturday</v>
      </c>
      <c r="AI1099" s="62" t="str">
        <f t="shared" si="267"/>
        <v>Monday</v>
      </c>
      <c r="AJ1099" s="62" t="str">
        <f>VLOOKUP(AC1099,'Currency Sheet'!A:C,3,)</f>
        <v>DOLLAR</v>
      </c>
      <c r="AK1099" s="62" t="str">
        <f>VLOOKUP(X1099,'Customer List'!B:D,3,)</f>
        <v>OutStation</v>
      </c>
    </row>
    <row r="1100" spans="1:37" hidden="1" x14ac:dyDescent="0.25">
      <c r="A1100" s="62">
        <f t="shared" si="268"/>
        <v>1084</v>
      </c>
      <c r="B1100" s="62" t="s">
        <v>1435</v>
      </c>
      <c r="C1100" s="62">
        <v>190172</v>
      </c>
      <c r="D1100" s="6">
        <v>46156</v>
      </c>
      <c r="E1100" s="6">
        <v>46164</v>
      </c>
      <c r="F1100" s="63">
        <v>2078.4</v>
      </c>
      <c r="G1100" s="64">
        <f t="shared" ref="G1100:G1103" si="269">IF(AJ1100="DOLLAR",F1100*88,F1100)</f>
        <v>182899.20000000001</v>
      </c>
      <c r="H1100" s="64">
        <f t="shared" ref="H1100:H1103" si="270">G1100*M1100</f>
        <v>182899.20000000001</v>
      </c>
      <c r="I1100" s="70" t="s">
        <v>884</v>
      </c>
      <c r="J1100" s="62"/>
      <c r="K1100" s="8" t="s">
        <v>2654</v>
      </c>
      <c r="L1100" s="10" t="s">
        <v>848</v>
      </c>
      <c r="M1100" s="62">
        <v>1</v>
      </c>
      <c r="N1100" s="8"/>
      <c r="O1100" s="62">
        <f t="shared" si="249"/>
        <v>1</v>
      </c>
      <c r="P1100" s="70"/>
      <c r="Q1100" s="71"/>
      <c r="R1100" s="6"/>
      <c r="S1100" s="64">
        <v>298770</v>
      </c>
      <c r="T1100" s="22">
        <v>5</v>
      </c>
      <c r="U1100" s="64">
        <f t="shared" ref="U1100:U1101" si="271">S1100*T1100%</f>
        <v>14938.5</v>
      </c>
      <c r="V1100" s="22">
        <v>0.4</v>
      </c>
      <c r="W1100" s="22">
        <v>322901</v>
      </c>
      <c r="X1100" s="62" t="s">
        <v>2656</v>
      </c>
      <c r="Y1100" s="62"/>
      <c r="Z1100" s="62"/>
      <c r="AA1100" s="65">
        <v>4</v>
      </c>
      <c r="AB1100" s="66"/>
      <c r="AC1100" s="1" t="s">
        <v>1435</v>
      </c>
      <c r="AD1100" s="62" t="str">
        <f>VLOOKUP(X1100,'Customer List'!B:C,2,)</f>
        <v>Banglore</v>
      </c>
      <c r="AE1100" s="67" t="s">
        <v>2667</v>
      </c>
      <c r="AF1100" s="6"/>
      <c r="AG1100" s="62" t="str">
        <f t="shared" ref="AG1100:AG1101" si="272">IF(AF1100="", "", AF1100-R1100)</f>
        <v/>
      </c>
      <c r="AH1100" s="62" t="str">
        <f t="shared" ref="AH1100:AH1101" si="273">IF(S1100="", "", TEXT(S1100, "dddd"))</f>
        <v>Tuesday</v>
      </c>
      <c r="AI1100" s="62" t="str">
        <f t="shared" ref="AI1100:AI1101" si="274">IF(AF1100="", "", TEXT(AF1100, "dddd"))</f>
        <v/>
      </c>
      <c r="AJ1100" s="62" t="str">
        <f>VLOOKUP(AC1100,'Currency Sheet'!A:C,3,)</f>
        <v>DOLLAR</v>
      </c>
      <c r="AK1100" s="62" t="str">
        <f>VLOOKUP(X1100,'Customer List'!B:D,3,)</f>
        <v>OutStation</v>
      </c>
    </row>
    <row r="1101" spans="1:37" hidden="1" x14ac:dyDescent="0.25">
      <c r="A1101" s="62">
        <f t="shared" si="268"/>
        <v>1085</v>
      </c>
      <c r="B1101" s="62" t="s">
        <v>1435</v>
      </c>
      <c r="C1101" s="62">
        <v>190172</v>
      </c>
      <c r="D1101" s="6">
        <v>46156</v>
      </c>
      <c r="E1101" s="6">
        <v>46164</v>
      </c>
      <c r="F1101" s="63">
        <v>60.9</v>
      </c>
      <c r="G1101" s="64">
        <f t="shared" si="269"/>
        <v>5359.2</v>
      </c>
      <c r="H1101" s="64">
        <f t="shared" si="270"/>
        <v>5359.2</v>
      </c>
      <c r="I1101" s="70" t="s">
        <v>1934</v>
      </c>
      <c r="J1101" s="62"/>
      <c r="K1101" s="8" t="s">
        <v>2655</v>
      </c>
      <c r="L1101" s="10" t="s">
        <v>848</v>
      </c>
      <c r="M1101" s="62">
        <v>1</v>
      </c>
      <c r="N1101" s="8"/>
      <c r="O1101" s="62">
        <f t="shared" si="249"/>
        <v>1</v>
      </c>
      <c r="P1101" s="70"/>
      <c r="Q1101" s="71"/>
      <c r="R1101" s="6"/>
      <c r="S1101" s="64">
        <v>8754.3799999999992</v>
      </c>
      <c r="T1101" s="22">
        <v>5</v>
      </c>
      <c r="U1101" s="64">
        <f t="shared" si="271"/>
        <v>437.71899999999999</v>
      </c>
      <c r="V1101" s="22">
        <v>0</v>
      </c>
      <c r="W1101" s="22">
        <v>322901</v>
      </c>
      <c r="X1101" s="62" t="s">
        <v>2656</v>
      </c>
      <c r="Y1101" s="62"/>
      <c r="Z1101" s="62"/>
      <c r="AA1101" s="65">
        <v>4</v>
      </c>
      <c r="AB1101" s="66"/>
      <c r="AC1101" s="1" t="s">
        <v>1435</v>
      </c>
      <c r="AD1101" s="62" t="str">
        <f>VLOOKUP(X1101,'Customer List'!B:C,2,)</f>
        <v>Banglore</v>
      </c>
      <c r="AE1101" s="67" t="s">
        <v>2667</v>
      </c>
      <c r="AF1101" s="6"/>
      <c r="AG1101" s="62" t="str">
        <f t="shared" si="272"/>
        <v/>
      </c>
      <c r="AH1101" s="62" t="str">
        <f t="shared" si="273"/>
        <v>Wednesday</v>
      </c>
      <c r="AI1101" s="62" t="str">
        <f t="shared" si="274"/>
        <v/>
      </c>
      <c r="AJ1101" s="62" t="str">
        <f>VLOOKUP(AC1101,'Currency Sheet'!A:C,3,)</f>
        <v>DOLLAR</v>
      </c>
      <c r="AK1101" s="62" t="str">
        <f>VLOOKUP(X1101,'Customer List'!B:D,3,)</f>
        <v>OutStation</v>
      </c>
    </row>
    <row r="1102" spans="1:37" hidden="1" x14ac:dyDescent="0.25">
      <c r="A1102" s="62">
        <f t="shared" si="268"/>
        <v>1086</v>
      </c>
      <c r="B1102" s="62" t="s">
        <v>2660</v>
      </c>
      <c r="C1102" s="62" t="s">
        <v>2661</v>
      </c>
      <c r="D1102" s="6">
        <v>46160</v>
      </c>
      <c r="E1102" s="6">
        <v>46164</v>
      </c>
      <c r="F1102" s="63">
        <v>7702.4</v>
      </c>
      <c r="G1102" s="64">
        <f t="shared" si="269"/>
        <v>7702.4</v>
      </c>
      <c r="H1102" s="64">
        <f t="shared" si="270"/>
        <v>46214.399999999994</v>
      </c>
      <c r="I1102" s="70" t="s">
        <v>2662</v>
      </c>
      <c r="J1102" s="62"/>
      <c r="K1102" s="8" t="s">
        <v>2664</v>
      </c>
      <c r="L1102" s="10">
        <v>46673</v>
      </c>
      <c r="M1102" s="62">
        <v>6</v>
      </c>
      <c r="N1102" s="8">
        <v>6</v>
      </c>
      <c r="O1102" s="62">
        <f t="shared" si="249"/>
        <v>0</v>
      </c>
      <c r="P1102" s="70">
        <v>362</v>
      </c>
      <c r="Q1102" s="71">
        <v>46167</v>
      </c>
      <c r="R1102" s="6">
        <v>46167</v>
      </c>
      <c r="S1102" s="64">
        <v>95616</v>
      </c>
      <c r="T1102" s="22">
        <v>18</v>
      </c>
      <c r="U1102" s="64">
        <f t="shared" ref="U1102:U1103" si="275">S1102*T1102%</f>
        <v>17210.88</v>
      </c>
      <c r="V1102" s="22">
        <v>0.12</v>
      </c>
      <c r="W1102" s="22">
        <v>112827</v>
      </c>
      <c r="X1102" s="62" t="s">
        <v>797</v>
      </c>
      <c r="Y1102" s="62" t="s">
        <v>1120</v>
      </c>
      <c r="Z1102" s="62" t="s">
        <v>1863</v>
      </c>
      <c r="AA1102" s="65">
        <v>-20</v>
      </c>
      <c r="AB1102" s="66" t="s">
        <v>2881</v>
      </c>
      <c r="AC1102" s="1" t="s">
        <v>2666</v>
      </c>
      <c r="AD1102" s="62" t="str">
        <f>VLOOKUP(X1102,'Customer List'!B:C,2,)</f>
        <v>Delhi</v>
      </c>
      <c r="AE1102" s="67"/>
      <c r="AF1102" s="6"/>
      <c r="AG1102" s="62" t="str">
        <f t="shared" ref="AG1102:AG1103" si="276">IF(AF1102="", "", AF1102-R1102)</f>
        <v/>
      </c>
      <c r="AH1102" s="62" t="str">
        <f t="shared" ref="AH1102:AH1103" si="277">IF(S1102="", "", TEXT(S1102, "dddd"))</f>
        <v>Tuesday</v>
      </c>
      <c r="AI1102" s="62" t="str">
        <f t="shared" ref="AI1102:AI1103" si="278">IF(AF1102="", "", TEXT(AF1102, "dddd"))</f>
        <v/>
      </c>
      <c r="AJ1102" s="62" t="str">
        <f>VLOOKUP(AC1102,'Currency Sheet'!A:C,3,)</f>
        <v>INR</v>
      </c>
      <c r="AK1102" s="62" t="str">
        <f>VLOOKUP(X1102,'Customer List'!B:D,3,)</f>
        <v>Local</v>
      </c>
    </row>
    <row r="1103" spans="1:37" hidden="1" x14ac:dyDescent="0.25">
      <c r="A1103" s="62">
        <f t="shared" si="268"/>
        <v>1087</v>
      </c>
      <c r="B1103" s="62" t="s">
        <v>2660</v>
      </c>
      <c r="C1103" s="62" t="s">
        <v>2661</v>
      </c>
      <c r="D1103" s="6">
        <v>46160</v>
      </c>
      <c r="E1103" s="6">
        <v>46164</v>
      </c>
      <c r="F1103" s="63">
        <v>30810</v>
      </c>
      <c r="G1103" s="64">
        <f t="shared" si="269"/>
        <v>30810</v>
      </c>
      <c r="H1103" s="64">
        <f t="shared" si="270"/>
        <v>30810</v>
      </c>
      <c r="I1103" s="70" t="s">
        <v>2663</v>
      </c>
      <c r="J1103" s="62"/>
      <c r="K1103" s="8" t="s">
        <v>2665</v>
      </c>
      <c r="L1103" s="10">
        <v>46624</v>
      </c>
      <c r="M1103" s="62">
        <v>1</v>
      </c>
      <c r="N1103" s="8">
        <v>1</v>
      </c>
      <c r="O1103" s="62">
        <f t="shared" si="249"/>
        <v>0</v>
      </c>
      <c r="P1103" s="70">
        <v>362</v>
      </c>
      <c r="Q1103" s="71">
        <v>46167</v>
      </c>
      <c r="R1103" s="6">
        <v>46167</v>
      </c>
      <c r="S1103" s="64">
        <v>0</v>
      </c>
      <c r="T1103" s="22">
        <v>5</v>
      </c>
      <c r="U1103" s="64">
        <f t="shared" si="275"/>
        <v>0</v>
      </c>
      <c r="V1103" s="22">
        <v>0</v>
      </c>
      <c r="W1103" s="22">
        <v>112827</v>
      </c>
      <c r="X1103" s="62" t="s">
        <v>797</v>
      </c>
      <c r="Y1103" s="62" t="s">
        <v>1120</v>
      </c>
      <c r="Z1103" s="62" t="s">
        <v>1863</v>
      </c>
      <c r="AA1103" s="65">
        <v>-20</v>
      </c>
      <c r="AB1103" s="66" t="s">
        <v>2881</v>
      </c>
      <c r="AC1103" s="1" t="s">
        <v>2666</v>
      </c>
      <c r="AD1103" s="62" t="str">
        <f>VLOOKUP(X1103,'Customer List'!B:C,2,)</f>
        <v>Delhi</v>
      </c>
      <c r="AE1103" s="67"/>
      <c r="AF1103" s="6"/>
      <c r="AG1103" s="62" t="str">
        <f t="shared" si="276"/>
        <v/>
      </c>
      <c r="AH1103" s="62" t="str">
        <f t="shared" si="277"/>
        <v>Saturday</v>
      </c>
      <c r="AI1103" s="62" t="str">
        <f t="shared" si="278"/>
        <v/>
      </c>
      <c r="AJ1103" s="62" t="str">
        <f>VLOOKUP(AC1103,'Currency Sheet'!A:C,3,)</f>
        <v>INR</v>
      </c>
      <c r="AK1103" s="62" t="str">
        <f>VLOOKUP(X1103,'Customer List'!B:D,3,)</f>
        <v>Local</v>
      </c>
    </row>
    <row r="1104" spans="1:37" hidden="1" x14ac:dyDescent="0.25">
      <c r="A1104" s="62">
        <f t="shared" si="268"/>
        <v>1088</v>
      </c>
      <c r="B1104" s="62" t="s">
        <v>824</v>
      </c>
      <c r="C1104" s="62" t="s">
        <v>2877</v>
      </c>
      <c r="D1104" s="6"/>
      <c r="E1104" s="6">
        <v>46165</v>
      </c>
      <c r="F1104" s="63">
        <v>234.5</v>
      </c>
      <c r="G1104" s="64">
        <f t="shared" ref="G1104:G1167" si="279">IF(AJ1104="DOLLAR",F1104*88,F1104)</f>
        <v>20636</v>
      </c>
      <c r="H1104" s="64">
        <f t="shared" ref="H1104:H1167" si="280">G1104*M1104</f>
        <v>41272</v>
      </c>
      <c r="I1104" s="70">
        <v>423102</v>
      </c>
      <c r="J1104" s="62" t="s">
        <v>1559</v>
      </c>
      <c r="K1104" s="8" t="s">
        <v>2669</v>
      </c>
      <c r="L1104" s="10">
        <v>46811</v>
      </c>
      <c r="M1104" s="62">
        <v>2</v>
      </c>
      <c r="N1104" s="8">
        <v>2</v>
      </c>
      <c r="O1104" s="62">
        <f t="shared" si="249"/>
        <v>0</v>
      </c>
      <c r="P1104" s="70">
        <v>386</v>
      </c>
      <c r="Q1104" s="71">
        <v>46167</v>
      </c>
      <c r="R1104" s="6">
        <v>46168</v>
      </c>
      <c r="S1104" s="64">
        <v>72695</v>
      </c>
      <c r="T1104" s="22">
        <v>5</v>
      </c>
      <c r="U1104" s="64">
        <f t="shared" ref="U1104:U1167" si="281">S1104*T1104%</f>
        <v>3634.75</v>
      </c>
      <c r="V1104" s="22">
        <v>0.25</v>
      </c>
      <c r="W1104" s="22">
        <v>76330</v>
      </c>
      <c r="X1104" s="62" t="s">
        <v>2862</v>
      </c>
      <c r="Y1104" s="62">
        <v>58166005321</v>
      </c>
      <c r="Z1104" s="62"/>
      <c r="AA1104" s="65">
        <v>20</v>
      </c>
      <c r="AB1104" s="66"/>
      <c r="AC1104" s="1" t="s">
        <v>1842</v>
      </c>
      <c r="AD1104" s="62" t="str">
        <f>VLOOKUP(X1104,'Customer List'!B:C,2,)</f>
        <v>Ahemedabad</v>
      </c>
      <c r="AE1104" s="67"/>
      <c r="AF1104" s="6"/>
      <c r="AG1104" s="62" t="str">
        <f t="shared" ref="AG1104:AG1167" si="282">IF(AF1104="", "", AF1104-R1104)</f>
        <v/>
      </c>
      <c r="AH1104" s="62" t="str">
        <f t="shared" ref="AH1104:AH1167" si="283">IF(S1104="", "", TEXT(S1104, "dddd"))</f>
        <v>Saturday</v>
      </c>
      <c r="AI1104" s="62" t="str">
        <f t="shared" ref="AI1104:AI1167" si="284">IF(AF1104="", "", TEXT(AF1104, "dddd"))</f>
        <v/>
      </c>
      <c r="AJ1104" s="62" t="str">
        <f>VLOOKUP(AC1104,'Currency Sheet'!A:C,3,)</f>
        <v>DOLLAR</v>
      </c>
      <c r="AK1104" s="62" t="str">
        <f>VLOOKUP(X1104,'Customer List'!B:D,3,)</f>
        <v>OutStation</v>
      </c>
    </row>
    <row r="1105" spans="1:37" hidden="1" x14ac:dyDescent="0.25">
      <c r="A1105" s="62">
        <f t="shared" si="268"/>
        <v>1089</v>
      </c>
      <c r="B1105" s="62" t="s">
        <v>824</v>
      </c>
      <c r="C1105" s="62" t="s">
        <v>2877</v>
      </c>
      <c r="D1105" s="6"/>
      <c r="E1105" s="6">
        <v>46165</v>
      </c>
      <c r="F1105" s="63">
        <v>83.3</v>
      </c>
      <c r="G1105" s="64">
        <f t="shared" si="279"/>
        <v>7330.4</v>
      </c>
      <c r="H1105" s="64">
        <f t="shared" si="280"/>
        <v>7330.4</v>
      </c>
      <c r="I1105" s="70">
        <v>502511</v>
      </c>
      <c r="J1105" s="62" t="s">
        <v>1569</v>
      </c>
      <c r="K1105" s="8" t="s">
        <v>2670</v>
      </c>
      <c r="L1105" s="10">
        <v>46629</v>
      </c>
      <c r="M1105" s="62">
        <v>1</v>
      </c>
      <c r="N1105" s="8">
        <v>1</v>
      </c>
      <c r="O1105" s="62">
        <f t="shared" si="249"/>
        <v>0</v>
      </c>
      <c r="P1105" s="70">
        <v>378</v>
      </c>
      <c r="Q1105" s="71">
        <v>46167</v>
      </c>
      <c r="R1105" s="6">
        <v>46168</v>
      </c>
      <c r="S1105" s="64">
        <v>12911.5</v>
      </c>
      <c r="T1105" s="22">
        <v>5</v>
      </c>
      <c r="U1105" s="64">
        <f t="shared" si="281"/>
        <v>645.57500000000005</v>
      </c>
      <c r="V1105" s="22">
        <v>0</v>
      </c>
      <c r="W1105" s="22">
        <v>65507</v>
      </c>
      <c r="X1105" s="62" t="s">
        <v>2863</v>
      </c>
      <c r="Y1105" s="62">
        <v>58166001762</v>
      </c>
      <c r="Z1105" s="62"/>
      <c r="AA1105" s="65">
        <v>4</v>
      </c>
      <c r="AB1105" s="66"/>
      <c r="AC1105" s="1" t="s">
        <v>1842</v>
      </c>
      <c r="AD1105" s="62" t="str">
        <f>VLOOKUP(X1105,'Customer List'!B:C,2,)</f>
        <v>VARANASI</v>
      </c>
      <c r="AE1105" s="67"/>
      <c r="AF1105" s="6"/>
      <c r="AG1105" s="62" t="str">
        <f t="shared" si="282"/>
        <v/>
      </c>
      <c r="AH1105" s="62" t="str">
        <f t="shared" si="283"/>
        <v>Tuesday</v>
      </c>
      <c r="AI1105" s="62" t="str">
        <f t="shared" si="284"/>
        <v/>
      </c>
      <c r="AJ1105" s="62" t="str">
        <f>VLOOKUP(AC1105,'Currency Sheet'!A:C,3,)</f>
        <v>DOLLAR</v>
      </c>
      <c r="AK1105" s="62" t="str">
        <f>VLOOKUP(X1105,'Customer List'!B:D,3,)</f>
        <v>OutStation</v>
      </c>
    </row>
    <row r="1106" spans="1:37" hidden="1" x14ac:dyDescent="0.25">
      <c r="A1106" s="62">
        <f t="shared" si="268"/>
        <v>1090</v>
      </c>
      <c r="B1106" s="62" t="s">
        <v>824</v>
      </c>
      <c r="C1106" s="62" t="s">
        <v>2877</v>
      </c>
      <c r="D1106" s="6"/>
      <c r="E1106" s="6">
        <v>46165</v>
      </c>
      <c r="F1106" s="63">
        <v>161.25</v>
      </c>
      <c r="G1106" s="64">
        <f t="shared" si="279"/>
        <v>14190</v>
      </c>
      <c r="H1106" s="64">
        <f t="shared" si="280"/>
        <v>14190</v>
      </c>
      <c r="I1106" s="70">
        <v>500345</v>
      </c>
      <c r="J1106" s="62" t="s">
        <v>2671</v>
      </c>
      <c r="K1106" s="8" t="s">
        <v>2672</v>
      </c>
      <c r="L1106" s="10">
        <v>46395</v>
      </c>
      <c r="M1106" s="62">
        <v>1</v>
      </c>
      <c r="N1106" s="8">
        <v>1</v>
      </c>
      <c r="O1106" s="62">
        <f t="shared" si="249"/>
        <v>0</v>
      </c>
      <c r="P1106" s="70">
        <v>378</v>
      </c>
      <c r="Q1106" s="71">
        <v>46167</v>
      </c>
      <c r="R1106" s="6">
        <v>46168</v>
      </c>
      <c r="S1106" s="64">
        <v>23327.5</v>
      </c>
      <c r="T1106" s="22">
        <v>5</v>
      </c>
      <c r="U1106" s="64">
        <f t="shared" si="281"/>
        <v>1166.375</v>
      </c>
      <c r="V1106" s="22">
        <v>0</v>
      </c>
      <c r="W1106" s="22">
        <v>65507</v>
      </c>
      <c r="X1106" s="62" t="s">
        <v>2863</v>
      </c>
      <c r="Y1106" s="62">
        <v>58166001762</v>
      </c>
      <c r="Z1106" s="62"/>
      <c r="AA1106" s="65">
        <v>4</v>
      </c>
      <c r="AB1106" s="66"/>
      <c r="AC1106" s="1" t="s">
        <v>1842</v>
      </c>
      <c r="AD1106" s="62" t="str">
        <f>VLOOKUP(X1106,'Customer List'!B:C,2,)</f>
        <v>VARANASI</v>
      </c>
      <c r="AE1106" s="67"/>
      <c r="AF1106" s="6"/>
      <c r="AG1106" s="62" t="str">
        <f t="shared" si="282"/>
        <v/>
      </c>
      <c r="AH1106" s="62" t="str">
        <f t="shared" si="283"/>
        <v>Tuesday</v>
      </c>
      <c r="AI1106" s="62" t="str">
        <f t="shared" si="284"/>
        <v/>
      </c>
      <c r="AJ1106" s="62" t="str">
        <f>VLOOKUP(AC1106,'Currency Sheet'!A:C,3,)</f>
        <v>DOLLAR</v>
      </c>
      <c r="AK1106" s="62" t="str">
        <f>VLOOKUP(X1106,'Customer List'!B:D,3,)</f>
        <v>OutStation</v>
      </c>
    </row>
    <row r="1107" spans="1:37" hidden="1" x14ac:dyDescent="0.25">
      <c r="A1107" s="62">
        <f t="shared" si="268"/>
        <v>1091</v>
      </c>
      <c r="B1107" s="62" t="s">
        <v>824</v>
      </c>
      <c r="C1107" s="62" t="s">
        <v>2877</v>
      </c>
      <c r="D1107" s="6"/>
      <c r="E1107" s="6">
        <v>46165</v>
      </c>
      <c r="F1107" s="63">
        <v>90.3</v>
      </c>
      <c r="G1107" s="64">
        <f t="shared" si="279"/>
        <v>7946.4</v>
      </c>
      <c r="H1107" s="64">
        <f t="shared" si="280"/>
        <v>7946.4</v>
      </c>
      <c r="I1107" s="70">
        <v>396405</v>
      </c>
      <c r="J1107" s="62" t="s">
        <v>746</v>
      </c>
      <c r="K1107" s="8" t="s">
        <v>2673</v>
      </c>
      <c r="L1107" s="10">
        <v>46610</v>
      </c>
      <c r="M1107" s="62">
        <v>1</v>
      </c>
      <c r="N1107" s="8">
        <v>1</v>
      </c>
      <c r="O1107" s="62">
        <f t="shared" si="249"/>
        <v>0</v>
      </c>
      <c r="P1107" s="70">
        <v>378</v>
      </c>
      <c r="Q1107" s="71">
        <v>46167</v>
      </c>
      <c r="R1107" s="6">
        <v>46168</v>
      </c>
      <c r="S1107" s="64">
        <v>13996.5</v>
      </c>
      <c r="T1107" s="22">
        <v>5</v>
      </c>
      <c r="U1107" s="64">
        <f t="shared" si="281"/>
        <v>699.82500000000005</v>
      </c>
      <c r="V1107" s="22">
        <v>0</v>
      </c>
      <c r="W1107" s="22">
        <v>65507</v>
      </c>
      <c r="X1107" s="62" t="s">
        <v>2863</v>
      </c>
      <c r="Y1107" s="62">
        <v>58166001762</v>
      </c>
      <c r="Z1107" s="62"/>
      <c r="AA1107" s="65">
        <v>4</v>
      </c>
      <c r="AB1107" s="66"/>
      <c r="AC1107" s="1" t="s">
        <v>1842</v>
      </c>
      <c r="AD1107" s="62" t="str">
        <f>VLOOKUP(X1107,'Customer List'!B:C,2,)</f>
        <v>VARANASI</v>
      </c>
      <c r="AE1107" s="67"/>
      <c r="AF1107" s="6"/>
      <c r="AG1107" s="62" t="str">
        <f t="shared" si="282"/>
        <v/>
      </c>
      <c r="AH1107" s="62" t="str">
        <f t="shared" si="283"/>
        <v>Tuesday</v>
      </c>
      <c r="AI1107" s="62" t="str">
        <f t="shared" si="284"/>
        <v/>
      </c>
      <c r="AJ1107" s="62" t="str">
        <f>VLOOKUP(AC1107,'Currency Sheet'!A:C,3,)</f>
        <v>DOLLAR</v>
      </c>
      <c r="AK1107" s="62" t="str">
        <f>VLOOKUP(X1107,'Customer List'!B:D,3,)</f>
        <v>OutStation</v>
      </c>
    </row>
    <row r="1108" spans="1:37" hidden="1" x14ac:dyDescent="0.25">
      <c r="A1108" s="62">
        <f t="shared" si="268"/>
        <v>1092</v>
      </c>
      <c r="B1108" s="62" t="s">
        <v>824</v>
      </c>
      <c r="C1108" s="62" t="s">
        <v>2877</v>
      </c>
      <c r="D1108" s="6"/>
      <c r="E1108" s="6">
        <v>46165</v>
      </c>
      <c r="F1108" s="63">
        <v>69.3</v>
      </c>
      <c r="G1108" s="64">
        <f t="shared" si="279"/>
        <v>6098.4</v>
      </c>
      <c r="H1108" s="64">
        <f t="shared" si="280"/>
        <v>6098.4</v>
      </c>
      <c r="I1108" s="70">
        <v>317325</v>
      </c>
      <c r="J1108" s="62" t="s">
        <v>749</v>
      </c>
      <c r="K1108" s="8" t="s">
        <v>2674</v>
      </c>
      <c r="L1108" s="10">
        <v>48798</v>
      </c>
      <c r="M1108" s="62">
        <v>1</v>
      </c>
      <c r="N1108" s="8">
        <v>1</v>
      </c>
      <c r="O1108" s="62">
        <f t="shared" si="249"/>
        <v>0</v>
      </c>
      <c r="P1108" s="70">
        <v>376</v>
      </c>
      <c r="Q1108" s="71">
        <v>46167</v>
      </c>
      <c r="R1108" s="6">
        <v>46167</v>
      </c>
      <c r="S1108" s="64">
        <v>10395</v>
      </c>
      <c r="T1108" s="22">
        <v>5</v>
      </c>
      <c r="U1108" s="64">
        <f t="shared" si="281"/>
        <v>519.75</v>
      </c>
      <c r="V1108" s="22">
        <v>0.25</v>
      </c>
      <c r="W1108" s="22">
        <v>10915</v>
      </c>
      <c r="X1108" s="62" t="s">
        <v>136</v>
      </c>
      <c r="Y1108" s="62">
        <v>58165950290</v>
      </c>
      <c r="Z1108" s="62"/>
      <c r="AA1108" s="65">
        <v>4</v>
      </c>
      <c r="AB1108" s="66"/>
      <c r="AC1108" s="1" t="s">
        <v>1842</v>
      </c>
      <c r="AD1108" s="62" t="str">
        <f>VLOOKUP(X1108,'Customer List'!B:C,2,)</f>
        <v>Kolkata</v>
      </c>
      <c r="AE1108" s="67"/>
      <c r="AF1108" s="6"/>
      <c r="AG1108" s="62" t="str">
        <f t="shared" si="282"/>
        <v/>
      </c>
      <c r="AH1108" s="62" t="str">
        <f t="shared" si="283"/>
        <v>Saturday</v>
      </c>
      <c r="AI1108" s="62" t="str">
        <f t="shared" si="284"/>
        <v/>
      </c>
      <c r="AJ1108" s="62" t="str">
        <f>VLOOKUP(AC1108,'Currency Sheet'!A:C,3,)</f>
        <v>DOLLAR</v>
      </c>
      <c r="AK1108" s="62" t="str">
        <f>VLOOKUP(X1108,'Customer List'!B:D,3,)</f>
        <v>OutStation</v>
      </c>
    </row>
    <row r="1109" spans="1:37" hidden="1" x14ac:dyDescent="0.25">
      <c r="A1109" s="62">
        <f t="shared" si="268"/>
        <v>1093</v>
      </c>
      <c r="B1109" s="62" t="s">
        <v>824</v>
      </c>
      <c r="C1109" s="62" t="s">
        <v>2877</v>
      </c>
      <c r="D1109" s="6"/>
      <c r="E1109" s="6">
        <v>46165</v>
      </c>
      <c r="F1109" s="63">
        <v>131.6</v>
      </c>
      <c r="G1109" s="64">
        <f t="shared" si="279"/>
        <v>11580.8</v>
      </c>
      <c r="H1109" s="64">
        <f t="shared" si="280"/>
        <v>11580.8</v>
      </c>
      <c r="I1109" s="70">
        <v>353755</v>
      </c>
      <c r="J1109" s="62" t="s">
        <v>2675</v>
      </c>
      <c r="K1109" s="8" t="s">
        <v>2676</v>
      </c>
      <c r="L1109" s="10">
        <v>46811</v>
      </c>
      <c r="M1109" s="62">
        <v>1</v>
      </c>
      <c r="N1109" s="8">
        <v>1</v>
      </c>
      <c r="O1109" s="62">
        <f t="shared" si="249"/>
        <v>0</v>
      </c>
      <c r="P1109" s="70">
        <v>375</v>
      </c>
      <c r="Q1109" s="71">
        <v>46167</v>
      </c>
      <c r="R1109" s="6">
        <v>46167</v>
      </c>
      <c r="S1109" s="64">
        <v>20398</v>
      </c>
      <c r="T1109" s="22">
        <v>5</v>
      </c>
      <c r="U1109" s="64">
        <f t="shared" si="281"/>
        <v>1019.9000000000001</v>
      </c>
      <c r="V1109" s="22">
        <v>0.1</v>
      </c>
      <c r="W1109" s="22">
        <v>21418</v>
      </c>
      <c r="X1109" s="62" t="s">
        <v>15</v>
      </c>
      <c r="Y1109" s="62" t="s">
        <v>2893</v>
      </c>
      <c r="Z1109" s="62" t="s">
        <v>1112</v>
      </c>
      <c r="AA1109" s="65">
        <v>4</v>
      </c>
      <c r="AB1109" s="66"/>
      <c r="AC1109" s="1" t="s">
        <v>1842</v>
      </c>
      <c r="AD1109" s="62" t="str">
        <f>VLOOKUP(X1109,'Customer List'!B:C,2,)</f>
        <v>Chandigarh</v>
      </c>
      <c r="AE1109" s="67"/>
      <c r="AF1109" s="6">
        <v>46168</v>
      </c>
      <c r="AG1109" s="62">
        <f t="shared" si="282"/>
        <v>1</v>
      </c>
      <c r="AH1109" s="62" t="str">
        <f t="shared" si="283"/>
        <v>Saturday</v>
      </c>
      <c r="AI1109" s="62" t="str">
        <f t="shared" si="284"/>
        <v>Tuesday</v>
      </c>
      <c r="AJ1109" s="62" t="str">
        <f>VLOOKUP(AC1109,'Currency Sheet'!A:C,3,)</f>
        <v>DOLLAR</v>
      </c>
      <c r="AK1109" s="62" t="str">
        <f>VLOOKUP(X1109,'Customer List'!B:D,3,)</f>
        <v>OutStation</v>
      </c>
    </row>
    <row r="1110" spans="1:37" hidden="1" x14ac:dyDescent="0.25">
      <c r="A1110" s="62">
        <f t="shared" si="268"/>
        <v>1094</v>
      </c>
      <c r="B1110" s="62" t="s">
        <v>824</v>
      </c>
      <c r="C1110" s="62" t="s">
        <v>2877</v>
      </c>
      <c r="D1110" s="6"/>
      <c r="E1110" s="6">
        <v>46165</v>
      </c>
      <c r="F1110" s="63">
        <v>95.2</v>
      </c>
      <c r="G1110" s="64">
        <f t="shared" si="279"/>
        <v>8377.6</v>
      </c>
      <c r="H1110" s="64">
        <f t="shared" si="280"/>
        <v>8377.6</v>
      </c>
      <c r="I1110" s="70">
        <v>350509</v>
      </c>
      <c r="J1110" s="62" t="s">
        <v>2677</v>
      </c>
      <c r="K1110" s="8" t="s">
        <v>2678</v>
      </c>
      <c r="L1110" s="10">
        <v>46818</v>
      </c>
      <c r="M1110" s="62">
        <v>1</v>
      </c>
      <c r="N1110" s="8"/>
      <c r="O1110" s="62">
        <f t="shared" si="249"/>
        <v>1</v>
      </c>
      <c r="P1110" s="70"/>
      <c r="Q1110" s="71"/>
      <c r="R1110" s="6"/>
      <c r="S1110" s="64"/>
      <c r="T1110" s="22">
        <v>5</v>
      </c>
      <c r="U1110" s="64">
        <f t="shared" si="281"/>
        <v>0</v>
      </c>
      <c r="V1110" s="22"/>
      <c r="W1110" s="22"/>
      <c r="X1110" s="62" t="s">
        <v>96</v>
      </c>
      <c r="Y1110" s="62"/>
      <c r="Z1110" s="62"/>
      <c r="AA1110" s="65">
        <v>4</v>
      </c>
      <c r="AB1110" s="66"/>
      <c r="AC1110" s="1" t="s">
        <v>1842</v>
      </c>
      <c r="AD1110" s="62" t="str">
        <f>VLOOKUP(X1110,'Customer List'!B:C,2,)</f>
        <v>Faridabad</v>
      </c>
      <c r="AE1110" s="67"/>
      <c r="AF1110" s="6"/>
      <c r="AG1110" s="62" t="str">
        <f t="shared" si="282"/>
        <v/>
      </c>
      <c r="AH1110" s="62" t="str">
        <f t="shared" si="283"/>
        <v/>
      </c>
      <c r="AI1110" s="62" t="str">
        <f t="shared" si="284"/>
        <v/>
      </c>
      <c r="AJ1110" s="62" t="str">
        <f>VLOOKUP(AC1110,'Currency Sheet'!A:C,3,)</f>
        <v>DOLLAR</v>
      </c>
      <c r="AK1110" s="62" t="str">
        <f>VLOOKUP(X1110,'Customer List'!B:D,3,)</f>
        <v>Local</v>
      </c>
    </row>
    <row r="1111" spans="1:37" hidden="1" x14ac:dyDescent="0.25">
      <c r="A1111" s="62">
        <f t="shared" si="268"/>
        <v>1095</v>
      </c>
      <c r="B1111" s="62" t="s">
        <v>824</v>
      </c>
      <c r="C1111" s="62" t="s">
        <v>2877</v>
      </c>
      <c r="D1111" s="6"/>
      <c r="E1111" s="6">
        <v>46165</v>
      </c>
      <c r="F1111" s="63">
        <v>35</v>
      </c>
      <c r="G1111" s="64">
        <f t="shared" si="279"/>
        <v>3080</v>
      </c>
      <c r="H1111" s="64">
        <f t="shared" si="280"/>
        <v>3080</v>
      </c>
      <c r="I1111" s="70">
        <v>317408</v>
      </c>
      <c r="J1111" s="62" t="s">
        <v>744</v>
      </c>
      <c r="K1111" s="8" t="s">
        <v>983</v>
      </c>
      <c r="L1111" s="10">
        <v>48441</v>
      </c>
      <c r="M1111" s="62">
        <v>1</v>
      </c>
      <c r="N1111" s="8"/>
      <c r="O1111" s="62">
        <f t="shared" si="249"/>
        <v>1</v>
      </c>
      <c r="P1111" s="70"/>
      <c r="Q1111" s="71"/>
      <c r="R1111" s="6"/>
      <c r="S1111" s="64">
        <v>5812.5</v>
      </c>
      <c r="T1111" s="22">
        <v>5</v>
      </c>
      <c r="U1111" s="64">
        <f t="shared" si="281"/>
        <v>290.625</v>
      </c>
      <c r="V1111" s="22">
        <v>-0.12</v>
      </c>
      <c r="W1111" s="22">
        <v>6103</v>
      </c>
      <c r="X1111" s="62" t="s">
        <v>94</v>
      </c>
      <c r="Y1111" s="62"/>
      <c r="Z1111" s="62"/>
      <c r="AA1111" s="65">
        <v>4</v>
      </c>
      <c r="AB1111" s="66"/>
      <c r="AC1111" s="1" t="s">
        <v>1842</v>
      </c>
      <c r="AD1111" s="62" t="str">
        <f>VLOOKUP(X1111,'Customer List'!B:C,2,)</f>
        <v>Delhi</v>
      </c>
      <c r="AE1111" s="67"/>
      <c r="AF1111" s="6"/>
      <c r="AG1111" s="62" t="str">
        <f t="shared" si="282"/>
        <v/>
      </c>
      <c r="AH1111" s="62" t="str">
        <f t="shared" si="283"/>
        <v>Monday</v>
      </c>
      <c r="AI1111" s="62" t="str">
        <f t="shared" si="284"/>
        <v/>
      </c>
      <c r="AJ1111" s="62" t="str">
        <f>VLOOKUP(AC1111,'Currency Sheet'!A:C,3,)</f>
        <v>DOLLAR</v>
      </c>
      <c r="AK1111" s="62" t="str">
        <f>VLOOKUP(X1111,'Customer List'!B:D,3,)</f>
        <v>Local</v>
      </c>
    </row>
    <row r="1112" spans="1:37" hidden="1" x14ac:dyDescent="0.25">
      <c r="A1112" s="62">
        <f t="shared" si="268"/>
        <v>1096</v>
      </c>
      <c r="B1112" s="62" t="s">
        <v>824</v>
      </c>
      <c r="C1112" s="62" t="s">
        <v>2877</v>
      </c>
      <c r="D1112" s="6"/>
      <c r="E1112" s="6">
        <v>46165</v>
      </c>
      <c r="F1112" s="63">
        <v>53.9</v>
      </c>
      <c r="G1112" s="64">
        <f t="shared" si="279"/>
        <v>4743.2</v>
      </c>
      <c r="H1112" s="64">
        <f t="shared" si="280"/>
        <v>9486.4</v>
      </c>
      <c r="I1112" s="70">
        <v>317318</v>
      </c>
      <c r="J1112" s="62" t="s">
        <v>749</v>
      </c>
      <c r="K1112" s="8" t="s">
        <v>2679</v>
      </c>
      <c r="L1112" s="10">
        <v>47720</v>
      </c>
      <c r="M1112" s="62">
        <v>2</v>
      </c>
      <c r="N1112" s="8">
        <v>2</v>
      </c>
      <c r="O1112" s="62">
        <f t="shared" si="249"/>
        <v>0</v>
      </c>
      <c r="P1112" s="70">
        <v>389</v>
      </c>
      <c r="Q1112" s="71">
        <v>46167</v>
      </c>
      <c r="R1112" s="6">
        <v>46168</v>
      </c>
      <c r="S1112" s="64">
        <v>16709</v>
      </c>
      <c r="T1112" s="22">
        <v>5</v>
      </c>
      <c r="U1112" s="64">
        <f t="shared" si="281"/>
        <v>835.45</v>
      </c>
      <c r="V1112" s="22">
        <v>0.47</v>
      </c>
      <c r="W1112" s="22">
        <v>833134</v>
      </c>
      <c r="X1112" s="62" t="s">
        <v>29</v>
      </c>
      <c r="Y1112" s="62">
        <v>58166003081</v>
      </c>
      <c r="Z1112" s="62"/>
      <c r="AA1112" s="65">
        <v>4</v>
      </c>
      <c r="AB1112" s="66"/>
      <c r="AC1112" s="1" t="s">
        <v>1842</v>
      </c>
      <c r="AD1112" s="62" t="str">
        <f>VLOOKUP(X1112,'Customer List'!B:C,2,)</f>
        <v>Gujrat</v>
      </c>
      <c r="AE1112" s="67"/>
      <c r="AF1112" s="6"/>
      <c r="AG1112" s="62" t="str">
        <f t="shared" si="282"/>
        <v/>
      </c>
      <c r="AH1112" s="62" t="str">
        <f t="shared" si="283"/>
        <v>Saturday</v>
      </c>
      <c r="AI1112" s="62" t="str">
        <f t="shared" si="284"/>
        <v/>
      </c>
      <c r="AJ1112" s="62" t="str">
        <f>VLOOKUP(AC1112,'Currency Sheet'!A:C,3,)</f>
        <v>DOLLAR</v>
      </c>
      <c r="AK1112" s="62" t="str">
        <f>VLOOKUP(X1112,'Customer List'!B:D,3,)</f>
        <v>OutStation</v>
      </c>
    </row>
    <row r="1113" spans="1:37" hidden="1" x14ac:dyDescent="0.25">
      <c r="A1113" s="62">
        <f t="shared" si="268"/>
        <v>1097</v>
      </c>
      <c r="B1113" s="62" t="s">
        <v>824</v>
      </c>
      <c r="C1113" s="62" t="s">
        <v>2877</v>
      </c>
      <c r="D1113" s="6"/>
      <c r="E1113" s="6">
        <v>46165</v>
      </c>
      <c r="F1113" s="63">
        <v>100.1</v>
      </c>
      <c r="G1113" s="64">
        <f t="shared" si="279"/>
        <v>8808.7999999999993</v>
      </c>
      <c r="H1113" s="64">
        <f t="shared" si="280"/>
        <v>17617.599999999999</v>
      </c>
      <c r="I1113" s="70">
        <v>310906</v>
      </c>
      <c r="J1113" s="62" t="s">
        <v>747</v>
      </c>
      <c r="K1113" s="8" t="s">
        <v>1521</v>
      </c>
      <c r="L1113" s="10">
        <v>47905</v>
      </c>
      <c r="M1113" s="62">
        <v>2</v>
      </c>
      <c r="N1113" s="8">
        <v>2</v>
      </c>
      <c r="O1113" s="62">
        <f t="shared" si="249"/>
        <v>0</v>
      </c>
      <c r="P1113" s="70">
        <v>389</v>
      </c>
      <c r="Q1113" s="71">
        <v>46167</v>
      </c>
      <c r="R1113" s="6">
        <v>46168</v>
      </c>
      <c r="S1113" s="64">
        <v>31031</v>
      </c>
      <c r="T1113" s="22">
        <v>5</v>
      </c>
      <c r="U1113" s="64">
        <f t="shared" si="281"/>
        <v>1551.5500000000002</v>
      </c>
      <c r="V1113" s="22">
        <v>0</v>
      </c>
      <c r="W1113" s="22">
        <v>833134</v>
      </c>
      <c r="X1113" s="62" t="s">
        <v>29</v>
      </c>
      <c r="Y1113" s="62">
        <v>58166003081</v>
      </c>
      <c r="Z1113" s="62"/>
      <c r="AA1113" s="65">
        <v>4</v>
      </c>
      <c r="AB1113" s="66"/>
      <c r="AC1113" s="1" t="s">
        <v>1842</v>
      </c>
      <c r="AD1113" s="62" t="str">
        <f>VLOOKUP(X1113,'Customer List'!B:C,2,)</f>
        <v>Gujrat</v>
      </c>
      <c r="AE1113" s="67"/>
      <c r="AF1113" s="6"/>
      <c r="AG1113" s="62" t="str">
        <f t="shared" si="282"/>
        <v/>
      </c>
      <c r="AH1113" s="62" t="str">
        <f t="shared" si="283"/>
        <v>Saturday</v>
      </c>
      <c r="AI1113" s="62" t="str">
        <f t="shared" si="284"/>
        <v/>
      </c>
      <c r="AJ1113" s="62" t="str">
        <f>VLOOKUP(AC1113,'Currency Sheet'!A:C,3,)</f>
        <v>DOLLAR</v>
      </c>
      <c r="AK1113" s="62" t="str">
        <f>VLOOKUP(X1113,'Customer List'!B:D,3,)</f>
        <v>OutStation</v>
      </c>
    </row>
    <row r="1114" spans="1:37" hidden="1" x14ac:dyDescent="0.25">
      <c r="A1114" s="62">
        <f t="shared" si="268"/>
        <v>1098</v>
      </c>
      <c r="B1114" s="62" t="s">
        <v>824</v>
      </c>
      <c r="C1114" s="62" t="s">
        <v>2877</v>
      </c>
      <c r="D1114" s="6"/>
      <c r="E1114" s="6">
        <v>46165</v>
      </c>
      <c r="F1114" s="63">
        <v>313.5</v>
      </c>
      <c r="G1114" s="64">
        <f t="shared" si="279"/>
        <v>27588</v>
      </c>
      <c r="H1114" s="64">
        <f t="shared" si="280"/>
        <v>55176</v>
      </c>
      <c r="I1114" s="70">
        <v>300472</v>
      </c>
      <c r="J1114" s="62" t="s">
        <v>749</v>
      </c>
      <c r="K1114" s="8" t="s">
        <v>2680</v>
      </c>
      <c r="L1114" s="10">
        <v>46949</v>
      </c>
      <c r="M1114" s="62">
        <v>2</v>
      </c>
      <c r="N1114" s="8">
        <v>2</v>
      </c>
      <c r="O1114" s="62">
        <f t="shared" si="249"/>
        <v>0</v>
      </c>
      <c r="P1114" s="70">
        <v>389</v>
      </c>
      <c r="Q1114" s="71">
        <v>46167</v>
      </c>
      <c r="R1114" s="6">
        <v>46168</v>
      </c>
      <c r="S1114" s="64">
        <v>90706</v>
      </c>
      <c r="T1114" s="22">
        <v>5</v>
      </c>
      <c r="U1114" s="64">
        <f t="shared" si="281"/>
        <v>4535.3</v>
      </c>
      <c r="V1114" s="22">
        <v>0</v>
      </c>
      <c r="W1114" s="22">
        <v>833134</v>
      </c>
      <c r="X1114" s="62" t="s">
        <v>29</v>
      </c>
      <c r="Y1114" s="62">
        <v>58166003081</v>
      </c>
      <c r="Z1114" s="62"/>
      <c r="AA1114" s="65">
        <v>4</v>
      </c>
      <c r="AB1114" s="66"/>
      <c r="AC1114" s="1" t="s">
        <v>1842</v>
      </c>
      <c r="AD1114" s="62" t="str">
        <f>VLOOKUP(X1114,'Customer List'!B:C,2,)</f>
        <v>Gujrat</v>
      </c>
      <c r="AE1114" s="67"/>
      <c r="AF1114" s="6"/>
      <c r="AG1114" s="62" t="str">
        <f t="shared" si="282"/>
        <v/>
      </c>
      <c r="AH1114" s="62" t="str">
        <f t="shared" si="283"/>
        <v>Saturday</v>
      </c>
      <c r="AI1114" s="62" t="str">
        <f t="shared" si="284"/>
        <v/>
      </c>
      <c r="AJ1114" s="62" t="str">
        <f>VLOOKUP(AC1114,'Currency Sheet'!A:C,3,)</f>
        <v>DOLLAR</v>
      </c>
      <c r="AK1114" s="62" t="str">
        <f>VLOOKUP(X1114,'Customer List'!B:D,3,)</f>
        <v>OutStation</v>
      </c>
    </row>
    <row r="1115" spans="1:37" hidden="1" x14ac:dyDescent="0.25">
      <c r="A1115" s="62">
        <f t="shared" si="268"/>
        <v>1099</v>
      </c>
      <c r="B1115" s="62" t="s">
        <v>824</v>
      </c>
      <c r="C1115" s="62" t="s">
        <v>2877</v>
      </c>
      <c r="D1115" s="6"/>
      <c r="E1115" s="6">
        <v>46165</v>
      </c>
      <c r="F1115" s="63">
        <v>187.6</v>
      </c>
      <c r="G1115" s="64">
        <f t="shared" si="279"/>
        <v>16508.8</v>
      </c>
      <c r="H1115" s="64">
        <f t="shared" si="280"/>
        <v>66035.199999999997</v>
      </c>
      <c r="I1115" s="70">
        <v>300526</v>
      </c>
      <c r="J1115" s="62" t="s">
        <v>744</v>
      </c>
      <c r="K1115" s="8" t="s">
        <v>2681</v>
      </c>
      <c r="L1115" s="10">
        <v>46787</v>
      </c>
      <c r="M1115" s="62">
        <v>4</v>
      </c>
      <c r="N1115" s="8">
        <v>4</v>
      </c>
      <c r="O1115" s="62">
        <f t="shared" si="249"/>
        <v>0</v>
      </c>
      <c r="P1115" s="70">
        <v>389</v>
      </c>
      <c r="Q1115" s="71">
        <v>46167</v>
      </c>
      <c r="R1115" s="6">
        <v>46168</v>
      </c>
      <c r="S1115" s="64">
        <v>116312</v>
      </c>
      <c r="T1115" s="22">
        <v>5</v>
      </c>
      <c r="U1115" s="64">
        <f t="shared" si="281"/>
        <v>5815.6</v>
      </c>
      <c r="V1115" s="22">
        <v>0</v>
      </c>
      <c r="W1115" s="22">
        <v>833134</v>
      </c>
      <c r="X1115" s="62" t="s">
        <v>29</v>
      </c>
      <c r="Y1115" s="62">
        <v>58166003081</v>
      </c>
      <c r="Z1115" s="62"/>
      <c r="AA1115" s="65">
        <v>4</v>
      </c>
      <c r="AB1115" s="66"/>
      <c r="AC1115" s="1" t="s">
        <v>1842</v>
      </c>
      <c r="AD1115" s="62" t="str">
        <f>VLOOKUP(X1115,'Customer List'!B:C,2,)</f>
        <v>Gujrat</v>
      </c>
      <c r="AE1115" s="67"/>
      <c r="AF1115" s="6"/>
      <c r="AG1115" s="62" t="str">
        <f t="shared" si="282"/>
        <v/>
      </c>
      <c r="AH1115" s="62" t="str">
        <f t="shared" si="283"/>
        <v>Saturday</v>
      </c>
      <c r="AI1115" s="62" t="str">
        <f t="shared" si="284"/>
        <v/>
      </c>
      <c r="AJ1115" s="62" t="str">
        <f>VLOOKUP(AC1115,'Currency Sheet'!A:C,3,)</f>
        <v>DOLLAR</v>
      </c>
      <c r="AK1115" s="62" t="str">
        <f>VLOOKUP(X1115,'Customer List'!B:D,3,)</f>
        <v>OutStation</v>
      </c>
    </row>
    <row r="1116" spans="1:37" hidden="1" x14ac:dyDescent="0.25">
      <c r="A1116" s="62">
        <f t="shared" si="268"/>
        <v>1100</v>
      </c>
      <c r="B1116" s="62" t="s">
        <v>824</v>
      </c>
      <c r="C1116" s="62" t="s">
        <v>2877</v>
      </c>
      <c r="D1116" s="6"/>
      <c r="E1116" s="6">
        <v>46165</v>
      </c>
      <c r="F1116" s="63">
        <v>301.5</v>
      </c>
      <c r="G1116" s="64">
        <f t="shared" si="279"/>
        <v>26532</v>
      </c>
      <c r="H1116" s="64">
        <f t="shared" si="280"/>
        <v>53064</v>
      </c>
      <c r="I1116" s="70">
        <v>325628</v>
      </c>
      <c r="J1116" s="62" t="s">
        <v>745</v>
      </c>
      <c r="K1116" s="8" t="s">
        <v>2682</v>
      </c>
      <c r="L1116" s="10">
        <v>46344</v>
      </c>
      <c r="M1116" s="62">
        <v>2</v>
      </c>
      <c r="N1116" s="8">
        <v>2</v>
      </c>
      <c r="O1116" s="62">
        <f t="shared" si="249"/>
        <v>0</v>
      </c>
      <c r="P1116" s="70">
        <v>389</v>
      </c>
      <c r="Q1116" s="71">
        <v>46167</v>
      </c>
      <c r="R1116" s="6">
        <v>46168</v>
      </c>
      <c r="S1116" s="64">
        <v>87234</v>
      </c>
      <c r="T1116" s="22">
        <v>5</v>
      </c>
      <c r="U1116" s="64">
        <f t="shared" si="281"/>
        <v>4361.7</v>
      </c>
      <c r="V1116" s="22">
        <v>0</v>
      </c>
      <c r="W1116" s="22">
        <v>833134</v>
      </c>
      <c r="X1116" s="62" t="s">
        <v>29</v>
      </c>
      <c r="Y1116" s="62">
        <v>58166003081</v>
      </c>
      <c r="Z1116" s="62"/>
      <c r="AA1116" s="65">
        <v>4</v>
      </c>
      <c r="AB1116" s="66"/>
      <c r="AC1116" s="1" t="s">
        <v>1842</v>
      </c>
      <c r="AD1116" s="62" t="str">
        <f>VLOOKUP(X1116,'Customer List'!B:C,2,)</f>
        <v>Gujrat</v>
      </c>
      <c r="AE1116" s="67"/>
      <c r="AF1116" s="6"/>
      <c r="AG1116" s="62" t="str">
        <f t="shared" si="282"/>
        <v/>
      </c>
      <c r="AH1116" s="62" t="str">
        <f t="shared" si="283"/>
        <v>Saturday</v>
      </c>
      <c r="AI1116" s="62" t="str">
        <f t="shared" si="284"/>
        <v/>
      </c>
      <c r="AJ1116" s="62" t="str">
        <f>VLOOKUP(AC1116,'Currency Sheet'!A:C,3,)</f>
        <v>DOLLAR</v>
      </c>
      <c r="AK1116" s="62" t="str">
        <f>VLOOKUP(X1116,'Customer List'!B:D,3,)</f>
        <v>OutStation</v>
      </c>
    </row>
    <row r="1117" spans="1:37" hidden="1" x14ac:dyDescent="0.25">
      <c r="A1117" s="62">
        <f t="shared" si="268"/>
        <v>1101</v>
      </c>
      <c r="B1117" s="62" t="s">
        <v>824</v>
      </c>
      <c r="C1117" s="62" t="s">
        <v>2877</v>
      </c>
      <c r="D1117" s="6"/>
      <c r="E1117" s="6">
        <v>46165</v>
      </c>
      <c r="F1117" s="63">
        <v>185.5</v>
      </c>
      <c r="G1117" s="64">
        <f t="shared" si="279"/>
        <v>16324</v>
      </c>
      <c r="H1117" s="64">
        <f t="shared" si="280"/>
        <v>32648</v>
      </c>
      <c r="I1117" s="70">
        <v>302220</v>
      </c>
      <c r="J1117" s="62" t="s">
        <v>764</v>
      </c>
      <c r="K1117" s="8" t="s">
        <v>2683</v>
      </c>
      <c r="L1117" s="10">
        <v>47678</v>
      </c>
      <c r="M1117" s="62">
        <v>2</v>
      </c>
      <c r="N1117" s="8">
        <v>2</v>
      </c>
      <c r="O1117" s="62">
        <f t="shared" si="249"/>
        <v>0</v>
      </c>
      <c r="P1117" s="70">
        <v>389</v>
      </c>
      <c r="Q1117" s="71">
        <v>46167</v>
      </c>
      <c r="R1117" s="6">
        <v>46168</v>
      </c>
      <c r="S1117" s="64">
        <v>57505</v>
      </c>
      <c r="T1117" s="22">
        <v>5</v>
      </c>
      <c r="U1117" s="64">
        <f t="shared" si="281"/>
        <v>2875.25</v>
      </c>
      <c r="V1117" s="22">
        <v>0</v>
      </c>
      <c r="W1117" s="22">
        <v>833134</v>
      </c>
      <c r="X1117" s="62" t="s">
        <v>29</v>
      </c>
      <c r="Y1117" s="62">
        <v>58166003081</v>
      </c>
      <c r="Z1117" s="62"/>
      <c r="AA1117" s="65">
        <v>4</v>
      </c>
      <c r="AB1117" s="66"/>
      <c r="AC1117" s="1" t="s">
        <v>1842</v>
      </c>
      <c r="AD1117" s="62" t="str">
        <f>VLOOKUP(X1117,'Customer List'!B:C,2,)</f>
        <v>Gujrat</v>
      </c>
      <c r="AE1117" s="67"/>
      <c r="AF1117" s="6"/>
      <c r="AG1117" s="62" t="str">
        <f t="shared" si="282"/>
        <v/>
      </c>
      <c r="AH1117" s="62" t="str">
        <f t="shared" si="283"/>
        <v>Saturday</v>
      </c>
      <c r="AI1117" s="62" t="str">
        <f t="shared" si="284"/>
        <v/>
      </c>
      <c r="AJ1117" s="62" t="str">
        <f>VLOOKUP(AC1117,'Currency Sheet'!A:C,3,)</f>
        <v>DOLLAR</v>
      </c>
      <c r="AK1117" s="62" t="str">
        <f>VLOOKUP(X1117,'Customer List'!B:D,3,)</f>
        <v>OutStation</v>
      </c>
    </row>
    <row r="1118" spans="1:37" hidden="1" x14ac:dyDescent="0.25">
      <c r="A1118" s="62">
        <f t="shared" si="268"/>
        <v>1102</v>
      </c>
      <c r="B1118" s="62" t="s">
        <v>824</v>
      </c>
      <c r="C1118" s="62" t="s">
        <v>2877</v>
      </c>
      <c r="D1118" s="6"/>
      <c r="E1118" s="6">
        <v>46165</v>
      </c>
      <c r="F1118" s="63">
        <v>289.5</v>
      </c>
      <c r="G1118" s="64">
        <f t="shared" si="279"/>
        <v>25476</v>
      </c>
      <c r="H1118" s="64">
        <f t="shared" si="280"/>
        <v>50952</v>
      </c>
      <c r="I1118" s="70">
        <v>304036</v>
      </c>
      <c r="J1118" s="62" t="s">
        <v>755</v>
      </c>
      <c r="K1118" s="8" t="s">
        <v>2053</v>
      </c>
      <c r="L1118" s="10">
        <v>46622</v>
      </c>
      <c r="M1118" s="62">
        <v>2</v>
      </c>
      <c r="N1118" s="8">
        <v>2</v>
      </c>
      <c r="O1118" s="62">
        <f t="shared" si="249"/>
        <v>0</v>
      </c>
      <c r="P1118" s="70">
        <v>389</v>
      </c>
      <c r="Q1118" s="71">
        <v>46167</v>
      </c>
      <c r="R1118" s="6">
        <v>46168</v>
      </c>
      <c r="S1118" s="64">
        <v>83762</v>
      </c>
      <c r="T1118" s="22">
        <v>5</v>
      </c>
      <c r="U1118" s="64">
        <f t="shared" si="281"/>
        <v>4188.1000000000004</v>
      </c>
      <c r="V1118" s="22">
        <v>0</v>
      </c>
      <c r="W1118" s="22">
        <v>833134</v>
      </c>
      <c r="X1118" s="62" t="s">
        <v>29</v>
      </c>
      <c r="Y1118" s="62">
        <v>58166003081</v>
      </c>
      <c r="Z1118" s="62"/>
      <c r="AA1118" s="65">
        <v>4</v>
      </c>
      <c r="AB1118" s="66"/>
      <c r="AC1118" s="1" t="s">
        <v>1842</v>
      </c>
      <c r="AD1118" s="62" t="str">
        <f>VLOOKUP(X1118,'Customer List'!B:C,2,)</f>
        <v>Gujrat</v>
      </c>
      <c r="AE1118" s="67"/>
      <c r="AF1118" s="6"/>
      <c r="AG1118" s="62" t="str">
        <f t="shared" si="282"/>
        <v/>
      </c>
      <c r="AH1118" s="62" t="str">
        <f t="shared" si="283"/>
        <v>Saturday</v>
      </c>
      <c r="AI1118" s="62" t="str">
        <f t="shared" si="284"/>
        <v/>
      </c>
      <c r="AJ1118" s="62" t="str">
        <f>VLOOKUP(AC1118,'Currency Sheet'!A:C,3,)</f>
        <v>DOLLAR</v>
      </c>
      <c r="AK1118" s="62" t="str">
        <f>VLOOKUP(X1118,'Customer List'!B:D,3,)</f>
        <v>OutStation</v>
      </c>
    </row>
    <row r="1119" spans="1:37" hidden="1" x14ac:dyDescent="0.25">
      <c r="A1119" s="62">
        <f t="shared" si="268"/>
        <v>1103</v>
      </c>
      <c r="B1119" s="62" t="s">
        <v>824</v>
      </c>
      <c r="C1119" s="62" t="s">
        <v>2877</v>
      </c>
      <c r="D1119" s="6"/>
      <c r="E1119" s="6">
        <v>46165</v>
      </c>
      <c r="F1119" s="63">
        <v>185.5</v>
      </c>
      <c r="G1119" s="64">
        <f t="shared" si="279"/>
        <v>16324</v>
      </c>
      <c r="H1119" s="64">
        <f t="shared" si="280"/>
        <v>32648</v>
      </c>
      <c r="I1119" s="70">
        <v>304114</v>
      </c>
      <c r="J1119" s="62" t="s">
        <v>965</v>
      </c>
      <c r="K1119" s="8" t="s">
        <v>2684</v>
      </c>
      <c r="L1119" s="10">
        <v>47652</v>
      </c>
      <c r="M1119" s="62">
        <v>2</v>
      </c>
      <c r="N1119" s="8">
        <v>2</v>
      </c>
      <c r="O1119" s="62">
        <f t="shared" si="249"/>
        <v>0</v>
      </c>
      <c r="P1119" s="70">
        <v>389</v>
      </c>
      <c r="Q1119" s="71">
        <v>46167</v>
      </c>
      <c r="R1119" s="6">
        <v>46168</v>
      </c>
      <c r="S1119" s="64">
        <v>57505</v>
      </c>
      <c r="T1119" s="22">
        <v>5</v>
      </c>
      <c r="U1119" s="64">
        <f t="shared" si="281"/>
        <v>2875.25</v>
      </c>
      <c r="V1119" s="22">
        <v>0</v>
      </c>
      <c r="W1119" s="22">
        <v>833134</v>
      </c>
      <c r="X1119" s="62" t="s">
        <v>29</v>
      </c>
      <c r="Y1119" s="62">
        <v>58166003081</v>
      </c>
      <c r="Z1119" s="62"/>
      <c r="AA1119" s="65">
        <v>4</v>
      </c>
      <c r="AB1119" s="66"/>
      <c r="AC1119" s="1" t="s">
        <v>1842</v>
      </c>
      <c r="AD1119" s="62" t="str">
        <f>VLOOKUP(X1119,'Customer List'!B:C,2,)</f>
        <v>Gujrat</v>
      </c>
      <c r="AE1119" s="67"/>
      <c r="AF1119" s="6"/>
      <c r="AG1119" s="62" t="str">
        <f t="shared" si="282"/>
        <v/>
      </c>
      <c r="AH1119" s="62" t="str">
        <f t="shared" si="283"/>
        <v>Saturday</v>
      </c>
      <c r="AI1119" s="62" t="str">
        <f t="shared" si="284"/>
        <v/>
      </c>
      <c r="AJ1119" s="62" t="str">
        <f>VLOOKUP(AC1119,'Currency Sheet'!A:C,3,)</f>
        <v>DOLLAR</v>
      </c>
      <c r="AK1119" s="62" t="str">
        <f>VLOOKUP(X1119,'Customer List'!B:D,3,)</f>
        <v>OutStation</v>
      </c>
    </row>
    <row r="1120" spans="1:37" hidden="1" x14ac:dyDescent="0.25">
      <c r="A1120" s="62">
        <f t="shared" si="268"/>
        <v>1104</v>
      </c>
      <c r="B1120" s="62" t="s">
        <v>824</v>
      </c>
      <c r="C1120" s="62" t="s">
        <v>2877</v>
      </c>
      <c r="D1120" s="6"/>
      <c r="E1120" s="6">
        <v>46165</v>
      </c>
      <c r="F1120" s="63">
        <v>160.29999999999998</v>
      </c>
      <c r="G1120" s="64">
        <f t="shared" si="279"/>
        <v>14106.399999999998</v>
      </c>
      <c r="H1120" s="64">
        <f t="shared" si="280"/>
        <v>84638.399999999994</v>
      </c>
      <c r="I1120" s="70">
        <v>422302</v>
      </c>
      <c r="J1120" s="62" t="s">
        <v>1052</v>
      </c>
      <c r="K1120" s="8" t="s">
        <v>2685</v>
      </c>
      <c r="L1120" s="10">
        <v>47904</v>
      </c>
      <c r="M1120" s="62">
        <v>6</v>
      </c>
      <c r="N1120" s="8">
        <v>6</v>
      </c>
      <c r="O1120" s="62">
        <f t="shared" si="249"/>
        <v>0</v>
      </c>
      <c r="P1120" s="70">
        <v>389</v>
      </c>
      <c r="Q1120" s="71">
        <v>46167</v>
      </c>
      <c r="R1120" s="6">
        <v>46168</v>
      </c>
      <c r="S1120" s="64">
        <v>149079</v>
      </c>
      <c r="T1120" s="22">
        <v>5</v>
      </c>
      <c r="U1120" s="64">
        <f t="shared" si="281"/>
        <v>7453.9500000000007</v>
      </c>
      <c r="V1120" s="22">
        <v>0</v>
      </c>
      <c r="W1120" s="22">
        <v>833134</v>
      </c>
      <c r="X1120" s="62" t="s">
        <v>29</v>
      </c>
      <c r="Y1120" s="62">
        <v>58166003081</v>
      </c>
      <c r="Z1120" s="62"/>
      <c r="AA1120" s="65">
        <v>4</v>
      </c>
      <c r="AB1120" s="66"/>
      <c r="AC1120" s="1" t="s">
        <v>1842</v>
      </c>
      <c r="AD1120" s="62" t="str">
        <f>VLOOKUP(X1120,'Customer List'!B:C,2,)</f>
        <v>Gujrat</v>
      </c>
      <c r="AE1120" s="67"/>
      <c r="AF1120" s="6"/>
      <c r="AG1120" s="62" t="str">
        <f t="shared" si="282"/>
        <v/>
      </c>
      <c r="AH1120" s="62" t="str">
        <f t="shared" si="283"/>
        <v>Saturday</v>
      </c>
      <c r="AI1120" s="62" t="str">
        <f t="shared" si="284"/>
        <v/>
      </c>
      <c r="AJ1120" s="62" t="str">
        <f>VLOOKUP(AC1120,'Currency Sheet'!A:C,3,)</f>
        <v>DOLLAR</v>
      </c>
      <c r="AK1120" s="62" t="str">
        <f>VLOOKUP(X1120,'Customer List'!B:D,3,)</f>
        <v>OutStation</v>
      </c>
    </row>
    <row r="1121" spans="1:37" hidden="1" x14ac:dyDescent="0.25">
      <c r="A1121" s="62">
        <f t="shared" si="268"/>
        <v>1105</v>
      </c>
      <c r="B1121" s="62" t="s">
        <v>824</v>
      </c>
      <c r="C1121" s="62" t="s">
        <v>2877</v>
      </c>
      <c r="D1121" s="6"/>
      <c r="E1121" s="6">
        <v>46165</v>
      </c>
      <c r="F1121" s="63">
        <v>219.75</v>
      </c>
      <c r="G1121" s="64">
        <f t="shared" si="279"/>
        <v>19338</v>
      </c>
      <c r="H1121" s="64">
        <f t="shared" si="280"/>
        <v>19338</v>
      </c>
      <c r="I1121" s="70">
        <v>422903</v>
      </c>
      <c r="J1121" s="62" t="s">
        <v>2686</v>
      </c>
      <c r="K1121" s="8" t="s">
        <v>2687</v>
      </c>
      <c r="L1121" s="10">
        <v>46942</v>
      </c>
      <c r="M1121" s="62">
        <v>1</v>
      </c>
      <c r="N1121" s="8">
        <v>1</v>
      </c>
      <c r="O1121" s="62">
        <f t="shared" si="249"/>
        <v>0</v>
      </c>
      <c r="P1121" s="70">
        <v>389</v>
      </c>
      <c r="Q1121" s="71">
        <v>46167</v>
      </c>
      <c r="R1121" s="6">
        <v>46168</v>
      </c>
      <c r="S1121" s="64">
        <v>31790.5</v>
      </c>
      <c r="T1121" s="22">
        <v>5</v>
      </c>
      <c r="U1121" s="64">
        <f t="shared" si="281"/>
        <v>1589.5250000000001</v>
      </c>
      <c r="V1121" s="22">
        <v>0</v>
      </c>
      <c r="W1121" s="22">
        <v>833134</v>
      </c>
      <c r="X1121" s="62" t="s">
        <v>29</v>
      </c>
      <c r="Y1121" s="62">
        <v>58166003081</v>
      </c>
      <c r="Z1121" s="62"/>
      <c r="AA1121" s="65">
        <v>4</v>
      </c>
      <c r="AB1121" s="66"/>
      <c r="AC1121" s="1" t="s">
        <v>1842</v>
      </c>
      <c r="AD1121" s="62" t="str">
        <f>VLOOKUP(X1121,'Customer List'!B:C,2,)</f>
        <v>Gujrat</v>
      </c>
      <c r="AE1121" s="67"/>
      <c r="AF1121" s="6"/>
      <c r="AG1121" s="62" t="str">
        <f t="shared" si="282"/>
        <v/>
      </c>
      <c r="AH1121" s="62" t="str">
        <f t="shared" si="283"/>
        <v>Tuesday</v>
      </c>
      <c r="AI1121" s="62" t="str">
        <f t="shared" si="284"/>
        <v/>
      </c>
      <c r="AJ1121" s="62" t="str">
        <f>VLOOKUP(AC1121,'Currency Sheet'!A:C,3,)</f>
        <v>DOLLAR</v>
      </c>
      <c r="AK1121" s="62" t="str">
        <f>VLOOKUP(X1121,'Customer List'!B:D,3,)</f>
        <v>OutStation</v>
      </c>
    </row>
    <row r="1122" spans="1:37" hidden="1" x14ac:dyDescent="0.25">
      <c r="A1122" s="62">
        <f t="shared" si="268"/>
        <v>1106</v>
      </c>
      <c r="B1122" s="62" t="s">
        <v>824</v>
      </c>
      <c r="C1122" s="62" t="s">
        <v>2877</v>
      </c>
      <c r="D1122" s="6"/>
      <c r="E1122" s="6">
        <v>46165</v>
      </c>
      <c r="F1122" s="63">
        <v>185.5</v>
      </c>
      <c r="G1122" s="64">
        <f t="shared" si="279"/>
        <v>16324</v>
      </c>
      <c r="H1122" s="64">
        <f t="shared" si="280"/>
        <v>32648</v>
      </c>
      <c r="I1122" s="70">
        <v>325616</v>
      </c>
      <c r="J1122" s="62" t="s">
        <v>745</v>
      </c>
      <c r="K1122" s="8" t="s">
        <v>993</v>
      </c>
      <c r="L1122" s="10">
        <v>47181</v>
      </c>
      <c r="M1122" s="62">
        <v>2</v>
      </c>
      <c r="N1122" s="8">
        <v>2</v>
      </c>
      <c r="O1122" s="62">
        <f t="shared" si="249"/>
        <v>0</v>
      </c>
      <c r="P1122" s="70">
        <v>389</v>
      </c>
      <c r="Q1122" s="71">
        <v>46167</v>
      </c>
      <c r="R1122" s="6">
        <v>46168</v>
      </c>
      <c r="S1122" s="64">
        <v>57505</v>
      </c>
      <c r="T1122" s="22">
        <v>5</v>
      </c>
      <c r="U1122" s="64">
        <f t="shared" si="281"/>
        <v>2875.25</v>
      </c>
      <c r="V1122" s="22">
        <v>0</v>
      </c>
      <c r="W1122" s="22">
        <v>833134</v>
      </c>
      <c r="X1122" s="62" t="s">
        <v>29</v>
      </c>
      <c r="Y1122" s="62">
        <v>58166003081</v>
      </c>
      <c r="Z1122" s="62"/>
      <c r="AA1122" s="65">
        <v>4</v>
      </c>
      <c r="AB1122" s="66"/>
      <c r="AC1122" s="1" t="s">
        <v>1842</v>
      </c>
      <c r="AD1122" s="62" t="str">
        <f>VLOOKUP(X1122,'Customer List'!B:C,2,)</f>
        <v>Gujrat</v>
      </c>
      <c r="AE1122" s="67"/>
      <c r="AF1122" s="6"/>
      <c r="AG1122" s="62" t="str">
        <f t="shared" si="282"/>
        <v/>
      </c>
      <c r="AH1122" s="62" t="str">
        <f t="shared" si="283"/>
        <v>Saturday</v>
      </c>
      <c r="AI1122" s="62" t="str">
        <f t="shared" si="284"/>
        <v/>
      </c>
      <c r="AJ1122" s="62" t="str">
        <f>VLOOKUP(AC1122,'Currency Sheet'!A:C,3,)</f>
        <v>DOLLAR</v>
      </c>
      <c r="AK1122" s="62" t="str">
        <f>VLOOKUP(X1122,'Customer List'!B:D,3,)</f>
        <v>OutStation</v>
      </c>
    </row>
    <row r="1123" spans="1:37" hidden="1" x14ac:dyDescent="0.25">
      <c r="A1123" s="62">
        <f t="shared" si="268"/>
        <v>1107</v>
      </c>
      <c r="B1123" s="62" t="s">
        <v>824</v>
      </c>
      <c r="C1123" s="62" t="s">
        <v>2877</v>
      </c>
      <c r="D1123" s="6"/>
      <c r="E1123" s="6">
        <v>46165</v>
      </c>
      <c r="F1123" s="63">
        <v>46.2</v>
      </c>
      <c r="G1123" s="64">
        <f t="shared" si="279"/>
        <v>4065.6000000000004</v>
      </c>
      <c r="H1123" s="64">
        <f t="shared" si="280"/>
        <v>8131.2000000000007</v>
      </c>
      <c r="I1123" s="70">
        <v>304106</v>
      </c>
      <c r="J1123" s="62" t="s">
        <v>965</v>
      </c>
      <c r="K1123" s="8" t="s">
        <v>2688</v>
      </c>
      <c r="L1123" s="10">
        <v>47496</v>
      </c>
      <c r="M1123" s="62">
        <v>2</v>
      </c>
      <c r="N1123" s="8">
        <v>2</v>
      </c>
      <c r="O1123" s="62">
        <f t="shared" si="249"/>
        <v>0</v>
      </c>
      <c r="P1123" s="70">
        <v>389</v>
      </c>
      <c r="Q1123" s="71">
        <v>46167</v>
      </c>
      <c r="R1123" s="6">
        <v>46168</v>
      </c>
      <c r="S1123" s="64">
        <v>14322</v>
      </c>
      <c r="T1123" s="22">
        <v>5</v>
      </c>
      <c r="U1123" s="64">
        <f t="shared" si="281"/>
        <v>716.1</v>
      </c>
      <c r="V1123" s="22">
        <v>0</v>
      </c>
      <c r="W1123" s="22">
        <v>833134</v>
      </c>
      <c r="X1123" s="62" t="s">
        <v>1840</v>
      </c>
      <c r="Y1123" s="62">
        <v>58166003081</v>
      </c>
      <c r="Z1123" s="62"/>
      <c r="AA1123" s="65">
        <v>4</v>
      </c>
      <c r="AB1123" s="66"/>
      <c r="AC1123" s="1" t="s">
        <v>1842</v>
      </c>
      <c r="AD1123" s="62" t="str">
        <f>VLOOKUP(X1123,'Customer List'!B:C,2,)</f>
        <v>Gujrat</v>
      </c>
      <c r="AE1123" s="67"/>
      <c r="AF1123" s="6"/>
      <c r="AG1123" s="62" t="str">
        <f t="shared" si="282"/>
        <v/>
      </c>
      <c r="AH1123" s="62" t="str">
        <f t="shared" si="283"/>
        <v>Saturday</v>
      </c>
      <c r="AI1123" s="62" t="str">
        <f t="shared" si="284"/>
        <v/>
      </c>
      <c r="AJ1123" s="62" t="str">
        <f>VLOOKUP(AC1123,'Currency Sheet'!A:C,3,)</f>
        <v>DOLLAR</v>
      </c>
      <c r="AK1123" s="62" t="str">
        <f>VLOOKUP(X1123,'Customer List'!B:D,3,)</f>
        <v>OutStation</v>
      </c>
    </row>
    <row r="1124" spans="1:37" hidden="1" x14ac:dyDescent="0.25">
      <c r="A1124" s="62">
        <f t="shared" si="268"/>
        <v>1108</v>
      </c>
      <c r="B1124" s="62" t="s">
        <v>824</v>
      </c>
      <c r="C1124" s="62" t="s">
        <v>2877</v>
      </c>
      <c r="D1124" s="6"/>
      <c r="E1124" s="6">
        <v>46165</v>
      </c>
      <c r="F1124" s="63">
        <v>70.7</v>
      </c>
      <c r="G1124" s="64">
        <f t="shared" si="279"/>
        <v>6221.6</v>
      </c>
      <c r="H1124" s="64">
        <f t="shared" si="280"/>
        <v>6221.6</v>
      </c>
      <c r="I1124" s="70">
        <v>422301</v>
      </c>
      <c r="J1124" s="62" t="s">
        <v>1052</v>
      </c>
      <c r="K1124" s="8" t="s">
        <v>1053</v>
      </c>
      <c r="L1124" s="10">
        <v>47651</v>
      </c>
      <c r="M1124" s="62">
        <v>1</v>
      </c>
      <c r="N1124" s="8">
        <v>1</v>
      </c>
      <c r="O1124" s="62">
        <f t="shared" si="249"/>
        <v>0</v>
      </c>
      <c r="P1124" s="70">
        <v>367</v>
      </c>
      <c r="Q1124" s="71">
        <v>46167</v>
      </c>
      <c r="R1124" s="6">
        <v>46167</v>
      </c>
      <c r="S1124" s="64">
        <v>10605</v>
      </c>
      <c r="T1124" s="22">
        <v>5</v>
      </c>
      <c r="U1124" s="64">
        <f t="shared" si="281"/>
        <v>530.25</v>
      </c>
      <c r="V1124" s="22">
        <v>-0.25</v>
      </c>
      <c r="W1124" s="22">
        <v>11135</v>
      </c>
      <c r="X1124" s="62" t="s">
        <v>23</v>
      </c>
      <c r="Y1124" s="62" t="s">
        <v>2890</v>
      </c>
      <c r="Z1124" s="62" t="s">
        <v>2890</v>
      </c>
      <c r="AA1124" s="65">
        <v>4</v>
      </c>
      <c r="AB1124" s="66"/>
      <c r="AC1124" s="1" t="s">
        <v>1842</v>
      </c>
      <c r="AD1124" s="62" t="str">
        <f>VLOOKUP(X1124,'Customer List'!B:C,2,)</f>
        <v>Delhi</v>
      </c>
      <c r="AE1124" s="67"/>
      <c r="AF1124" s="6"/>
      <c r="AG1124" s="62" t="str">
        <f t="shared" si="282"/>
        <v/>
      </c>
      <c r="AH1124" s="62" t="str">
        <f t="shared" si="283"/>
        <v>Saturday</v>
      </c>
      <c r="AI1124" s="62" t="str">
        <f t="shared" si="284"/>
        <v/>
      </c>
      <c r="AJ1124" s="62" t="str">
        <f>VLOOKUP(AC1124,'Currency Sheet'!A:C,3,)</f>
        <v>DOLLAR</v>
      </c>
      <c r="AK1124" s="62" t="str">
        <f>VLOOKUP(X1124,'Customer List'!B:D,3,)</f>
        <v>Local</v>
      </c>
    </row>
    <row r="1125" spans="1:37" hidden="1" x14ac:dyDescent="0.25">
      <c r="A1125" s="62">
        <f t="shared" si="268"/>
        <v>1109</v>
      </c>
      <c r="B1125" s="62" t="s">
        <v>824</v>
      </c>
      <c r="C1125" s="62" t="s">
        <v>2877</v>
      </c>
      <c r="D1125" s="6"/>
      <c r="E1125" s="6">
        <v>46165</v>
      </c>
      <c r="F1125" s="63">
        <v>242.9</v>
      </c>
      <c r="G1125" s="64">
        <f t="shared" si="279"/>
        <v>21375.200000000001</v>
      </c>
      <c r="H1125" s="64">
        <f t="shared" si="280"/>
        <v>21375.200000000001</v>
      </c>
      <c r="I1125" s="70">
        <v>353418</v>
      </c>
      <c r="J1125" s="62" t="s">
        <v>2689</v>
      </c>
      <c r="K1125" s="8" t="s">
        <v>2690</v>
      </c>
      <c r="L1125" s="10">
        <v>47545</v>
      </c>
      <c r="M1125" s="62">
        <v>1</v>
      </c>
      <c r="N1125" s="8"/>
      <c r="O1125" s="62">
        <f t="shared" si="249"/>
        <v>1</v>
      </c>
      <c r="P1125" s="70"/>
      <c r="Q1125" s="71"/>
      <c r="R1125" s="6"/>
      <c r="S1125" s="64">
        <v>39263.050000000003</v>
      </c>
      <c r="T1125" s="22">
        <v>5</v>
      </c>
      <c r="U1125" s="64">
        <f t="shared" si="281"/>
        <v>1963.1525000000001</v>
      </c>
      <c r="V1125" s="22">
        <v>-0.11</v>
      </c>
      <c r="W1125" s="22">
        <v>103006</v>
      </c>
      <c r="X1125" s="62" t="s">
        <v>155</v>
      </c>
      <c r="Y1125" s="62"/>
      <c r="Z1125" s="62"/>
      <c r="AA1125" s="65">
        <v>4</v>
      </c>
      <c r="AB1125" s="66"/>
      <c r="AC1125" s="1" t="s">
        <v>1842</v>
      </c>
      <c r="AD1125" s="62" t="str">
        <f>VLOOKUP(X1125,'Customer List'!B:C,2,)</f>
        <v>Manesar</v>
      </c>
      <c r="AE1125" s="67"/>
      <c r="AF1125" s="6"/>
      <c r="AG1125" s="62" t="str">
        <f t="shared" si="282"/>
        <v/>
      </c>
      <c r="AH1125" s="62" t="str">
        <f t="shared" si="283"/>
        <v>Saturday</v>
      </c>
      <c r="AI1125" s="62" t="str">
        <f t="shared" si="284"/>
        <v/>
      </c>
      <c r="AJ1125" s="62" t="str">
        <f>VLOOKUP(AC1125,'Currency Sheet'!A:C,3,)</f>
        <v>DOLLAR</v>
      </c>
      <c r="AK1125" s="62" t="str">
        <f>VLOOKUP(X1125,'Customer List'!B:D,3,)</f>
        <v>Local</v>
      </c>
    </row>
    <row r="1126" spans="1:37" hidden="1" x14ac:dyDescent="0.25">
      <c r="A1126" s="62">
        <f t="shared" si="268"/>
        <v>1110</v>
      </c>
      <c r="B1126" s="62" t="s">
        <v>824</v>
      </c>
      <c r="C1126" s="62" t="s">
        <v>2877</v>
      </c>
      <c r="D1126" s="6"/>
      <c r="E1126" s="6">
        <v>46165</v>
      </c>
      <c r="F1126" s="63">
        <v>129.5</v>
      </c>
      <c r="G1126" s="64">
        <f t="shared" si="279"/>
        <v>11396</v>
      </c>
      <c r="H1126" s="64">
        <f t="shared" si="280"/>
        <v>11396</v>
      </c>
      <c r="I1126" s="70">
        <v>384814</v>
      </c>
      <c r="J1126" s="62" t="s">
        <v>1519</v>
      </c>
      <c r="K1126" s="8" t="s">
        <v>2691</v>
      </c>
      <c r="L1126" s="10">
        <v>48671</v>
      </c>
      <c r="M1126" s="62">
        <v>1</v>
      </c>
      <c r="N1126" s="8"/>
      <c r="O1126" s="62">
        <f t="shared" si="249"/>
        <v>1</v>
      </c>
      <c r="P1126" s="70"/>
      <c r="Q1126" s="71"/>
      <c r="R1126" s="6"/>
      <c r="S1126" s="64">
        <v>20932.75</v>
      </c>
      <c r="T1126" s="22">
        <v>5</v>
      </c>
      <c r="U1126" s="64">
        <f t="shared" si="281"/>
        <v>1046.6375</v>
      </c>
      <c r="V1126" s="22">
        <v>0</v>
      </c>
      <c r="W1126" s="22">
        <v>103006</v>
      </c>
      <c r="X1126" s="62" t="s">
        <v>155</v>
      </c>
      <c r="Y1126" s="62"/>
      <c r="Z1126" s="62"/>
      <c r="AA1126" s="65">
        <v>4</v>
      </c>
      <c r="AB1126" s="66"/>
      <c r="AC1126" s="1" t="s">
        <v>1842</v>
      </c>
      <c r="AD1126" s="62" t="str">
        <f>VLOOKUP(X1126,'Customer List'!B:C,2,)</f>
        <v>Manesar</v>
      </c>
      <c r="AE1126" s="67"/>
      <c r="AF1126" s="6"/>
      <c r="AG1126" s="62" t="str">
        <f t="shared" si="282"/>
        <v/>
      </c>
      <c r="AH1126" s="62" t="str">
        <f t="shared" si="283"/>
        <v>Monday</v>
      </c>
      <c r="AI1126" s="62" t="str">
        <f t="shared" si="284"/>
        <v/>
      </c>
      <c r="AJ1126" s="62" t="str">
        <f>VLOOKUP(AC1126,'Currency Sheet'!A:C,3,)</f>
        <v>DOLLAR</v>
      </c>
      <c r="AK1126" s="62" t="str">
        <f>VLOOKUP(X1126,'Customer List'!B:D,3,)</f>
        <v>Local</v>
      </c>
    </row>
    <row r="1127" spans="1:37" hidden="1" x14ac:dyDescent="0.25">
      <c r="A1127" s="62">
        <f t="shared" si="268"/>
        <v>1111</v>
      </c>
      <c r="B1127" s="62" t="s">
        <v>824</v>
      </c>
      <c r="C1127" s="62" t="s">
        <v>2877</v>
      </c>
      <c r="D1127" s="6"/>
      <c r="E1127" s="6">
        <v>46165</v>
      </c>
      <c r="F1127" s="63">
        <v>234.5</v>
      </c>
      <c r="G1127" s="64">
        <f t="shared" si="279"/>
        <v>20636</v>
      </c>
      <c r="H1127" s="64">
        <f t="shared" si="280"/>
        <v>20636</v>
      </c>
      <c r="I1127" s="70">
        <v>351344</v>
      </c>
      <c r="J1127" s="62" t="s">
        <v>1006</v>
      </c>
      <c r="K1127" s="8" t="s">
        <v>2692</v>
      </c>
      <c r="L1127" s="10">
        <v>46716</v>
      </c>
      <c r="M1127" s="62">
        <v>1</v>
      </c>
      <c r="N1127" s="8"/>
      <c r="O1127" s="62">
        <f t="shared" si="249"/>
        <v>1</v>
      </c>
      <c r="P1127" s="70"/>
      <c r="Q1127" s="71"/>
      <c r="R1127" s="6"/>
      <c r="S1127" s="64">
        <v>37905.25</v>
      </c>
      <c r="T1127" s="22">
        <v>5</v>
      </c>
      <c r="U1127" s="64">
        <f t="shared" si="281"/>
        <v>1895.2625</v>
      </c>
      <c r="V1127" s="22">
        <v>0</v>
      </c>
      <c r="W1127" s="22">
        <v>103006</v>
      </c>
      <c r="X1127" s="62" t="s">
        <v>155</v>
      </c>
      <c r="Y1127" s="62"/>
      <c r="Z1127" s="62"/>
      <c r="AA1127" s="65">
        <v>4</v>
      </c>
      <c r="AB1127" s="66"/>
      <c r="AC1127" s="1" t="s">
        <v>1842</v>
      </c>
      <c r="AD1127" s="62" t="str">
        <f>VLOOKUP(X1127,'Customer List'!B:C,2,)</f>
        <v>Manesar</v>
      </c>
      <c r="AE1127" s="67"/>
      <c r="AF1127" s="6"/>
      <c r="AG1127" s="62" t="str">
        <f t="shared" si="282"/>
        <v/>
      </c>
      <c r="AH1127" s="62" t="str">
        <f t="shared" si="283"/>
        <v>Saturday</v>
      </c>
      <c r="AI1127" s="62" t="str">
        <f t="shared" si="284"/>
        <v/>
      </c>
      <c r="AJ1127" s="62" t="str">
        <f>VLOOKUP(AC1127,'Currency Sheet'!A:C,3,)</f>
        <v>DOLLAR</v>
      </c>
      <c r="AK1127" s="62" t="str">
        <f>VLOOKUP(X1127,'Customer List'!B:D,3,)</f>
        <v>Local</v>
      </c>
    </row>
    <row r="1128" spans="1:37" hidden="1" x14ac:dyDescent="0.25">
      <c r="A1128" s="62">
        <f t="shared" si="268"/>
        <v>1112</v>
      </c>
      <c r="B1128" s="62" t="s">
        <v>824</v>
      </c>
      <c r="C1128" s="62" t="s">
        <v>2877</v>
      </c>
      <c r="D1128" s="6"/>
      <c r="E1128" s="6">
        <v>46165</v>
      </c>
      <c r="F1128" s="63">
        <v>169.4</v>
      </c>
      <c r="G1128" s="64">
        <f t="shared" si="279"/>
        <v>14907.2</v>
      </c>
      <c r="H1128" s="64">
        <f t="shared" si="280"/>
        <v>29814.400000000001</v>
      </c>
      <c r="I1128" s="70">
        <v>502509</v>
      </c>
      <c r="J1128" s="62" t="s">
        <v>1569</v>
      </c>
      <c r="K1128" s="8" t="s">
        <v>2693</v>
      </c>
      <c r="L1128" s="10">
        <v>46843</v>
      </c>
      <c r="M1128" s="62">
        <v>2</v>
      </c>
      <c r="N1128" s="8">
        <v>2</v>
      </c>
      <c r="O1128" s="62">
        <f t="shared" si="249"/>
        <v>0</v>
      </c>
      <c r="P1128" s="70">
        <v>385</v>
      </c>
      <c r="Q1128" s="71">
        <v>46167</v>
      </c>
      <c r="R1128" s="6">
        <v>46168</v>
      </c>
      <c r="S1128" s="64">
        <v>52514</v>
      </c>
      <c r="T1128" s="22">
        <v>5</v>
      </c>
      <c r="U1128" s="64">
        <f t="shared" si="281"/>
        <v>2625.7000000000003</v>
      </c>
      <c r="V1128" s="22">
        <v>0</v>
      </c>
      <c r="W1128" s="22">
        <v>397797</v>
      </c>
      <c r="X1128" s="62" t="s">
        <v>2864</v>
      </c>
      <c r="Y1128" s="62">
        <v>58166004013</v>
      </c>
      <c r="Z1128" s="62"/>
      <c r="AA1128" s="65">
        <v>4</v>
      </c>
      <c r="AB1128" s="66"/>
      <c r="AC1128" s="1" t="s">
        <v>1842</v>
      </c>
      <c r="AD1128" s="62" t="str">
        <f>VLOOKUP(X1128,'Customer List'!B:C,2,)</f>
        <v>Pune</v>
      </c>
      <c r="AE1128" s="67"/>
      <c r="AF1128" s="6"/>
      <c r="AG1128" s="62" t="str">
        <f t="shared" si="282"/>
        <v/>
      </c>
      <c r="AH1128" s="62" t="str">
        <f t="shared" si="283"/>
        <v>Saturday</v>
      </c>
      <c r="AI1128" s="62" t="str">
        <f t="shared" si="284"/>
        <v/>
      </c>
      <c r="AJ1128" s="62" t="str">
        <f>VLOOKUP(AC1128,'Currency Sheet'!A:C,3,)</f>
        <v>DOLLAR</v>
      </c>
      <c r="AK1128" s="62" t="str">
        <f>VLOOKUP(X1128,'Customer List'!B:D,3,)</f>
        <v>OutStation</v>
      </c>
    </row>
    <row r="1129" spans="1:37" hidden="1" x14ac:dyDescent="0.25">
      <c r="A1129" s="62">
        <f t="shared" si="268"/>
        <v>1113</v>
      </c>
      <c r="B1129" s="62" t="s">
        <v>824</v>
      </c>
      <c r="C1129" s="62" t="s">
        <v>2877</v>
      </c>
      <c r="D1129" s="6"/>
      <c r="E1129" s="6">
        <v>46165</v>
      </c>
      <c r="F1129" s="63">
        <v>62.3</v>
      </c>
      <c r="G1129" s="64">
        <f t="shared" si="279"/>
        <v>5482.4</v>
      </c>
      <c r="H1129" s="64">
        <f t="shared" si="280"/>
        <v>10964.8</v>
      </c>
      <c r="I1129" s="70">
        <v>423107</v>
      </c>
      <c r="J1129" s="62" t="s">
        <v>1057</v>
      </c>
      <c r="K1129" s="8" t="s">
        <v>1058</v>
      </c>
      <c r="L1129" s="10">
        <v>46493</v>
      </c>
      <c r="M1129" s="62">
        <v>2</v>
      </c>
      <c r="N1129" s="8">
        <v>2</v>
      </c>
      <c r="O1129" s="62">
        <f t="shared" si="249"/>
        <v>0</v>
      </c>
      <c r="P1129" s="70">
        <v>385</v>
      </c>
      <c r="Q1129" s="71">
        <v>46167</v>
      </c>
      <c r="R1129" s="6">
        <v>46168</v>
      </c>
      <c r="S1129" s="64">
        <v>19313</v>
      </c>
      <c r="T1129" s="22">
        <v>5</v>
      </c>
      <c r="U1129" s="64">
        <f t="shared" si="281"/>
        <v>965.65000000000009</v>
      </c>
      <c r="V1129" s="22">
        <v>0</v>
      </c>
      <c r="W1129" s="22">
        <v>397797</v>
      </c>
      <c r="X1129" s="62" t="s">
        <v>2864</v>
      </c>
      <c r="Y1129" s="62">
        <v>58166004013</v>
      </c>
      <c r="Z1129" s="62"/>
      <c r="AA1129" s="65">
        <v>20</v>
      </c>
      <c r="AB1129" s="66"/>
      <c r="AC1129" s="1" t="s">
        <v>1842</v>
      </c>
      <c r="AD1129" s="62" t="str">
        <f>VLOOKUP(X1129,'Customer List'!B:C,2,)</f>
        <v>Pune</v>
      </c>
      <c r="AE1129" s="67"/>
      <c r="AF1129" s="6"/>
      <c r="AG1129" s="62" t="str">
        <f t="shared" si="282"/>
        <v/>
      </c>
      <c r="AH1129" s="62" t="str">
        <f t="shared" si="283"/>
        <v>Saturday</v>
      </c>
      <c r="AI1129" s="62" t="str">
        <f t="shared" si="284"/>
        <v/>
      </c>
      <c r="AJ1129" s="62" t="str">
        <f>VLOOKUP(AC1129,'Currency Sheet'!A:C,3,)</f>
        <v>DOLLAR</v>
      </c>
      <c r="AK1129" s="62" t="str">
        <f>VLOOKUP(X1129,'Customer List'!B:D,3,)</f>
        <v>OutStation</v>
      </c>
    </row>
    <row r="1130" spans="1:37" hidden="1" x14ac:dyDescent="0.25">
      <c r="A1130" s="62">
        <f t="shared" si="268"/>
        <v>1114</v>
      </c>
      <c r="B1130" s="62" t="s">
        <v>824</v>
      </c>
      <c r="C1130" s="62" t="s">
        <v>2877</v>
      </c>
      <c r="D1130" s="6"/>
      <c r="E1130" s="6">
        <v>46165</v>
      </c>
      <c r="F1130" s="63">
        <v>142.80000000000001</v>
      </c>
      <c r="G1130" s="64">
        <f t="shared" si="279"/>
        <v>12566.400000000001</v>
      </c>
      <c r="H1130" s="64">
        <f t="shared" si="280"/>
        <v>12566.400000000001</v>
      </c>
      <c r="I1130" s="70">
        <v>300440</v>
      </c>
      <c r="J1130" s="62" t="s">
        <v>749</v>
      </c>
      <c r="K1130" s="8" t="s">
        <v>2694</v>
      </c>
      <c r="L1130" s="10">
        <v>48340</v>
      </c>
      <c r="M1130" s="62">
        <v>1</v>
      </c>
      <c r="N1130" s="8">
        <v>1</v>
      </c>
      <c r="O1130" s="62">
        <f t="shared" si="249"/>
        <v>0</v>
      </c>
      <c r="P1130" s="70">
        <v>385</v>
      </c>
      <c r="Q1130" s="71">
        <v>46167</v>
      </c>
      <c r="R1130" s="6">
        <v>46168</v>
      </c>
      <c r="S1130" s="64">
        <v>22134</v>
      </c>
      <c r="T1130" s="22">
        <v>5</v>
      </c>
      <c r="U1130" s="64">
        <f t="shared" si="281"/>
        <v>1106.7</v>
      </c>
      <c r="V1130" s="22">
        <v>0</v>
      </c>
      <c r="W1130" s="22">
        <v>397797</v>
      </c>
      <c r="X1130" s="62" t="s">
        <v>2864</v>
      </c>
      <c r="Y1130" s="62">
        <v>58166004013</v>
      </c>
      <c r="Z1130" s="62"/>
      <c r="AA1130" s="65">
        <v>4</v>
      </c>
      <c r="AB1130" s="66"/>
      <c r="AC1130" s="1" t="s">
        <v>1842</v>
      </c>
      <c r="AD1130" s="62" t="str">
        <f>VLOOKUP(X1130,'Customer List'!B:C,2,)</f>
        <v>Pune</v>
      </c>
      <c r="AE1130" s="67"/>
      <c r="AF1130" s="6"/>
      <c r="AG1130" s="62" t="str">
        <f t="shared" si="282"/>
        <v/>
      </c>
      <c r="AH1130" s="62" t="str">
        <f t="shared" si="283"/>
        <v>Saturday</v>
      </c>
      <c r="AI1130" s="62" t="str">
        <f t="shared" si="284"/>
        <v/>
      </c>
      <c r="AJ1130" s="62" t="str">
        <f>VLOOKUP(AC1130,'Currency Sheet'!A:C,3,)</f>
        <v>DOLLAR</v>
      </c>
      <c r="AK1130" s="62" t="str">
        <f>VLOOKUP(X1130,'Customer List'!B:D,3,)</f>
        <v>OutStation</v>
      </c>
    </row>
    <row r="1131" spans="1:37" hidden="1" x14ac:dyDescent="0.25">
      <c r="A1131" s="62">
        <f t="shared" si="268"/>
        <v>1115</v>
      </c>
      <c r="B1131" s="62" t="s">
        <v>824</v>
      </c>
      <c r="C1131" s="62" t="s">
        <v>2877</v>
      </c>
      <c r="D1131" s="6"/>
      <c r="E1131" s="6">
        <v>46165</v>
      </c>
      <c r="F1131" s="63">
        <v>297</v>
      </c>
      <c r="G1131" s="64">
        <f t="shared" si="279"/>
        <v>26136</v>
      </c>
      <c r="H1131" s="64">
        <f t="shared" si="280"/>
        <v>52272</v>
      </c>
      <c r="I1131" s="70">
        <v>344748</v>
      </c>
      <c r="J1131" s="62" t="s">
        <v>773</v>
      </c>
      <c r="K1131" s="8" t="s">
        <v>1003</v>
      </c>
      <c r="L1131" s="10">
        <v>46943</v>
      </c>
      <c r="M1131" s="62">
        <v>2</v>
      </c>
      <c r="N1131" s="8">
        <v>2</v>
      </c>
      <c r="O1131" s="62">
        <f t="shared" si="249"/>
        <v>0</v>
      </c>
      <c r="P1131" s="70">
        <v>385</v>
      </c>
      <c r="Q1131" s="71">
        <v>46167</v>
      </c>
      <c r="R1131" s="6">
        <v>46168</v>
      </c>
      <c r="S1131" s="64">
        <v>85932</v>
      </c>
      <c r="T1131" s="22">
        <v>5</v>
      </c>
      <c r="U1131" s="64">
        <f t="shared" si="281"/>
        <v>4296.6000000000004</v>
      </c>
      <c r="V1131" s="22">
        <v>0</v>
      </c>
      <c r="W1131" s="22">
        <v>397797</v>
      </c>
      <c r="X1131" s="62" t="s">
        <v>2864</v>
      </c>
      <c r="Y1131" s="62">
        <v>58166004013</v>
      </c>
      <c r="Z1131" s="62"/>
      <c r="AA1131" s="65">
        <v>4</v>
      </c>
      <c r="AB1131" s="66"/>
      <c r="AC1131" s="1" t="s">
        <v>1842</v>
      </c>
      <c r="AD1131" s="62" t="str">
        <f>VLOOKUP(X1131,'Customer List'!B:C,2,)</f>
        <v>Pune</v>
      </c>
      <c r="AE1131" s="67"/>
      <c r="AF1131" s="6"/>
      <c r="AG1131" s="62" t="str">
        <f t="shared" si="282"/>
        <v/>
      </c>
      <c r="AH1131" s="62" t="str">
        <f t="shared" si="283"/>
        <v>Saturday</v>
      </c>
      <c r="AI1131" s="62" t="str">
        <f t="shared" si="284"/>
        <v/>
      </c>
      <c r="AJ1131" s="62" t="str">
        <f>VLOOKUP(AC1131,'Currency Sheet'!A:C,3,)</f>
        <v>DOLLAR</v>
      </c>
      <c r="AK1131" s="62" t="str">
        <f>VLOOKUP(X1131,'Customer List'!B:D,3,)</f>
        <v>OutStation</v>
      </c>
    </row>
    <row r="1132" spans="1:37" hidden="1" x14ac:dyDescent="0.25">
      <c r="A1132" s="62">
        <f t="shared" si="268"/>
        <v>1116</v>
      </c>
      <c r="B1132" s="62" t="s">
        <v>824</v>
      </c>
      <c r="C1132" s="62" t="s">
        <v>2877</v>
      </c>
      <c r="D1132" s="6"/>
      <c r="E1132" s="6">
        <v>46165</v>
      </c>
      <c r="F1132" s="63">
        <v>53.9</v>
      </c>
      <c r="G1132" s="64">
        <f t="shared" si="279"/>
        <v>4743.2</v>
      </c>
      <c r="H1132" s="64">
        <f t="shared" si="280"/>
        <v>9486.4</v>
      </c>
      <c r="I1132" s="70">
        <v>422501</v>
      </c>
      <c r="J1132" s="62" t="s">
        <v>2695</v>
      </c>
      <c r="K1132" s="8" t="s">
        <v>2696</v>
      </c>
      <c r="L1132" s="10">
        <v>46760</v>
      </c>
      <c r="M1132" s="62">
        <v>2</v>
      </c>
      <c r="N1132" s="8">
        <v>2</v>
      </c>
      <c r="O1132" s="62">
        <f t="shared" si="249"/>
        <v>0</v>
      </c>
      <c r="P1132" s="70">
        <v>385</v>
      </c>
      <c r="Q1132" s="71">
        <v>46167</v>
      </c>
      <c r="R1132" s="6">
        <v>46168</v>
      </c>
      <c r="S1132" s="64">
        <v>16709</v>
      </c>
      <c r="T1132" s="22">
        <v>5</v>
      </c>
      <c r="U1132" s="64">
        <f t="shared" si="281"/>
        <v>835.45</v>
      </c>
      <c r="V1132" s="22">
        <v>0</v>
      </c>
      <c r="W1132" s="22">
        <v>397797</v>
      </c>
      <c r="X1132" s="62" t="s">
        <v>2864</v>
      </c>
      <c r="Y1132" s="62">
        <v>58166004013</v>
      </c>
      <c r="Z1132" s="62"/>
      <c r="AA1132" s="65">
        <v>4</v>
      </c>
      <c r="AB1132" s="66"/>
      <c r="AC1132" s="1" t="s">
        <v>1842</v>
      </c>
      <c r="AD1132" s="62" t="str">
        <f>VLOOKUP(X1132,'Customer List'!B:C,2,)</f>
        <v>Pune</v>
      </c>
      <c r="AE1132" s="67"/>
      <c r="AF1132" s="6"/>
      <c r="AG1132" s="62" t="str">
        <f t="shared" si="282"/>
        <v/>
      </c>
      <c r="AH1132" s="62" t="str">
        <f t="shared" si="283"/>
        <v>Saturday</v>
      </c>
      <c r="AI1132" s="62" t="str">
        <f t="shared" si="284"/>
        <v/>
      </c>
      <c r="AJ1132" s="62" t="str">
        <f>VLOOKUP(AC1132,'Currency Sheet'!A:C,3,)</f>
        <v>DOLLAR</v>
      </c>
      <c r="AK1132" s="62" t="str">
        <f>VLOOKUP(X1132,'Customer List'!B:D,3,)</f>
        <v>OutStation</v>
      </c>
    </row>
    <row r="1133" spans="1:37" hidden="1" x14ac:dyDescent="0.25">
      <c r="A1133" s="62">
        <f t="shared" si="268"/>
        <v>1117</v>
      </c>
      <c r="B1133" s="62" t="s">
        <v>824</v>
      </c>
      <c r="C1133" s="62" t="s">
        <v>2877</v>
      </c>
      <c r="D1133" s="6"/>
      <c r="E1133" s="6">
        <v>46165</v>
      </c>
      <c r="F1133" s="63">
        <v>144.19999999999999</v>
      </c>
      <c r="G1133" s="64">
        <f t="shared" si="279"/>
        <v>12689.599999999999</v>
      </c>
      <c r="H1133" s="64">
        <f t="shared" si="280"/>
        <v>25379.199999999997</v>
      </c>
      <c r="I1133" s="70">
        <v>420302</v>
      </c>
      <c r="J1133" s="62" t="s">
        <v>1050</v>
      </c>
      <c r="K1133" s="8" t="s">
        <v>1799</v>
      </c>
      <c r="L1133" s="10">
        <v>46781</v>
      </c>
      <c r="M1133" s="62">
        <v>2</v>
      </c>
      <c r="N1133" s="8">
        <v>2</v>
      </c>
      <c r="O1133" s="62">
        <f t="shared" si="249"/>
        <v>0</v>
      </c>
      <c r="P1133" s="70">
        <v>385</v>
      </c>
      <c r="Q1133" s="71">
        <v>46167</v>
      </c>
      <c r="R1133" s="6">
        <v>46168</v>
      </c>
      <c r="S1133" s="64">
        <v>44702</v>
      </c>
      <c r="T1133" s="22">
        <v>5</v>
      </c>
      <c r="U1133" s="64">
        <f t="shared" si="281"/>
        <v>2235.1</v>
      </c>
      <c r="V1133" s="22">
        <v>0</v>
      </c>
      <c r="W1133" s="22">
        <v>397797</v>
      </c>
      <c r="X1133" s="62" t="s">
        <v>2864</v>
      </c>
      <c r="Y1133" s="62">
        <v>58166004013</v>
      </c>
      <c r="Z1133" s="62"/>
      <c r="AA1133" s="65">
        <v>4</v>
      </c>
      <c r="AB1133" s="66"/>
      <c r="AC1133" s="1" t="s">
        <v>1842</v>
      </c>
      <c r="AD1133" s="62" t="str">
        <f>VLOOKUP(X1133,'Customer List'!B:C,2,)</f>
        <v>Pune</v>
      </c>
      <c r="AE1133" s="67"/>
      <c r="AF1133" s="6"/>
      <c r="AG1133" s="62" t="str">
        <f t="shared" si="282"/>
        <v/>
      </c>
      <c r="AH1133" s="62" t="str">
        <f t="shared" si="283"/>
        <v>Saturday</v>
      </c>
      <c r="AI1133" s="62" t="str">
        <f t="shared" si="284"/>
        <v/>
      </c>
      <c r="AJ1133" s="62" t="str">
        <f>VLOOKUP(AC1133,'Currency Sheet'!A:C,3,)</f>
        <v>DOLLAR</v>
      </c>
      <c r="AK1133" s="62" t="str">
        <f>VLOOKUP(X1133,'Customer List'!B:D,3,)</f>
        <v>OutStation</v>
      </c>
    </row>
    <row r="1134" spans="1:37" hidden="1" x14ac:dyDescent="0.25">
      <c r="A1134" s="62">
        <f t="shared" si="268"/>
        <v>1118</v>
      </c>
      <c r="B1134" s="62" t="s">
        <v>824</v>
      </c>
      <c r="C1134" s="62" t="s">
        <v>2877</v>
      </c>
      <c r="D1134" s="6"/>
      <c r="E1134" s="6">
        <v>46165</v>
      </c>
      <c r="F1134" s="63">
        <v>213.5</v>
      </c>
      <c r="G1134" s="64">
        <f t="shared" si="279"/>
        <v>18788</v>
      </c>
      <c r="H1134" s="64">
        <f t="shared" si="280"/>
        <v>18788</v>
      </c>
      <c r="I1134" s="70">
        <v>431104</v>
      </c>
      <c r="J1134" s="62" t="s">
        <v>2697</v>
      </c>
      <c r="K1134" s="8" t="s">
        <v>2698</v>
      </c>
      <c r="L1134" s="10">
        <v>46558</v>
      </c>
      <c r="M1134" s="62">
        <v>1</v>
      </c>
      <c r="N1134" s="8">
        <v>1</v>
      </c>
      <c r="O1134" s="62">
        <f t="shared" si="249"/>
        <v>0</v>
      </c>
      <c r="P1134" s="70">
        <v>385</v>
      </c>
      <c r="Q1134" s="71">
        <v>46167</v>
      </c>
      <c r="R1134" s="6">
        <v>46168</v>
      </c>
      <c r="S1134" s="64">
        <v>33092.5</v>
      </c>
      <c r="T1134" s="22">
        <v>5</v>
      </c>
      <c r="U1134" s="64">
        <f t="shared" si="281"/>
        <v>1654.625</v>
      </c>
      <c r="V1134" s="22">
        <v>0</v>
      </c>
      <c r="W1134" s="22">
        <v>397797</v>
      </c>
      <c r="X1134" s="62" t="s">
        <v>2864</v>
      </c>
      <c r="Y1134" s="62">
        <v>58166004013</v>
      </c>
      <c r="Z1134" s="62"/>
      <c r="AA1134" s="65">
        <v>4</v>
      </c>
      <c r="AB1134" s="66"/>
      <c r="AC1134" s="1" t="s">
        <v>1842</v>
      </c>
      <c r="AD1134" s="62" t="str">
        <f>VLOOKUP(X1134,'Customer List'!B:C,2,)</f>
        <v>Pune</v>
      </c>
      <c r="AE1134" s="67"/>
      <c r="AF1134" s="6"/>
      <c r="AG1134" s="62" t="str">
        <f t="shared" si="282"/>
        <v/>
      </c>
      <c r="AH1134" s="62" t="str">
        <f t="shared" si="283"/>
        <v>Tuesday</v>
      </c>
      <c r="AI1134" s="62" t="str">
        <f t="shared" si="284"/>
        <v/>
      </c>
      <c r="AJ1134" s="62" t="str">
        <f>VLOOKUP(AC1134,'Currency Sheet'!A:C,3,)</f>
        <v>DOLLAR</v>
      </c>
      <c r="AK1134" s="62" t="str">
        <f>VLOOKUP(X1134,'Customer List'!B:D,3,)</f>
        <v>OutStation</v>
      </c>
    </row>
    <row r="1135" spans="1:37" hidden="1" x14ac:dyDescent="0.25">
      <c r="A1135" s="62">
        <f t="shared" si="268"/>
        <v>1119</v>
      </c>
      <c r="B1135" s="62" t="s">
        <v>824</v>
      </c>
      <c r="C1135" s="62" t="s">
        <v>2877</v>
      </c>
      <c r="D1135" s="6"/>
      <c r="E1135" s="6">
        <v>46165</v>
      </c>
      <c r="F1135" s="63">
        <v>213.5</v>
      </c>
      <c r="G1135" s="64">
        <f t="shared" si="279"/>
        <v>18788</v>
      </c>
      <c r="H1135" s="64">
        <f t="shared" si="280"/>
        <v>18788</v>
      </c>
      <c r="I1135" s="70">
        <v>432404</v>
      </c>
      <c r="J1135" s="62" t="s">
        <v>2699</v>
      </c>
      <c r="K1135" s="8" t="s">
        <v>2700</v>
      </c>
      <c r="L1135" s="10">
        <v>46758</v>
      </c>
      <c r="M1135" s="62">
        <v>1</v>
      </c>
      <c r="N1135" s="8">
        <v>1</v>
      </c>
      <c r="O1135" s="62">
        <f t="shared" si="249"/>
        <v>0</v>
      </c>
      <c r="P1135" s="70">
        <v>385</v>
      </c>
      <c r="Q1135" s="71">
        <v>46167</v>
      </c>
      <c r="R1135" s="6">
        <v>46168</v>
      </c>
      <c r="S1135" s="64">
        <v>29592.5</v>
      </c>
      <c r="T1135" s="22">
        <v>5</v>
      </c>
      <c r="U1135" s="64">
        <f t="shared" si="281"/>
        <v>1479.625</v>
      </c>
      <c r="V1135" s="22">
        <v>0</v>
      </c>
      <c r="W1135" s="22">
        <v>397797</v>
      </c>
      <c r="X1135" s="62" t="s">
        <v>2864</v>
      </c>
      <c r="Y1135" s="62">
        <v>58166004013</v>
      </c>
      <c r="Z1135" s="62"/>
      <c r="AA1135" s="65">
        <v>4</v>
      </c>
      <c r="AB1135" s="66"/>
      <c r="AC1135" s="1" t="s">
        <v>1842</v>
      </c>
      <c r="AD1135" s="62" t="str">
        <f>VLOOKUP(X1135,'Customer List'!B:C,2,)</f>
        <v>Pune</v>
      </c>
      <c r="AE1135" s="67"/>
      <c r="AF1135" s="6"/>
      <c r="AG1135" s="62" t="str">
        <f t="shared" si="282"/>
        <v/>
      </c>
      <c r="AH1135" s="62" t="str">
        <f t="shared" si="283"/>
        <v>Tuesday</v>
      </c>
      <c r="AI1135" s="62" t="str">
        <f t="shared" si="284"/>
        <v/>
      </c>
      <c r="AJ1135" s="62" t="str">
        <f>VLOOKUP(AC1135,'Currency Sheet'!A:C,3,)</f>
        <v>DOLLAR</v>
      </c>
      <c r="AK1135" s="62" t="str">
        <f>VLOOKUP(X1135,'Customer List'!B:D,3,)</f>
        <v>OutStation</v>
      </c>
    </row>
    <row r="1136" spans="1:37" hidden="1" x14ac:dyDescent="0.25">
      <c r="A1136" s="62">
        <f t="shared" si="268"/>
        <v>1120</v>
      </c>
      <c r="B1136" s="62" t="s">
        <v>824</v>
      </c>
      <c r="C1136" s="62" t="s">
        <v>2877</v>
      </c>
      <c r="D1136" s="6"/>
      <c r="E1136" s="6">
        <v>46165</v>
      </c>
      <c r="F1136" s="63">
        <v>185.5</v>
      </c>
      <c r="G1136" s="64">
        <f t="shared" si="279"/>
        <v>16324</v>
      </c>
      <c r="H1136" s="64">
        <f t="shared" si="280"/>
        <v>16324</v>
      </c>
      <c r="I1136" s="70">
        <v>317310</v>
      </c>
      <c r="J1136" s="62" t="s">
        <v>749</v>
      </c>
      <c r="K1136" s="8" t="s">
        <v>2701</v>
      </c>
      <c r="L1136" s="10">
        <v>47899</v>
      </c>
      <c r="M1136" s="62">
        <v>1</v>
      </c>
      <c r="N1136" s="8">
        <v>1</v>
      </c>
      <c r="O1136" s="62">
        <f t="shared" si="249"/>
        <v>0</v>
      </c>
      <c r="P1136" s="70">
        <v>372</v>
      </c>
      <c r="Q1136" s="71">
        <v>46167</v>
      </c>
      <c r="R1136" s="6">
        <v>46167</v>
      </c>
      <c r="S1136" s="64">
        <v>29984</v>
      </c>
      <c r="T1136" s="22">
        <v>5</v>
      </c>
      <c r="U1136" s="64">
        <f t="shared" si="281"/>
        <v>1499.2</v>
      </c>
      <c r="V1136" s="22">
        <v>0.45</v>
      </c>
      <c r="W1136" s="22">
        <v>289770</v>
      </c>
      <c r="X1136" s="62" t="s">
        <v>2865</v>
      </c>
      <c r="Y1136" s="62">
        <v>58165950802</v>
      </c>
      <c r="Z1136" s="62"/>
      <c r="AA1136" s="65">
        <v>4</v>
      </c>
      <c r="AB1136" s="66"/>
      <c r="AC1136" s="1" t="s">
        <v>1842</v>
      </c>
      <c r="AD1136" s="62" t="str">
        <f>VLOOKUP(X1136,'Customer List'!B:C,2,)</f>
        <v>Banglore</v>
      </c>
      <c r="AE1136" s="67"/>
      <c r="AF1136" s="6"/>
      <c r="AG1136" s="62" t="str">
        <f t="shared" si="282"/>
        <v/>
      </c>
      <c r="AH1136" s="62" t="str">
        <f t="shared" si="283"/>
        <v>Tuesday</v>
      </c>
      <c r="AI1136" s="62" t="str">
        <f t="shared" si="284"/>
        <v/>
      </c>
      <c r="AJ1136" s="62" t="str">
        <f>VLOOKUP(AC1136,'Currency Sheet'!A:C,3,)</f>
        <v>DOLLAR</v>
      </c>
      <c r="AK1136" s="62" t="str">
        <f>VLOOKUP(X1136,'Customer List'!B:D,3,)</f>
        <v>OutStation</v>
      </c>
    </row>
    <row r="1137" spans="1:37" hidden="1" x14ac:dyDescent="0.25">
      <c r="A1137" s="62">
        <f t="shared" si="268"/>
        <v>1121</v>
      </c>
      <c r="B1137" s="62" t="s">
        <v>824</v>
      </c>
      <c r="C1137" s="62" t="s">
        <v>2877</v>
      </c>
      <c r="D1137" s="6"/>
      <c r="E1137" s="6">
        <v>46165</v>
      </c>
      <c r="F1137" s="63">
        <v>297</v>
      </c>
      <c r="G1137" s="64">
        <f t="shared" si="279"/>
        <v>26136</v>
      </c>
      <c r="H1137" s="64">
        <f t="shared" si="280"/>
        <v>26136</v>
      </c>
      <c r="I1137" s="70">
        <v>310932</v>
      </c>
      <c r="J1137" s="62" t="s">
        <v>747</v>
      </c>
      <c r="K1137" s="8" t="s">
        <v>2702</v>
      </c>
      <c r="L1137" s="10">
        <v>47125</v>
      </c>
      <c r="M1137" s="62">
        <v>1</v>
      </c>
      <c r="N1137" s="8">
        <v>1</v>
      </c>
      <c r="O1137" s="62">
        <f t="shared" ref="O1137:O1200" si="285">M1137-N1137</f>
        <v>0</v>
      </c>
      <c r="P1137" s="70">
        <v>372</v>
      </c>
      <c r="Q1137" s="71">
        <v>46167</v>
      </c>
      <c r="R1137" s="6">
        <v>46167</v>
      </c>
      <c r="S1137" s="64">
        <v>44807</v>
      </c>
      <c r="T1137" s="22">
        <v>5</v>
      </c>
      <c r="U1137" s="64">
        <f t="shared" si="281"/>
        <v>2240.35</v>
      </c>
      <c r="V1137" s="22">
        <v>0</v>
      </c>
      <c r="W1137" s="22">
        <v>289770</v>
      </c>
      <c r="X1137" s="62" t="s">
        <v>2865</v>
      </c>
      <c r="Y1137" s="62">
        <v>58165950802</v>
      </c>
      <c r="Z1137" s="62"/>
      <c r="AA1137" s="65">
        <v>4</v>
      </c>
      <c r="AB1137" s="66"/>
      <c r="AC1137" s="1" t="s">
        <v>1842</v>
      </c>
      <c r="AD1137" s="62" t="str">
        <f>VLOOKUP(X1137,'Customer List'!B:C,2,)</f>
        <v>Banglore</v>
      </c>
      <c r="AE1137" s="67"/>
      <c r="AF1137" s="6"/>
      <c r="AG1137" s="62" t="str">
        <f t="shared" si="282"/>
        <v/>
      </c>
      <c r="AH1137" s="62" t="str">
        <f t="shared" si="283"/>
        <v>Saturday</v>
      </c>
      <c r="AI1137" s="62" t="str">
        <f t="shared" si="284"/>
        <v/>
      </c>
      <c r="AJ1137" s="62" t="str">
        <f>VLOOKUP(AC1137,'Currency Sheet'!A:C,3,)</f>
        <v>DOLLAR</v>
      </c>
      <c r="AK1137" s="62" t="str">
        <f>VLOOKUP(X1137,'Customer List'!B:D,3,)</f>
        <v>OutStation</v>
      </c>
    </row>
    <row r="1138" spans="1:37" hidden="1" x14ac:dyDescent="0.25">
      <c r="A1138" s="62">
        <f t="shared" si="268"/>
        <v>1122</v>
      </c>
      <c r="B1138" s="62" t="s">
        <v>824</v>
      </c>
      <c r="C1138" s="62" t="s">
        <v>2877</v>
      </c>
      <c r="D1138" s="6"/>
      <c r="E1138" s="6">
        <v>46165</v>
      </c>
      <c r="F1138" s="63">
        <v>321.75</v>
      </c>
      <c r="G1138" s="64">
        <f t="shared" si="279"/>
        <v>28314</v>
      </c>
      <c r="H1138" s="64">
        <f t="shared" si="280"/>
        <v>28314</v>
      </c>
      <c r="I1138" s="70">
        <v>328634</v>
      </c>
      <c r="J1138" s="62" t="s">
        <v>2703</v>
      </c>
      <c r="K1138" s="8" t="s">
        <v>2704</v>
      </c>
      <c r="L1138" s="10">
        <v>46454</v>
      </c>
      <c r="M1138" s="62">
        <v>1</v>
      </c>
      <c r="N1138" s="8">
        <v>1</v>
      </c>
      <c r="O1138" s="62">
        <f t="shared" si="285"/>
        <v>0</v>
      </c>
      <c r="P1138" s="70">
        <v>372</v>
      </c>
      <c r="Q1138" s="71">
        <v>46167</v>
      </c>
      <c r="R1138" s="6">
        <v>46167</v>
      </c>
      <c r="S1138" s="64">
        <v>48541</v>
      </c>
      <c r="T1138" s="22">
        <v>5</v>
      </c>
      <c r="U1138" s="64">
        <f t="shared" si="281"/>
        <v>2427.0500000000002</v>
      </c>
      <c r="V1138" s="22">
        <v>0</v>
      </c>
      <c r="W1138" s="22">
        <v>289770</v>
      </c>
      <c r="X1138" s="62" t="s">
        <v>2865</v>
      </c>
      <c r="Y1138" s="62">
        <v>58165950802</v>
      </c>
      <c r="Z1138" s="62"/>
      <c r="AA1138" s="65">
        <v>4</v>
      </c>
      <c r="AB1138" s="66"/>
      <c r="AC1138" s="1" t="s">
        <v>1842</v>
      </c>
      <c r="AD1138" s="62" t="str">
        <f>VLOOKUP(X1138,'Customer List'!B:C,2,)</f>
        <v>Banglore</v>
      </c>
      <c r="AE1138" s="67"/>
      <c r="AF1138" s="6"/>
      <c r="AG1138" s="62" t="str">
        <f t="shared" si="282"/>
        <v/>
      </c>
      <c r="AH1138" s="62" t="str">
        <f t="shared" si="283"/>
        <v>Tuesday</v>
      </c>
      <c r="AI1138" s="62" t="str">
        <f t="shared" si="284"/>
        <v/>
      </c>
      <c r="AJ1138" s="62" t="str">
        <f>VLOOKUP(AC1138,'Currency Sheet'!A:C,3,)</f>
        <v>DOLLAR</v>
      </c>
      <c r="AK1138" s="62" t="str">
        <f>VLOOKUP(X1138,'Customer List'!B:D,3,)</f>
        <v>OutStation</v>
      </c>
    </row>
    <row r="1139" spans="1:37" hidden="1" x14ac:dyDescent="0.25">
      <c r="A1139" s="62">
        <f t="shared" si="268"/>
        <v>1123</v>
      </c>
      <c r="B1139" s="62" t="s">
        <v>824</v>
      </c>
      <c r="C1139" s="62" t="s">
        <v>2877</v>
      </c>
      <c r="D1139" s="6"/>
      <c r="E1139" s="6">
        <v>46165</v>
      </c>
      <c r="F1139" s="63">
        <v>205.1</v>
      </c>
      <c r="G1139" s="64">
        <f t="shared" si="279"/>
        <v>18048.8</v>
      </c>
      <c r="H1139" s="64">
        <f t="shared" si="280"/>
        <v>18048.8</v>
      </c>
      <c r="I1139" s="70">
        <v>303408</v>
      </c>
      <c r="J1139" s="62" t="s">
        <v>959</v>
      </c>
      <c r="K1139" s="8" t="s">
        <v>2705</v>
      </c>
      <c r="L1139" s="10">
        <v>46836</v>
      </c>
      <c r="M1139" s="62">
        <v>1</v>
      </c>
      <c r="N1139" s="8">
        <v>1</v>
      </c>
      <c r="O1139" s="62">
        <f t="shared" si="285"/>
        <v>0</v>
      </c>
      <c r="P1139" s="70">
        <v>372</v>
      </c>
      <c r="Q1139" s="71">
        <v>46167</v>
      </c>
      <c r="R1139" s="6">
        <v>46167</v>
      </c>
      <c r="S1139" s="64">
        <v>33153</v>
      </c>
      <c r="T1139" s="22">
        <v>5</v>
      </c>
      <c r="U1139" s="64">
        <f t="shared" si="281"/>
        <v>1657.65</v>
      </c>
      <c r="V1139" s="22">
        <v>0</v>
      </c>
      <c r="W1139" s="22">
        <v>289770</v>
      </c>
      <c r="X1139" s="62" t="s">
        <v>2865</v>
      </c>
      <c r="Y1139" s="62">
        <v>58165950802</v>
      </c>
      <c r="Z1139" s="62"/>
      <c r="AA1139" s="65">
        <v>4</v>
      </c>
      <c r="AB1139" s="66"/>
      <c r="AC1139" s="1" t="s">
        <v>1842</v>
      </c>
      <c r="AD1139" s="62" t="str">
        <f>VLOOKUP(X1139,'Customer List'!B:C,2,)</f>
        <v>Banglore</v>
      </c>
      <c r="AE1139" s="67"/>
      <c r="AF1139" s="6"/>
      <c r="AG1139" s="62" t="str">
        <f t="shared" si="282"/>
        <v/>
      </c>
      <c r="AH1139" s="62" t="str">
        <f t="shared" si="283"/>
        <v>Sunday</v>
      </c>
      <c r="AI1139" s="62" t="str">
        <f t="shared" si="284"/>
        <v/>
      </c>
      <c r="AJ1139" s="62" t="str">
        <f>VLOOKUP(AC1139,'Currency Sheet'!A:C,3,)</f>
        <v>DOLLAR</v>
      </c>
      <c r="AK1139" s="62" t="str">
        <f>VLOOKUP(X1139,'Customer List'!B:D,3,)</f>
        <v>OutStation</v>
      </c>
    </row>
    <row r="1140" spans="1:37" hidden="1" x14ac:dyDescent="0.25">
      <c r="A1140" s="62">
        <f t="shared" si="268"/>
        <v>1124</v>
      </c>
      <c r="B1140" s="62" t="s">
        <v>824</v>
      </c>
      <c r="C1140" s="62" t="s">
        <v>2877</v>
      </c>
      <c r="D1140" s="6"/>
      <c r="E1140" s="6">
        <v>46165</v>
      </c>
      <c r="F1140" s="63">
        <v>309.75</v>
      </c>
      <c r="G1140" s="64">
        <f t="shared" si="279"/>
        <v>27258</v>
      </c>
      <c r="H1140" s="64">
        <f t="shared" si="280"/>
        <v>27258</v>
      </c>
      <c r="I1140" s="70">
        <v>343320</v>
      </c>
      <c r="J1140" s="62" t="s">
        <v>2706</v>
      </c>
      <c r="K1140" s="8" t="s">
        <v>2707</v>
      </c>
      <c r="L1140" s="10">
        <v>46682</v>
      </c>
      <c r="M1140" s="62">
        <v>1</v>
      </c>
      <c r="N1140" s="8">
        <v>1</v>
      </c>
      <c r="O1140" s="62">
        <f t="shared" si="285"/>
        <v>0</v>
      </c>
      <c r="P1140" s="70">
        <v>372</v>
      </c>
      <c r="Q1140" s="71">
        <v>46167</v>
      </c>
      <c r="R1140" s="6">
        <v>46167</v>
      </c>
      <c r="S1140" s="64">
        <v>46731</v>
      </c>
      <c r="T1140" s="22">
        <v>5</v>
      </c>
      <c r="U1140" s="64">
        <f t="shared" si="281"/>
        <v>2336.5500000000002</v>
      </c>
      <c r="V1140" s="22">
        <v>0</v>
      </c>
      <c r="W1140" s="22">
        <v>289770</v>
      </c>
      <c r="X1140" s="62" t="s">
        <v>2865</v>
      </c>
      <c r="Y1140" s="62">
        <v>58165950802</v>
      </c>
      <c r="Z1140" s="62"/>
      <c r="AA1140" s="65">
        <v>4</v>
      </c>
      <c r="AB1140" s="66"/>
      <c r="AC1140" s="1" t="s">
        <v>1842</v>
      </c>
      <c r="AD1140" s="62" t="str">
        <f>VLOOKUP(X1140,'Customer List'!B:C,2,)</f>
        <v>Banglore</v>
      </c>
      <c r="AE1140" s="67"/>
      <c r="AF1140" s="6"/>
      <c r="AG1140" s="62" t="str">
        <f t="shared" si="282"/>
        <v/>
      </c>
      <c r="AH1140" s="62" t="str">
        <f t="shared" si="283"/>
        <v>Friday</v>
      </c>
      <c r="AI1140" s="62" t="str">
        <f t="shared" si="284"/>
        <v/>
      </c>
      <c r="AJ1140" s="62" t="str">
        <f>VLOOKUP(AC1140,'Currency Sheet'!A:C,3,)</f>
        <v>DOLLAR</v>
      </c>
      <c r="AK1140" s="62" t="str">
        <f>VLOOKUP(X1140,'Customer List'!B:D,3,)</f>
        <v>OutStation</v>
      </c>
    </row>
    <row r="1141" spans="1:37" hidden="1" x14ac:dyDescent="0.25">
      <c r="A1141" s="62">
        <f t="shared" si="268"/>
        <v>1125</v>
      </c>
      <c r="B1141" s="62" t="s">
        <v>824</v>
      </c>
      <c r="C1141" s="62" t="s">
        <v>2877</v>
      </c>
      <c r="D1141" s="6"/>
      <c r="E1141" s="6">
        <v>46165</v>
      </c>
      <c r="F1141" s="63">
        <v>252</v>
      </c>
      <c r="G1141" s="64">
        <f t="shared" si="279"/>
        <v>22176</v>
      </c>
      <c r="H1141" s="64">
        <f t="shared" si="280"/>
        <v>22176</v>
      </c>
      <c r="I1141" s="70">
        <v>301348</v>
      </c>
      <c r="J1141" s="62" t="s">
        <v>1512</v>
      </c>
      <c r="K1141" s="8" t="s">
        <v>2708</v>
      </c>
      <c r="L1141" s="10">
        <v>46949</v>
      </c>
      <c r="M1141" s="62">
        <v>1</v>
      </c>
      <c r="N1141" s="8">
        <v>1</v>
      </c>
      <c r="O1141" s="62">
        <f t="shared" si="285"/>
        <v>0</v>
      </c>
      <c r="P1141" s="70">
        <v>372</v>
      </c>
      <c r="Q1141" s="71">
        <v>46167</v>
      </c>
      <c r="R1141" s="6">
        <v>46167</v>
      </c>
      <c r="S1141" s="64">
        <v>40734</v>
      </c>
      <c r="T1141" s="22">
        <v>5</v>
      </c>
      <c r="U1141" s="64">
        <f t="shared" si="281"/>
        <v>2036.7</v>
      </c>
      <c r="V1141" s="22">
        <v>0</v>
      </c>
      <c r="W1141" s="22">
        <v>289770</v>
      </c>
      <c r="X1141" s="62" t="s">
        <v>2865</v>
      </c>
      <c r="Y1141" s="62">
        <v>58165950802</v>
      </c>
      <c r="Z1141" s="62"/>
      <c r="AA1141" s="65">
        <v>4</v>
      </c>
      <c r="AB1141" s="66"/>
      <c r="AC1141" s="1" t="s">
        <v>1842</v>
      </c>
      <c r="AD1141" s="62" t="str">
        <f>VLOOKUP(X1141,'Customer List'!B:C,2,)</f>
        <v>Banglore</v>
      </c>
      <c r="AE1141" s="67"/>
      <c r="AF1141" s="6"/>
      <c r="AG1141" s="62" t="str">
        <f t="shared" si="282"/>
        <v/>
      </c>
      <c r="AH1141" s="62" t="str">
        <f t="shared" si="283"/>
        <v>Sunday</v>
      </c>
      <c r="AI1141" s="62" t="str">
        <f t="shared" si="284"/>
        <v/>
      </c>
      <c r="AJ1141" s="62" t="str">
        <f>VLOOKUP(AC1141,'Currency Sheet'!A:C,3,)</f>
        <v>DOLLAR</v>
      </c>
      <c r="AK1141" s="62" t="str">
        <f>VLOOKUP(X1141,'Customer List'!B:D,3,)</f>
        <v>OutStation</v>
      </c>
    </row>
    <row r="1142" spans="1:37" hidden="1" x14ac:dyDescent="0.25">
      <c r="A1142" s="62">
        <f t="shared" si="268"/>
        <v>1126</v>
      </c>
      <c r="B1142" s="62" t="s">
        <v>824</v>
      </c>
      <c r="C1142" s="62" t="s">
        <v>2877</v>
      </c>
      <c r="D1142" s="6"/>
      <c r="E1142" s="6">
        <v>46165</v>
      </c>
      <c r="F1142" s="63">
        <v>198.1</v>
      </c>
      <c r="G1142" s="64">
        <f t="shared" si="279"/>
        <v>17432.8</v>
      </c>
      <c r="H1142" s="64">
        <f t="shared" si="280"/>
        <v>17432.8</v>
      </c>
      <c r="I1142" s="70">
        <v>353004</v>
      </c>
      <c r="J1142" s="62" t="s">
        <v>739</v>
      </c>
      <c r="K1142" s="8" t="s">
        <v>2121</v>
      </c>
      <c r="L1142" s="10">
        <v>47601</v>
      </c>
      <c r="M1142" s="62">
        <v>1</v>
      </c>
      <c r="N1142" s="8">
        <v>1</v>
      </c>
      <c r="O1142" s="62">
        <f t="shared" si="285"/>
        <v>0</v>
      </c>
      <c r="P1142" s="70">
        <v>372</v>
      </c>
      <c r="Q1142" s="71">
        <v>46167</v>
      </c>
      <c r="R1142" s="6">
        <v>46167</v>
      </c>
      <c r="S1142" s="64">
        <v>32021</v>
      </c>
      <c r="T1142" s="22">
        <v>5</v>
      </c>
      <c r="U1142" s="64">
        <f t="shared" si="281"/>
        <v>1601.0500000000002</v>
      </c>
      <c r="V1142" s="22">
        <v>0</v>
      </c>
      <c r="W1142" s="22">
        <v>289770</v>
      </c>
      <c r="X1142" s="62" t="s">
        <v>2865</v>
      </c>
      <c r="Y1142" s="62">
        <v>58165950802</v>
      </c>
      <c r="Z1142" s="62"/>
      <c r="AA1142" s="65">
        <v>4</v>
      </c>
      <c r="AB1142" s="66"/>
      <c r="AC1142" s="1" t="s">
        <v>1842</v>
      </c>
      <c r="AD1142" s="62" t="str">
        <f>VLOOKUP(X1142,'Customer List'!B:C,2,)</f>
        <v>Banglore</v>
      </c>
      <c r="AE1142" s="67"/>
      <c r="AF1142" s="6"/>
      <c r="AG1142" s="62" t="str">
        <f t="shared" si="282"/>
        <v/>
      </c>
      <c r="AH1142" s="62" t="str">
        <f t="shared" si="283"/>
        <v>Tuesday</v>
      </c>
      <c r="AI1142" s="62" t="str">
        <f t="shared" si="284"/>
        <v/>
      </c>
      <c r="AJ1142" s="62" t="str">
        <f>VLOOKUP(AC1142,'Currency Sheet'!A:C,3,)</f>
        <v>DOLLAR</v>
      </c>
      <c r="AK1142" s="62" t="str">
        <f>VLOOKUP(X1142,'Customer List'!B:D,3,)</f>
        <v>OutStation</v>
      </c>
    </row>
    <row r="1143" spans="1:37" hidden="1" x14ac:dyDescent="0.25">
      <c r="A1143" s="62">
        <f t="shared" si="268"/>
        <v>1127</v>
      </c>
      <c r="B1143" s="62" t="s">
        <v>824</v>
      </c>
      <c r="C1143" s="62" t="s">
        <v>2877</v>
      </c>
      <c r="D1143" s="6"/>
      <c r="E1143" s="6">
        <v>46165</v>
      </c>
      <c r="F1143" s="63">
        <v>102.9</v>
      </c>
      <c r="G1143" s="64">
        <f t="shared" si="279"/>
        <v>9055.2000000000007</v>
      </c>
      <c r="H1143" s="64">
        <f t="shared" si="280"/>
        <v>9055.2000000000007</v>
      </c>
      <c r="I1143" s="70">
        <v>149037</v>
      </c>
      <c r="J1143" s="62" t="s">
        <v>2709</v>
      </c>
      <c r="K1143" s="8" t="s">
        <v>2710</v>
      </c>
      <c r="L1143" s="10">
        <v>46857</v>
      </c>
      <c r="M1143" s="62">
        <v>1</v>
      </c>
      <c r="N1143" s="8">
        <v>1</v>
      </c>
      <c r="O1143" s="62">
        <f t="shared" si="285"/>
        <v>0</v>
      </c>
      <c r="P1143" s="70">
        <v>384</v>
      </c>
      <c r="Q1143" s="71">
        <v>46167</v>
      </c>
      <c r="R1143" s="6">
        <v>46168</v>
      </c>
      <c r="S1143" s="64">
        <v>17088.75</v>
      </c>
      <c r="T1143" s="22">
        <v>5</v>
      </c>
      <c r="U1143" s="64">
        <f t="shared" si="281"/>
        <v>854.4375</v>
      </c>
      <c r="V1143" s="22">
        <v>0.43</v>
      </c>
      <c r="W1143" s="22">
        <v>51877</v>
      </c>
      <c r="X1143" s="62" t="s">
        <v>1099</v>
      </c>
      <c r="Y1143" s="62">
        <v>58165996416</v>
      </c>
      <c r="Z1143" s="62"/>
      <c r="AA1143" s="65">
        <v>4</v>
      </c>
      <c r="AB1143" s="66"/>
      <c r="AC1143" s="1" t="s">
        <v>1842</v>
      </c>
      <c r="AD1143" s="62" t="str">
        <f>VLOOKUP(X1143,'Customer List'!B:C,2,)</f>
        <v>Kharagpur</v>
      </c>
      <c r="AE1143" s="67"/>
      <c r="AF1143" s="6"/>
      <c r="AG1143" s="62" t="str">
        <f t="shared" si="282"/>
        <v/>
      </c>
      <c r="AH1143" s="62" t="str">
        <f t="shared" si="283"/>
        <v>Sunday</v>
      </c>
      <c r="AI1143" s="62" t="str">
        <f t="shared" si="284"/>
        <v/>
      </c>
      <c r="AJ1143" s="62" t="str">
        <f>VLOOKUP(AC1143,'Currency Sheet'!A:C,3,)</f>
        <v>DOLLAR</v>
      </c>
      <c r="AK1143" s="62" t="str">
        <f>VLOOKUP(X1143,'Customer List'!B:D,3,)</f>
        <v>OutStation</v>
      </c>
    </row>
    <row r="1144" spans="1:37" hidden="1" x14ac:dyDescent="0.25">
      <c r="A1144" s="62">
        <f t="shared" si="268"/>
        <v>1128</v>
      </c>
      <c r="B1144" s="62" t="s">
        <v>824</v>
      </c>
      <c r="C1144" s="62" t="s">
        <v>2877</v>
      </c>
      <c r="D1144" s="6"/>
      <c r="E1144" s="6">
        <v>46165</v>
      </c>
      <c r="F1144" s="63">
        <v>119</v>
      </c>
      <c r="G1144" s="64">
        <f t="shared" si="279"/>
        <v>10472</v>
      </c>
      <c r="H1144" s="64">
        <f t="shared" si="280"/>
        <v>10472</v>
      </c>
      <c r="I1144" s="70">
        <v>164413</v>
      </c>
      <c r="J1144" s="62" t="s">
        <v>2711</v>
      </c>
      <c r="K1144" s="8" t="s">
        <v>2712</v>
      </c>
      <c r="L1144" s="10">
        <v>47520</v>
      </c>
      <c r="M1144" s="62">
        <v>1</v>
      </c>
      <c r="N1144" s="8">
        <v>1</v>
      </c>
      <c r="O1144" s="62">
        <f t="shared" si="285"/>
        <v>0</v>
      </c>
      <c r="P1144" s="70">
        <v>384</v>
      </c>
      <c r="Q1144" s="71">
        <v>46167</v>
      </c>
      <c r="R1144" s="6">
        <v>46168</v>
      </c>
      <c r="S1144" s="64">
        <v>19762.5</v>
      </c>
      <c r="T1144" s="22">
        <v>5</v>
      </c>
      <c r="U1144" s="64">
        <f t="shared" si="281"/>
        <v>988.125</v>
      </c>
      <c r="V1144" s="22">
        <v>0</v>
      </c>
      <c r="W1144" s="22">
        <v>51877</v>
      </c>
      <c r="X1144" s="62" t="s">
        <v>1099</v>
      </c>
      <c r="Y1144" s="62">
        <v>58165996416</v>
      </c>
      <c r="Z1144" s="62"/>
      <c r="AA1144" s="65">
        <v>4</v>
      </c>
      <c r="AB1144" s="66"/>
      <c r="AC1144" s="1" t="s">
        <v>1842</v>
      </c>
      <c r="AD1144" s="62" t="str">
        <f>VLOOKUP(X1144,'Customer List'!B:C,2,)</f>
        <v>Kharagpur</v>
      </c>
      <c r="AE1144" s="67"/>
      <c r="AF1144" s="6"/>
      <c r="AG1144" s="62" t="str">
        <f t="shared" si="282"/>
        <v/>
      </c>
      <c r="AH1144" s="62" t="str">
        <f t="shared" si="283"/>
        <v>Sunday</v>
      </c>
      <c r="AI1144" s="62" t="str">
        <f t="shared" si="284"/>
        <v/>
      </c>
      <c r="AJ1144" s="62" t="str">
        <f>VLOOKUP(AC1144,'Currency Sheet'!A:C,3,)</f>
        <v>DOLLAR</v>
      </c>
      <c r="AK1144" s="62" t="str">
        <f>VLOOKUP(X1144,'Customer List'!B:D,3,)</f>
        <v>OutStation</v>
      </c>
    </row>
    <row r="1145" spans="1:37" hidden="1" x14ac:dyDescent="0.25">
      <c r="A1145" s="62">
        <f t="shared" si="268"/>
        <v>1129</v>
      </c>
      <c r="B1145" s="62" t="s">
        <v>824</v>
      </c>
      <c r="C1145" s="62" t="s">
        <v>2877</v>
      </c>
      <c r="D1145" s="6"/>
      <c r="E1145" s="6">
        <v>46165</v>
      </c>
      <c r="F1145" s="63">
        <v>30.1</v>
      </c>
      <c r="G1145" s="64">
        <f t="shared" si="279"/>
        <v>2648.8</v>
      </c>
      <c r="H1145" s="64">
        <f t="shared" si="280"/>
        <v>2648.8</v>
      </c>
      <c r="I1145" s="70">
        <v>123109</v>
      </c>
      <c r="J1145" s="62" t="s">
        <v>1487</v>
      </c>
      <c r="K1145" s="8" t="s">
        <v>2713</v>
      </c>
      <c r="L1145" s="10">
        <v>47526</v>
      </c>
      <c r="M1145" s="62">
        <v>1</v>
      </c>
      <c r="N1145" s="8">
        <v>1</v>
      </c>
      <c r="O1145" s="62">
        <f t="shared" si="285"/>
        <v>0</v>
      </c>
      <c r="P1145" s="70">
        <v>384</v>
      </c>
      <c r="Q1145" s="71">
        <v>46167</v>
      </c>
      <c r="R1145" s="6">
        <v>46168</v>
      </c>
      <c r="S1145" s="64">
        <v>4998.75</v>
      </c>
      <c r="T1145" s="22">
        <v>5</v>
      </c>
      <c r="U1145" s="64">
        <f t="shared" si="281"/>
        <v>249.9375</v>
      </c>
      <c r="V1145" s="22">
        <v>0</v>
      </c>
      <c r="W1145" s="22">
        <v>51877</v>
      </c>
      <c r="X1145" s="62" t="s">
        <v>1099</v>
      </c>
      <c r="Y1145" s="62">
        <v>58165996416</v>
      </c>
      <c r="Z1145" s="62"/>
      <c r="AA1145" s="65">
        <v>4</v>
      </c>
      <c r="AB1145" s="66"/>
      <c r="AC1145" s="1" t="s">
        <v>1842</v>
      </c>
      <c r="AD1145" s="62" t="str">
        <f>VLOOKUP(X1145,'Customer List'!B:C,2,)</f>
        <v>Kharagpur</v>
      </c>
      <c r="AE1145" s="67"/>
      <c r="AF1145" s="6"/>
      <c r="AG1145" s="62" t="str">
        <f t="shared" si="282"/>
        <v/>
      </c>
      <c r="AH1145" s="62" t="str">
        <f t="shared" si="283"/>
        <v>Saturday</v>
      </c>
      <c r="AI1145" s="62" t="str">
        <f t="shared" si="284"/>
        <v/>
      </c>
      <c r="AJ1145" s="62" t="str">
        <f>VLOOKUP(AC1145,'Currency Sheet'!A:C,3,)</f>
        <v>DOLLAR</v>
      </c>
      <c r="AK1145" s="62" t="str">
        <f>VLOOKUP(X1145,'Customer List'!B:D,3,)</f>
        <v>OutStation</v>
      </c>
    </row>
    <row r="1146" spans="1:37" hidden="1" x14ac:dyDescent="0.25">
      <c r="A1146" s="62">
        <f t="shared" si="268"/>
        <v>1130</v>
      </c>
      <c r="B1146" s="62" t="s">
        <v>824</v>
      </c>
      <c r="C1146" s="62" t="s">
        <v>2877</v>
      </c>
      <c r="D1146" s="6"/>
      <c r="E1146" s="6">
        <v>46165</v>
      </c>
      <c r="F1146" s="63">
        <v>45.5</v>
      </c>
      <c r="G1146" s="64">
        <f t="shared" si="279"/>
        <v>4004</v>
      </c>
      <c r="H1146" s="64">
        <f t="shared" si="280"/>
        <v>4004</v>
      </c>
      <c r="I1146" s="70">
        <v>123107</v>
      </c>
      <c r="J1146" s="62" t="s">
        <v>1487</v>
      </c>
      <c r="K1146" s="8" t="s">
        <v>2714</v>
      </c>
      <c r="L1146" s="10">
        <v>48250</v>
      </c>
      <c r="M1146" s="62">
        <v>1</v>
      </c>
      <c r="N1146" s="8">
        <v>1</v>
      </c>
      <c r="O1146" s="62">
        <f t="shared" si="285"/>
        <v>0</v>
      </c>
      <c r="P1146" s="70">
        <v>384</v>
      </c>
      <c r="Q1146" s="71">
        <v>46167</v>
      </c>
      <c r="R1146" s="6">
        <v>46168</v>
      </c>
      <c r="S1146" s="64">
        <v>7556.25</v>
      </c>
      <c r="T1146" s="22">
        <v>5</v>
      </c>
      <c r="U1146" s="64">
        <f t="shared" si="281"/>
        <v>377.8125</v>
      </c>
      <c r="V1146" s="22">
        <v>0</v>
      </c>
      <c r="W1146" s="22">
        <v>51877</v>
      </c>
      <c r="X1146" s="62" t="s">
        <v>1099</v>
      </c>
      <c r="Y1146" s="62">
        <v>58165996416</v>
      </c>
      <c r="Z1146" s="62"/>
      <c r="AA1146" s="65">
        <v>4</v>
      </c>
      <c r="AB1146" s="66"/>
      <c r="AC1146" s="1" t="s">
        <v>1842</v>
      </c>
      <c r="AD1146" s="62" t="str">
        <f>VLOOKUP(X1146,'Customer List'!B:C,2,)</f>
        <v>Kharagpur</v>
      </c>
      <c r="AE1146" s="67"/>
      <c r="AF1146" s="6"/>
      <c r="AG1146" s="62" t="str">
        <f t="shared" si="282"/>
        <v/>
      </c>
      <c r="AH1146" s="62" t="str">
        <f t="shared" si="283"/>
        <v>Tuesday</v>
      </c>
      <c r="AI1146" s="62" t="str">
        <f t="shared" si="284"/>
        <v/>
      </c>
      <c r="AJ1146" s="62" t="str">
        <f>VLOOKUP(AC1146,'Currency Sheet'!A:C,3,)</f>
        <v>DOLLAR</v>
      </c>
      <c r="AK1146" s="62" t="str">
        <f>VLOOKUP(X1146,'Customer List'!B:D,3,)</f>
        <v>OutStation</v>
      </c>
    </row>
    <row r="1147" spans="1:37" hidden="1" x14ac:dyDescent="0.25">
      <c r="A1147" s="62">
        <f t="shared" si="268"/>
        <v>1131</v>
      </c>
      <c r="B1147" s="62" t="s">
        <v>824</v>
      </c>
      <c r="C1147" s="62" t="s">
        <v>2877</v>
      </c>
      <c r="D1147" s="6"/>
      <c r="E1147" s="6">
        <v>46165</v>
      </c>
      <c r="F1147" s="63">
        <v>111.3</v>
      </c>
      <c r="G1147" s="64">
        <f t="shared" si="279"/>
        <v>9794.4</v>
      </c>
      <c r="H1147" s="64">
        <f t="shared" si="280"/>
        <v>9794.4</v>
      </c>
      <c r="I1147" s="70">
        <v>149035</v>
      </c>
      <c r="J1147" s="62" t="s">
        <v>2709</v>
      </c>
      <c r="K1147" s="8" t="s">
        <v>2715</v>
      </c>
      <c r="L1147" s="10">
        <v>47770</v>
      </c>
      <c r="M1147" s="62">
        <v>1</v>
      </c>
      <c r="N1147" s="8"/>
      <c r="O1147" s="62">
        <f t="shared" si="285"/>
        <v>1</v>
      </c>
      <c r="P1147" s="70"/>
      <c r="Q1147" s="71"/>
      <c r="R1147" s="6"/>
      <c r="S1147" s="64">
        <v>17251.5</v>
      </c>
      <c r="T1147" s="22">
        <v>5</v>
      </c>
      <c r="U1147" s="64">
        <f t="shared" si="281"/>
        <v>862.57500000000005</v>
      </c>
      <c r="V1147" s="22">
        <v>-0.06</v>
      </c>
      <c r="W1147" s="22">
        <v>48532</v>
      </c>
      <c r="X1147" s="62" t="s">
        <v>2866</v>
      </c>
      <c r="Y1147" s="62"/>
      <c r="Z1147" s="62"/>
      <c r="AA1147" s="65">
        <v>4</v>
      </c>
      <c r="AB1147" s="66"/>
      <c r="AC1147" s="1" t="s">
        <v>1842</v>
      </c>
      <c r="AD1147" s="62" t="str">
        <f>VLOOKUP(X1147,'Customer List'!B:C,2,)</f>
        <v>Chandigarh</v>
      </c>
      <c r="AE1147" s="67"/>
      <c r="AF1147" s="6"/>
      <c r="AG1147" s="62" t="str">
        <f t="shared" si="282"/>
        <v/>
      </c>
      <c r="AH1147" s="62" t="str">
        <f t="shared" si="283"/>
        <v>Tuesday</v>
      </c>
      <c r="AI1147" s="62" t="str">
        <f t="shared" si="284"/>
        <v/>
      </c>
      <c r="AJ1147" s="62" t="str">
        <f>VLOOKUP(AC1147,'Currency Sheet'!A:C,3,)</f>
        <v>DOLLAR</v>
      </c>
      <c r="AK1147" s="62" t="str">
        <f>VLOOKUP(X1147,'Customer List'!B:D,3,)</f>
        <v>OutStation</v>
      </c>
    </row>
    <row r="1148" spans="1:37" hidden="1" x14ac:dyDescent="0.25">
      <c r="A1148" s="62">
        <f t="shared" si="268"/>
        <v>1132</v>
      </c>
      <c r="B1148" s="62" t="s">
        <v>824</v>
      </c>
      <c r="C1148" s="62" t="s">
        <v>2877</v>
      </c>
      <c r="D1148" s="6"/>
      <c r="E1148" s="6">
        <v>46165</v>
      </c>
      <c r="F1148" s="63">
        <v>186.9</v>
      </c>
      <c r="G1148" s="64">
        <f t="shared" si="279"/>
        <v>16447.2</v>
      </c>
      <c r="H1148" s="64">
        <f t="shared" si="280"/>
        <v>16447.2</v>
      </c>
      <c r="I1148" s="70">
        <v>305014</v>
      </c>
      <c r="J1148" s="62" t="s">
        <v>2716</v>
      </c>
      <c r="K1148" s="8" t="s">
        <v>2717</v>
      </c>
      <c r="L1148" s="10">
        <v>46523</v>
      </c>
      <c r="M1148" s="62">
        <v>1</v>
      </c>
      <c r="N1148" s="8"/>
      <c r="O1148" s="62">
        <f t="shared" si="285"/>
        <v>1</v>
      </c>
      <c r="P1148" s="70"/>
      <c r="Q1148" s="71"/>
      <c r="R1148" s="6"/>
      <c r="S1148" s="64">
        <v>28969.5</v>
      </c>
      <c r="T1148" s="22">
        <v>5</v>
      </c>
      <c r="U1148" s="64">
        <f t="shared" si="281"/>
        <v>1448.4750000000001</v>
      </c>
      <c r="V1148" s="22">
        <v>0</v>
      </c>
      <c r="W1148" s="22">
        <v>48532</v>
      </c>
      <c r="X1148" s="62" t="s">
        <v>2866</v>
      </c>
      <c r="Y1148" s="62"/>
      <c r="Z1148" s="62"/>
      <c r="AA1148" s="65">
        <v>4</v>
      </c>
      <c r="AB1148" s="66"/>
      <c r="AC1148" s="1" t="s">
        <v>1842</v>
      </c>
      <c r="AD1148" s="62" t="str">
        <f>VLOOKUP(X1148,'Customer List'!B:C,2,)</f>
        <v>Chandigarh</v>
      </c>
      <c r="AE1148" s="67"/>
      <c r="AF1148" s="6"/>
      <c r="AG1148" s="62" t="str">
        <f t="shared" si="282"/>
        <v/>
      </c>
      <c r="AH1148" s="62" t="str">
        <f t="shared" si="283"/>
        <v>Tuesday</v>
      </c>
      <c r="AI1148" s="62" t="str">
        <f t="shared" si="284"/>
        <v/>
      </c>
      <c r="AJ1148" s="62" t="str">
        <f>VLOOKUP(AC1148,'Currency Sheet'!A:C,3,)</f>
        <v>DOLLAR</v>
      </c>
      <c r="AK1148" s="62" t="str">
        <f>VLOOKUP(X1148,'Customer List'!B:D,3,)</f>
        <v>OutStation</v>
      </c>
    </row>
    <row r="1149" spans="1:37" hidden="1" x14ac:dyDescent="0.25">
      <c r="A1149" s="62">
        <f t="shared" si="268"/>
        <v>1133</v>
      </c>
      <c r="B1149" s="62" t="s">
        <v>824</v>
      </c>
      <c r="C1149" s="62" t="s">
        <v>2877</v>
      </c>
      <c r="D1149" s="6"/>
      <c r="E1149" s="6">
        <v>46165</v>
      </c>
      <c r="F1149" s="63">
        <v>196.5</v>
      </c>
      <c r="G1149" s="64">
        <f t="shared" si="279"/>
        <v>17292</v>
      </c>
      <c r="H1149" s="64">
        <f t="shared" si="280"/>
        <v>17292</v>
      </c>
      <c r="I1149" s="70">
        <v>505022</v>
      </c>
      <c r="J1149" s="62" t="s">
        <v>2718</v>
      </c>
      <c r="K1149" s="8" t="s">
        <v>2719</v>
      </c>
      <c r="L1149" s="10">
        <v>46915</v>
      </c>
      <c r="M1149" s="62">
        <v>1</v>
      </c>
      <c r="N1149" s="8">
        <v>1</v>
      </c>
      <c r="O1149" s="62">
        <f t="shared" si="285"/>
        <v>0</v>
      </c>
      <c r="P1149" s="70" t="s">
        <v>2878</v>
      </c>
      <c r="Q1149" s="71">
        <v>46167</v>
      </c>
      <c r="R1149" s="6">
        <v>46167</v>
      </c>
      <c r="S1149" s="64">
        <v>36549</v>
      </c>
      <c r="T1149" s="22">
        <v>5</v>
      </c>
      <c r="U1149" s="64">
        <f t="shared" si="281"/>
        <v>1827.45</v>
      </c>
      <c r="V1149" s="22">
        <v>0</v>
      </c>
      <c r="W1149" s="22">
        <v>416428</v>
      </c>
      <c r="X1149" s="62" t="s">
        <v>94</v>
      </c>
      <c r="Y1149" s="62" t="s">
        <v>1120</v>
      </c>
      <c r="Z1149" s="62" t="s">
        <v>1863</v>
      </c>
      <c r="AA1149" s="65">
        <v>4</v>
      </c>
      <c r="AB1149" s="66"/>
      <c r="AC1149" s="1" t="s">
        <v>1842</v>
      </c>
      <c r="AD1149" s="62" t="str">
        <f>VLOOKUP(X1149,'Customer List'!B:C,2,)</f>
        <v>Delhi</v>
      </c>
      <c r="AE1149" s="67"/>
      <c r="AF1149" s="6"/>
      <c r="AG1149" s="62" t="str">
        <f t="shared" si="282"/>
        <v/>
      </c>
      <c r="AH1149" s="62" t="str">
        <f t="shared" si="283"/>
        <v>Monday</v>
      </c>
      <c r="AI1149" s="62" t="str">
        <f t="shared" si="284"/>
        <v/>
      </c>
      <c r="AJ1149" s="62" t="str">
        <f>VLOOKUP(AC1149,'Currency Sheet'!A:C,3,)</f>
        <v>DOLLAR</v>
      </c>
      <c r="AK1149" s="62" t="str">
        <f>VLOOKUP(X1149,'Customer List'!B:D,3,)</f>
        <v>Local</v>
      </c>
    </row>
    <row r="1150" spans="1:37" hidden="1" x14ac:dyDescent="0.25">
      <c r="A1150" s="62">
        <f t="shared" si="268"/>
        <v>1134</v>
      </c>
      <c r="B1150" s="62" t="s">
        <v>824</v>
      </c>
      <c r="C1150" s="62" t="s">
        <v>2877</v>
      </c>
      <c r="D1150" s="6"/>
      <c r="E1150" s="6">
        <v>46165</v>
      </c>
      <c r="F1150" s="63">
        <v>242.9</v>
      </c>
      <c r="G1150" s="64">
        <f t="shared" si="279"/>
        <v>21375.200000000001</v>
      </c>
      <c r="H1150" s="64">
        <f t="shared" si="280"/>
        <v>21375.200000000001</v>
      </c>
      <c r="I1150" s="70">
        <v>514104</v>
      </c>
      <c r="J1150" s="62" t="s">
        <v>2720</v>
      </c>
      <c r="K1150" s="8" t="s">
        <v>2721</v>
      </c>
      <c r="L1150" s="10">
        <v>46810</v>
      </c>
      <c r="M1150" s="62">
        <v>1</v>
      </c>
      <c r="N1150" s="8">
        <v>1</v>
      </c>
      <c r="O1150" s="62">
        <f t="shared" si="285"/>
        <v>0</v>
      </c>
      <c r="P1150" s="70" t="s">
        <v>2878</v>
      </c>
      <c r="Q1150" s="71">
        <v>46167</v>
      </c>
      <c r="R1150" s="6">
        <v>46167</v>
      </c>
      <c r="S1150" s="64">
        <v>48406.5</v>
      </c>
      <c r="T1150" s="22">
        <v>5</v>
      </c>
      <c r="U1150" s="64">
        <f t="shared" si="281"/>
        <v>2420.3250000000003</v>
      </c>
      <c r="V1150" s="22">
        <v>0</v>
      </c>
      <c r="W1150" s="22">
        <v>416428</v>
      </c>
      <c r="X1150" s="62" t="s">
        <v>94</v>
      </c>
      <c r="Y1150" s="62" t="s">
        <v>1120</v>
      </c>
      <c r="Z1150" s="62" t="s">
        <v>1863</v>
      </c>
      <c r="AA1150" s="65">
        <v>4</v>
      </c>
      <c r="AB1150" s="66"/>
      <c r="AC1150" s="1" t="s">
        <v>1842</v>
      </c>
      <c r="AD1150" s="62" t="str">
        <f>VLOOKUP(X1150,'Customer List'!B:C,2,)</f>
        <v>Delhi</v>
      </c>
      <c r="AE1150" s="67"/>
      <c r="AF1150" s="6"/>
      <c r="AG1150" s="62" t="str">
        <f t="shared" si="282"/>
        <v/>
      </c>
      <c r="AH1150" s="62" t="str">
        <f t="shared" si="283"/>
        <v>Sunday</v>
      </c>
      <c r="AI1150" s="62" t="str">
        <f t="shared" si="284"/>
        <v/>
      </c>
      <c r="AJ1150" s="62" t="str">
        <f>VLOOKUP(AC1150,'Currency Sheet'!A:C,3,)</f>
        <v>DOLLAR</v>
      </c>
      <c r="AK1150" s="62" t="str">
        <f>VLOOKUP(X1150,'Customer List'!B:D,3,)</f>
        <v>Local</v>
      </c>
    </row>
    <row r="1151" spans="1:37" hidden="1" x14ac:dyDescent="0.25">
      <c r="A1151" s="62">
        <f t="shared" si="268"/>
        <v>1135</v>
      </c>
      <c r="B1151" s="62" t="s">
        <v>824</v>
      </c>
      <c r="C1151" s="62" t="s">
        <v>2877</v>
      </c>
      <c r="D1151" s="6"/>
      <c r="E1151" s="6">
        <v>46165</v>
      </c>
      <c r="F1151" s="63">
        <v>173.6</v>
      </c>
      <c r="G1151" s="64">
        <f t="shared" si="279"/>
        <v>15276.8</v>
      </c>
      <c r="H1151" s="64">
        <f t="shared" si="280"/>
        <v>15276.8</v>
      </c>
      <c r="I1151" s="70">
        <v>100220</v>
      </c>
      <c r="J1151" s="62" t="s">
        <v>759</v>
      </c>
      <c r="K1151" s="8" t="s">
        <v>907</v>
      </c>
      <c r="L1151" s="10">
        <v>47540</v>
      </c>
      <c r="M1151" s="62">
        <v>1</v>
      </c>
      <c r="N1151" s="8">
        <v>1</v>
      </c>
      <c r="O1151" s="62">
        <f t="shared" si="285"/>
        <v>0</v>
      </c>
      <c r="P1151" s="70" t="s">
        <v>2878</v>
      </c>
      <c r="Q1151" s="71">
        <v>46167</v>
      </c>
      <c r="R1151" s="6">
        <v>46167</v>
      </c>
      <c r="S1151" s="64">
        <v>34596</v>
      </c>
      <c r="T1151" s="22">
        <v>5</v>
      </c>
      <c r="U1151" s="64">
        <f t="shared" si="281"/>
        <v>1729.8000000000002</v>
      </c>
      <c r="V1151" s="22">
        <v>0</v>
      </c>
      <c r="W1151" s="22">
        <v>416428</v>
      </c>
      <c r="X1151" s="62" t="s">
        <v>94</v>
      </c>
      <c r="Y1151" s="62" t="s">
        <v>1120</v>
      </c>
      <c r="Z1151" s="62" t="s">
        <v>1863</v>
      </c>
      <c r="AA1151" s="65">
        <v>4</v>
      </c>
      <c r="AB1151" s="66"/>
      <c r="AC1151" s="1" t="s">
        <v>1842</v>
      </c>
      <c r="AD1151" s="62" t="str">
        <f>VLOOKUP(X1151,'Customer List'!B:C,2,)</f>
        <v>Delhi</v>
      </c>
      <c r="AE1151" s="67"/>
      <c r="AF1151" s="6"/>
      <c r="AG1151" s="62" t="str">
        <f t="shared" si="282"/>
        <v/>
      </c>
      <c r="AH1151" s="62" t="str">
        <f t="shared" si="283"/>
        <v>Monday</v>
      </c>
      <c r="AI1151" s="62" t="str">
        <f t="shared" si="284"/>
        <v/>
      </c>
      <c r="AJ1151" s="62" t="str">
        <f>VLOOKUP(AC1151,'Currency Sheet'!A:C,3,)</f>
        <v>DOLLAR</v>
      </c>
      <c r="AK1151" s="62" t="str">
        <f>VLOOKUP(X1151,'Customer List'!B:D,3,)</f>
        <v>Local</v>
      </c>
    </row>
    <row r="1152" spans="1:37" hidden="1" x14ac:dyDescent="0.25">
      <c r="A1152" s="62">
        <f t="shared" si="268"/>
        <v>1136</v>
      </c>
      <c r="B1152" s="62" t="s">
        <v>824</v>
      </c>
      <c r="C1152" s="62" t="s">
        <v>2877</v>
      </c>
      <c r="D1152" s="6"/>
      <c r="E1152" s="6">
        <v>46165</v>
      </c>
      <c r="F1152" s="63">
        <v>69.3</v>
      </c>
      <c r="G1152" s="64">
        <f t="shared" si="279"/>
        <v>6098.4</v>
      </c>
      <c r="H1152" s="64">
        <f t="shared" si="280"/>
        <v>6098.4</v>
      </c>
      <c r="I1152" s="70">
        <v>100510</v>
      </c>
      <c r="J1152" s="62" t="s">
        <v>911</v>
      </c>
      <c r="K1152" s="8" t="s">
        <v>2722</v>
      </c>
      <c r="L1152" s="10">
        <v>48360</v>
      </c>
      <c r="M1152" s="62">
        <v>1</v>
      </c>
      <c r="N1152" s="8">
        <v>1</v>
      </c>
      <c r="O1152" s="62">
        <f t="shared" si="285"/>
        <v>0</v>
      </c>
      <c r="P1152" s="70" t="s">
        <v>2878</v>
      </c>
      <c r="Q1152" s="71">
        <v>46167</v>
      </c>
      <c r="R1152" s="6">
        <v>46167</v>
      </c>
      <c r="S1152" s="64">
        <v>13810.5</v>
      </c>
      <c r="T1152" s="22">
        <v>5</v>
      </c>
      <c r="U1152" s="64">
        <f t="shared" si="281"/>
        <v>690.52500000000009</v>
      </c>
      <c r="V1152" s="22">
        <v>0</v>
      </c>
      <c r="W1152" s="22">
        <v>416428</v>
      </c>
      <c r="X1152" s="62" t="s">
        <v>94</v>
      </c>
      <c r="Y1152" s="62" t="s">
        <v>1120</v>
      </c>
      <c r="Z1152" s="62" t="s">
        <v>1863</v>
      </c>
      <c r="AA1152" s="65">
        <v>4</v>
      </c>
      <c r="AB1152" s="66"/>
      <c r="AC1152" s="1" t="s">
        <v>1842</v>
      </c>
      <c r="AD1152" s="62" t="str">
        <f>VLOOKUP(X1152,'Customer List'!B:C,2,)</f>
        <v>Delhi</v>
      </c>
      <c r="AE1152" s="67"/>
      <c r="AF1152" s="6"/>
      <c r="AG1152" s="62" t="str">
        <f t="shared" si="282"/>
        <v/>
      </c>
      <c r="AH1152" s="62" t="str">
        <f t="shared" si="283"/>
        <v>Friday</v>
      </c>
      <c r="AI1152" s="62" t="str">
        <f t="shared" si="284"/>
        <v/>
      </c>
      <c r="AJ1152" s="62" t="str">
        <f>VLOOKUP(AC1152,'Currency Sheet'!A:C,3,)</f>
        <v>DOLLAR</v>
      </c>
      <c r="AK1152" s="62" t="str">
        <f>VLOOKUP(X1152,'Customer List'!B:D,3,)</f>
        <v>Local</v>
      </c>
    </row>
    <row r="1153" spans="1:37" hidden="1" x14ac:dyDescent="0.25">
      <c r="A1153" s="62">
        <f t="shared" si="268"/>
        <v>1137</v>
      </c>
      <c r="B1153" s="62" t="s">
        <v>824</v>
      </c>
      <c r="C1153" s="62" t="s">
        <v>2877</v>
      </c>
      <c r="D1153" s="6"/>
      <c r="E1153" s="6">
        <v>46165</v>
      </c>
      <c r="F1153" s="63">
        <v>204.75</v>
      </c>
      <c r="G1153" s="64">
        <f t="shared" si="279"/>
        <v>18018</v>
      </c>
      <c r="H1153" s="64">
        <f t="shared" si="280"/>
        <v>18018</v>
      </c>
      <c r="I1153" s="70">
        <v>504133</v>
      </c>
      <c r="J1153" s="62" t="s">
        <v>2723</v>
      </c>
      <c r="K1153" s="8" t="s">
        <v>2724</v>
      </c>
      <c r="L1153" s="10">
        <v>46643</v>
      </c>
      <c r="M1153" s="62">
        <v>1</v>
      </c>
      <c r="N1153" s="8">
        <v>1</v>
      </c>
      <c r="O1153" s="62">
        <f t="shared" si="285"/>
        <v>0</v>
      </c>
      <c r="P1153" s="70" t="s">
        <v>2878</v>
      </c>
      <c r="Q1153" s="71">
        <v>46167</v>
      </c>
      <c r="R1153" s="6">
        <v>46167</v>
      </c>
      <c r="S1153" s="64">
        <v>38083.5</v>
      </c>
      <c r="T1153" s="22">
        <v>5</v>
      </c>
      <c r="U1153" s="64">
        <f t="shared" si="281"/>
        <v>1904.1750000000002</v>
      </c>
      <c r="V1153" s="22">
        <v>0</v>
      </c>
      <c r="W1153" s="22">
        <v>416428</v>
      </c>
      <c r="X1153" s="62" t="s">
        <v>94</v>
      </c>
      <c r="Y1153" s="62" t="s">
        <v>1120</v>
      </c>
      <c r="Z1153" s="62" t="s">
        <v>1863</v>
      </c>
      <c r="AA1153" s="65">
        <v>4</v>
      </c>
      <c r="AB1153" s="66"/>
      <c r="AC1153" s="1" t="s">
        <v>1842</v>
      </c>
      <c r="AD1153" s="62" t="str">
        <f>VLOOKUP(X1153,'Customer List'!B:C,2,)</f>
        <v>Delhi</v>
      </c>
      <c r="AE1153" s="67"/>
      <c r="AF1153" s="6"/>
      <c r="AG1153" s="62" t="str">
        <f t="shared" si="282"/>
        <v/>
      </c>
      <c r="AH1153" s="62" t="str">
        <f t="shared" si="283"/>
        <v>Tuesday</v>
      </c>
      <c r="AI1153" s="62" t="str">
        <f t="shared" si="284"/>
        <v/>
      </c>
      <c r="AJ1153" s="62" t="str">
        <f>VLOOKUP(AC1153,'Currency Sheet'!A:C,3,)</f>
        <v>DOLLAR</v>
      </c>
      <c r="AK1153" s="62" t="str">
        <f>VLOOKUP(X1153,'Customer List'!B:D,3,)</f>
        <v>Local</v>
      </c>
    </row>
    <row r="1154" spans="1:37" hidden="1" x14ac:dyDescent="0.25">
      <c r="A1154" s="62">
        <f t="shared" ref="A1154:A1217" si="286">A1153+1</f>
        <v>1138</v>
      </c>
      <c r="B1154" s="62" t="s">
        <v>824</v>
      </c>
      <c r="C1154" s="62" t="s">
        <v>2877</v>
      </c>
      <c r="D1154" s="6"/>
      <c r="E1154" s="6">
        <v>46165</v>
      </c>
      <c r="F1154" s="63">
        <v>214.5</v>
      </c>
      <c r="G1154" s="64">
        <f t="shared" si="279"/>
        <v>18876</v>
      </c>
      <c r="H1154" s="64">
        <f t="shared" si="280"/>
        <v>18876</v>
      </c>
      <c r="I1154" s="70">
        <v>505840</v>
      </c>
      <c r="J1154" s="62" t="s">
        <v>783</v>
      </c>
      <c r="K1154" s="8" t="s">
        <v>2725</v>
      </c>
      <c r="L1154" s="10">
        <v>47190</v>
      </c>
      <c r="M1154" s="62">
        <v>1</v>
      </c>
      <c r="N1154" s="8">
        <v>1</v>
      </c>
      <c r="O1154" s="62">
        <f t="shared" si="285"/>
        <v>0</v>
      </c>
      <c r="P1154" s="70" t="s">
        <v>2878</v>
      </c>
      <c r="Q1154" s="71">
        <v>46167</v>
      </c>
      <c r="R1154" s="6">
        <v>46167</v>
      </c>
      <c r="S1154" s="64">
        <v>39897</v>
      </c>
      <c r="T1154" s="22">
        <v>5</v>
      </c>
      <c r="U1154" s="64">
        <f t="shared" si="281"/>
        <v>1994.8500000000001</v>
      </c>
      <c r="V1154" s="22">
        <v>0</v>
      </c>
      <c r="W1154" s="22">
        <v>416428</v>
      </c>
      <c r="X1154" s="62" t="s">
        <v>94</v>
      </c>
      <c r="Y1154" s="62" t="s">
        <v>1120</v>
      </c>
      <c r="Z1154" s="62" t="s">
        <v>1863</v>
      </c>
      <c r="AA1154" s="65">
        <v>4</v>
      </c>
      <c r="AB1154" s="66"/>
      <c r="AC1154" s="1" t="s">
        <v>1842</v>
      </c>
      <c r="AD1154" s="62" t="str">
        <f>VLOOKUP(X1154,'Customer List'!B:C,2,)</f>
        <v>Delhi</v>
      </c>
      <c r="AE1154" s="67"/>
      <c r="AF1154" s="6"/>
      <c r="AG1154" s="62" t="str">
        <f t="shared" si="282"/>
        <v/>
      </c>
      <c r="AH1154" s="62" t="str">
        <f t="shared" si="283"/>
        <v>Wednesday</v>
      </c>
      <c r="AI1154" s="62" t="str">
        <f t="shared" si="284"/>
        <v/>
      </c>
      <c r="AJ1154" s="62" t="str">
        <f>VLOOKUP(AC1154,'Currency Sheet'!A:C,3,)</f>
        <v>DOLLAR</v>
      </c>
      <c r="AK1154" s="62" t="str">
        <f>VLOOKUP(X1154,'Customer List'!B:D,3,)</f>
        <v>Local</v>
      </c>
    </row>
    <row r="1155" spans="1:37" hidden="1" x14ac:dyDescent="0.25">
      <c r="A1155" s="62">
        <f t="shared" si="286"/>
        <v>1139</v>
      </c>
      <c r="B1155" s="62" t="s">
        <v>824</v>
      </c>
      <c r="C1155" s="62" t="s">
        <v>2877</v>
      </c>
      <c r="D1155" s="6"/>
      <c r="E1155" s="6">
        <v>46165</v>
      </c>
      <c r="F1155" s="63">
        <v>226.1</v>
      </c>
      <c r="G1155" s="64">
        <f t="shared" si="279"/>
        <v>19896.8</v>
      </c>
      <c r="H1155" s="64">
        <f t="shared" si="280"/>
        <v>19896.8</v>
      </c>
      <c r="I1155" s="70">
        <v>100622</v>
      </c>
      <c r="J1155" s="62" t="s">
        <v>2726</v>
      </c>
      <c r="K1155" s="8" t="s">
        <v>2727</v>
      </c>
      <c r="L1155" s="10">
        <v>46712</v>
      </c>
      <c r="M1155" s="62">
        <v>1</v>
      </c>
      <c r="N1155" s="8">
        <v>1</v>
      </c>
      <c r="O1155" s="62">
        <f t="shared" si="285"/>
        <v>0</v>
      </c>
      <c r="P1155" s="70" t="s">
        <v>2878</v>
      </c>
      <c r="Q1155" s="71">
        <v>46167</v>
      </c>
      <c r="R1155" s="6">
        <v>46167</v>
      </c>
      <c r="S1155" s="64">
        <v>45058.5</v>
      </c>
      <c r="T1155" s="22">
        <v>5</v>
      </c>
      <c r="U1155" s="64">
        <f t="shared" si="281"/>
        <v>2252.9250000000002</v>
      </c>
      <c r="V1155" s="22">
        <v>0</v>
      </c>
      <c r="W1155" s="22">
        <v>416428</v>
      </c>
      <c r="X1155" s="62" t="s">
        <v>94</v>
      </c>
      <c r="Y1155" s="62" t="s">
        <v>1120</v>
      </c>
      <c r="Z1155" s="62" t="s">
        <v>1863</v>
      </c>
      <c r="AA1155" s="65">
        <v>4</v>
      </c>
      <c r="AB1155" s="66"/>
      <c r="AC1155" s="1" t="s">
        <v>1842</v>
      </c>
      <c r="AD1155" s="62" t="str">
        <f>VLOOKUP(X1155,'Customer List'!B:C,2,)</f>
        <v>Delhi</v>
      </c>
      <c r="AE1155" s="67"/>
      <c r="AF1155" s="6"/>
      <c r="AG1155" s="62" t="str">
        <f t="shared" si="282"/>
        <v/>
      </c>
      <c r="AH1155" s="62" t="str">
        <f t="shared" si="283"/>
        <v>Friday</v>
      </c>
      <c r="AI1155" s="62" t="str">
        <f t="shared" si="284"/>
        <v/>
      </c>
      <c r="AJ1155" s="62" t="str">
        <f>VLOOKUP(AC1155,'Currency Sheet'!A:C,3,)</f>
        <v>DOLLAR</v>
      </c>
      <c r="AK1155" s="62" t="str">
        <f>VLOOKUP(X1155,'Customer List'!B:D,3,)</f>
        <v>Local</v>
      </c>
    </row>
    <row r="1156" spans="1:37" hidden="1" x14ac:dyDescent="0.25">
      <c r="A1156" s="62">
        <f t="shared" si="286"/>
        <v>1140</v>
      </c>
      <c r="B1156" s="62" t="s">
        <v>824</v>
      </c>
      <c r="C1156" s="62" t="s">
        <v>2877</v>
      </c>
      <c r="D1156" s="6"/>
      <c r="E1156" s="6">
        <v>46165</v>
      </c>
      <c r="F1156" s="63">
        <v>74.900000000000006</v>
      </c>
      <c r="G1156" s="64">
        <f t="shared" si="279"/>
        <v>6591.2000000000007</v>
      </c>
      <c r="H1156" s="64">
        <f t="shared" si="280"/>
        <v>6591.2000000000007</v>
      </c>
      <c r="I1156" s="70">
        <v>103208</v>
      </c>
      <c r="J1156" s="62" t="s">
        <v>1183</v>
      </c>
      <c r="K1156" s="8" t="s">
        <v>2728</v>
      </c>
      <c r="L1156" s="10">
        <v>47707</v>
      </c>
      <c r="M1156" s="62">
        <v>1</v>
      </c>
      <c r="N1156" s="8">
        <v>1</v>
      </c>
      <c r="O1156" s="62">
        <f t="shared" si="285"/>
        <v>0</v>
      </c>
      <c r="P1156" s="70" t="s">
        <v>2878</v>
      </c>
      <c r="Q1156" s="71">
        <v>46167</v>
      </c>
      <c r="R1156" s="6">
        <v>46167</v>
      </c>
      <c r="S1156" s="64">
        <v>14926.5</v>
      </c>
      <c r="T1156" s="22">
        <v>5</v>
      </c>
      <c r="U1156" s="64">
        <f t="shared" si="281"/>
        <v>746.32500000000005</v>
      </c>
      <c r="V1156" s="22">
        <v>0</v>
      </c>
      <c r="W1156" s="22">
        <v>416428</v>
      </c>
      <c r="X1156" s="62" t="s">
        <v>94</v>
      </c>
      <c r="Y1156" s="62" t="s">
        <v>1120</v>
      </c>
      <c r="Z1156" s="62" t="s">
        <v>1863</v>
      </c>
      <c r="AA1156" s="65">
        <v>4</v>
      </c>
      <c r="AB1156" s="66"/>
      <c r="AC1156" s="1" t="s">
        <v>1842</v>
      </c>
      <c r="AD1156" s="62" t="str">
        <f>VLOOKUP(X1156,'Customer List'!B:C,2,)</f>
        <v>Delhi</v>
      </c>
      <c r="AE1156" s="67"/>
      <c r="AF1156" s="6"/>
      <c r="AG1156" s="62" t="str">
        <f t="shared" si="282"/>
        <v/>
      </c>
      <c r="AH1156" s="62" t="str">
        <f t="shared" si="283"/>
        <v>Monday</v>
      </c>
      <c r="AI1156" s="62" t="str">
        <f t="shared" si="284"/>
        <v/>
      </c>
      <c r="AJ1156" s="62" t="str">
        <f>VLOOKUP(AC1156,'Currency Sheet'!A:C,3,)</f>
        <v>DOLLAR</v>
      </c>
      <c r="AK1156" s="62" t="str">
        <f>VLOOKUP(X1156,'Customer List'!B:D,3,)</f>
        <v>Local</v>
      </c>
    </row>
    <row r="1157" spans="1:37" hidden="1" x14ac:dyDescent="0.25">
      <c r="A1157" s="62">
        <f t="shared" si="286"/>
        <v>1141</v>
      </c>
      <c r="B1157" s="62" t="s">
        <v>824</v>
      </c>
      <c r="C1157" s="62" t="s">
        <v>2877</v>
      </c>
      <c r="D1157" s="6"/>
      <c r="E1157" s="6">
        <v>46165</v>
      </c>
      <c r="F1157" s="63">
        <v>219.8</v>
      </c>
      <c r="G1157" s="64">
        <f t="shared" si="279"/>
        <v>19342.400000000001</v>
      </c>
      <c r="H1157" s="64">
        <f t="shared" si="280"/>
        <v>19342.400000000001</v>
      </c>
      <c r="I1157" s="70">
        <v>123522</v>
      </c>
      <c r="J1157" s="62" t="s">
        <v>2729</v>
      </c>
      <c r="K1157" s="8" t="s">
        <v>2730</v>
      </c>
      <c r="L1157" s="10">
        <v>46734</v>
      </c>
      <c r="M1157" s="62">
        <v>1</v>
      </c>
      <c r="N1157" s="8">
        <v>1</v>
      </c>
      <c r="O1157" s="62">
        <f t="shared" si="285"/>
        <v>0</v>
      </c>
      <c r="P1157" s="70" t="s">
        <v>2878</v>
      </c>
      <c r="Q1157" s="71">
        <v>46167</v>
      </c>
      <c r="R1157" s="6">
        <v>46167</v>
      </c>
      <c r="S1157" s="64">
        <v>43803</v>
      </c>
      <c r="T1157" s="22">
        <v>5</v>
      </c>
      <c r="U1157" s="64">
        <f t="shared" si="281"/>
        <v>2190.15</v>
      </c>
      <c r="V1157" s="22">
        <v>0</v>
      </c>
      <c r="W1157" s="22">
        <v>416428</v>
      </c>
      <c r="X1157" s="62" t="s">
        <v>94</v>
      </c>
      <c r="Y1157" s="62" t="s">
        <v>1120</v>
      </c>
      <c r="Z1157" s="62" t="s">
        <v>1863</v>
      </c>
      <c r="AA1157" s="65">
        <v>4</v>
      </c>
      <c r="AB1157" s="66"/>
      <c r="AC1157" s="1" t="s">
        <v>1842</v>
      </c>
      <c r="AD1157" s="62" t="str">
        <f>VLOOKUP(X1157,'Customer List'!B:C,2,)</f>
        <v>Delhi</v>
      </c>
      <c r="AE1157" s="67"/>
      <c r="AF1157" s="6"/>
      <c r="AG1157" s="62" t="str">
        <f t="shared" si="282"/>
        <v/>
      </c>
      <c r="AH1157" s="62" t="str">
        <f t="shared" si="283"/>
        <v>Wednesday</v>
      </c>
      <c r="AI1157" s="62" t="str">
        <f t="shared" si="284"/>
        <v/>
      </c>
      <c r="AJ1157" s="62" t="str">
        <f>VLOOKUP(AC1157,'Currency Sheet'!A:C,3,)</f>
        <v>DOLLAR</v>
      </c>
      <c r="AK1157" s="62" t="str">
        <f>VLOOKUP(X1157,'Customer List'!B:D,3,)</f>
        <v>Local</v>
      </c>
    </row>
    <row r="1158" spans="1:37" hidden="1" x14ac:dyDescent="0.25">
      <c r="A1158" s="62">
        <f t="shared" si="286"/>
        <v>1142</v>
      </c>
      <c r="B1158" s="62" t="s">
        <v>824</v>
      </c>
      <c r="C1158" s="62" t="s">
        <v>2877</v>
      </c>
      <c r="D1158" s="6"/>
      <c r="E1158" s="6">
        <v>46165</v>
      </c>
      <c r="F1158" s="63">
        <v>185.5</v>
      </c>
      <c r="G1158" s="64">
        <f t="shared" si="279"/>
        <v>16324</v>
      </c>
      <c r="H1158" s="64">
        <f t="shared" si="280"/>
        <v>32648</v>
      </c>
      <c r="I1158" s="70">
        <v>304120</v>
      </c>
      <c r="J1158" s="62" t="s">
        <v>965</v>
      </c>
      <c r="K1158" s="8" t="s">
        <v>2731</v>
      </c>
      <c r="L1158" s="10">
        <v>46968</v>
      </c>
      <c r="M1158" s="62">
        <v>2</v>
      </c>
      <c r="N1158" s="8">
        <v>2</v>
      </c>
      <c r="O1158" s="62">
        <f t="shared" si="285"/>
        <v>0</v>
      </c>
      <c r="P1158" s="70" t="s">
        <v>2878</v>
      </c>
      <c r="Q1158" s="71">
        <v>46167</v>
      </c>
      <c r="R1158" s="6">
        <v>46167</v>
      </c>
      <c r="S1158" s="64">
        <v>73935</v>
      </c>
      <c r="T1158" s="22">
        <v>5</v>
      </c>
      <c r="U1158" s="64">
        <f t="shared" si="281"/>
        <v>3696.75</v>
      </c>
      <c r="V1158" s="22">
        <v>0</v>
      </c>
      <c r="W1158" s="22">
        <v>416428</v>
      </c>
      <c r="X1158" s="62" t="s">
        <v>94</v>
      </c>
      <c r="Y1158" s="62" t="s">
        <v>1120</v>
      </c>
      <c r="Z1158" s="62" t="s">
        <v>1863</v>
      </c>
      <c r="AA1158" s="65">
        <v>4</v>
      </c>
      <c r="AB1158" s="66"/>
      <c r="AC1158" s="1" t="s">
        <v>1842</v>
      </c>
      <c r="AD1158" s="62" t="str">
        <f>VLOOKUP(X1158,'Customer List'!B:C,2,)</f>
        <v>Delhi</v>
      </c>
      <c r="AE1158" s="67"/>
      <c r="AF1158" s="6"/>
      <c r="AG1158" s="62" t="str">
        <f t="shared" si="282"/>
        <v/>
      </c>
      <c r="AH1158" s="62" t="str">
        <f t="shared" si="283"/>
        <v>Sunday</v>
      </c>
      <c r="AI1158" s="62" t="str">
        <f t="shared" si="284"/>
        <v/>
      </c>
      <c r="AJ1158" s="62" t="str">
        <f>VLOOKUP(AC1158,'Currency Sheet'!A:C,3,)</f>
        <v>DOLLAR</v>
      </c>
      <c r="AK1158" s="62" t="str">
        <f>VLOOKUP(X1158,'Customer List'!B:D,3,)</f>
        <v>Local</v>
      </c>
    </row>
    <row r="1159" spans="1:37" hidden="1" x14ac:dyDescent="0.25">
      <c r="A1159" s="62">
        <f t="shared" si="286"/>
        <v>1143</v>
      </c>
      <c r="B1159" s="62" t="s">
        <v>824</v>
      </c>
      <c r="C1159" s="62" t="s">
        <v>2877</v>
      </c>
      <c r="D1159" s="6"/>
      <c r="E1159" s="6">
        <v>46165</v>
      </c>
      <c r="F1159" s="63">
        <v>304.5</v>
      </c>
      <c r="G1159" s="64">
        <f t="shared" si="279"/>
        <v>26796</v>
      </c>
      <c r="H1159" s="64">
        <f t="shared" si="280"/>
        <v>53592</v>
      </c>
      <c r="I1159" s="70">
        <v>304834</v>
      </c>
      <c r="J1159" s="62" t="s">
        <v>1519</v>
      </c>
      <c r="K1159" s="8" t="s">
        <v>2332</v>
      </c>
      <c r="L1159" s="10">
        <v>46710</v>
      </c>
      <c r="M1159" s="62">
        <v>2</v>
      </c>
      <c r="N1159" s="8">
        <v>2</v>
      </c>
      <c r="O1159" s="62">
        <f t="shared" si="285"/>
        <v>0</v>
      </c>
      <c r="P1159" s="70" t="s">
        <v>2879</v>
      </c>
      <c r="Q1159" s="71">
        <v>46167</v>
      </c>
      <c r="R1159" s="6">
        <v>46167</v>
      </c>
      <c r="S1159" s="64">
        <v>113274</v>
      </c>
      <c r="T1159" s="22">
        <v>5</v>
      </c>
      <c r="U1159" s="64">
        <f t="shared" si="281"/>
        <v>5663.7000000000007</v>
      </c>
      <c r="V1159" s="22">
        <v>0.44</v>
      </c>
      <c r="W1159" s="22">
        <v>412767</v>
      </c>
      <c r="X1159" s="62" t="s">
        <v>94</v>
      </c>
      <c r="Y1159" s="62" t="s">
        <v>1120</v>
      </c>
      <c r="Z1159" s="62" t="s">
        <v>1863</v>
      </c>
      <c r="AA1159" s="65">
        <v>4</v>
      </c>
      <c r="AB1159" s="66"/>
      <c r="AC1159" s="1" t="s">
        <v>1842</v>
      </c>
      <c r="AD1159" s="62" t="str">
        <f>VLOOKUP(X1159,'Customer List'!B:C,2,)</f>
        <v>Delhi</v>
      </c>
      <c r="AE1159" s="67"/>
      <c r="AF1159" s="6"/>
      <c r="AG1159" s="62" t="str">
        <f t="shared" si="282"/>
        <v/>
      </c>
      <c r="AH1159" s="62" t="str">
        <f t="shared" si="283"/>
        <v>Saturday</v>
      </c>
      <c r="AI1159" s="62" t="str">
        <f t="shared" si="284"/>
        <v/>
      </c>
      <c r="AJ1159" s="62" t="str">
        <f>VLOOKUP(AC1159,'Currency Sheet'!A:C,3,)</f>
        <v>DOLLAR</v>
      </c>
      <c r="AK1159" s="62" t="str">
        <f>VLOOKUP(X1159,'Customer List'!B:D,3,)</f>
        <v>Local</v>
      </c>
    </row>
    <row r="1160" spans="1:37" hidden="1" x14ac:dyDescent="0.25">
      <c r="A1160" s="62">
        <f t="shared" si="286"/>
        <v>1144</v>
      </c>
      <c r="B1160" s="62" t="s">
        <v>824</v>
      </c>
      <c r="C1160" s="62" t="s">
        <v>2877</v>
      </c>
      <c r="D1160" s="6"/>
      <c r="E1160" s="6">
        <v>46165</v>
      </c>
      <c r="F1160" s="63">
        <v>250.6</v>
      </c>
      <c r="G1160" s="64">
        <f t="shared" si="279"/>
        <v>22052.799999999999</v>
      </c>
      <c r="H1160" s="64">
        <f t="shared" si="280"/>
        <v>44105.599999999999</v>
      </c>
      <c r="I1160" s="70">
        <v>351336</v>
      </c>
      <c r="J1160" s="62" t="s">
        <v>1006</v>
      </c>
      <c r="K1160" s="8" t="s">
        <v>2732</v>
      </c>
      <c r="L1160" s="10">
        <v>46670</v>
      </c>
      <c r="M1160" s="62">
        <v>2</v>
      </c>
      <c r="N1160" s="8">
        <v>2</v>
      </c>
      <c r="O1160" s="62">
        <f t="shared" si="285"/>
        <v>0</v>
      </c>
      <c r="P1160" s="70" t="s">
        <v>2879</v>
      </c>
      <c r="Q1160" s="71">
        <v>46167</v>
      </c>
      <c r="R1160" s="6">
        <v>46167</v>
      </c>
      <c r="S1160" s="64">
        <v>99882</v>
      </c>
      <c r="T1160" s="22">
        <v>5</v>
      </c>
      <c r="U1160" s="64">
        <f t="shared" si="281"/>
        <v>4994.1000000000004</v>
      </c>
      <c r="V1160" s="22">
        <v>0</v>
      </c>
      <c r="W1160" s="22">
        <v>412767</v>
      </c>
      <c r="X1160" s="62" t="s">
        <v>94</v>
      </c>
      <c r="Y1160" s="62" t="s">
        <v>1120</v>
      </c>
      <c r="Z1160" s="62" t="s">
        <v>1863</v>
      </c>
      <c r="AA1160" s="65">
        <v>4</v>
      </c>
      <c r="AB1160" s="66"/>
      <c r="AC1160" s="1" t="s">
        <v>1842</v>
      </c>
      <c r="AD1160" s="62" t="str">
        <f>VLOOKUP(X1160,'Customer List'!B:C,2,)</f>
        <v>Delhi</v>
      </c>
      <c r="AE1160" s="67"/>
      <c r="AF1160" s="6"/>
      <c r="AG1160" s="62" t="str">
        <f t="shared" si="282"/>
        <v/>
      </c>
      <c r="AH1160" s="62" t="str">
        <f t="shared" si="283"/>
        <v>Friday</v>
      </c>
      <c r="AI1160" s="62" t="str">
        <f t="shared" si="284"/>
        <v/>
      </c>
      <c r="AJ1160" s="62" t="str">
        <f>VLOOKUP(AC1160,'Currency Sheet'!A:C,3,)</f>
        <v>DOLLAR</v>
      </c>
      <c r="AK1160" s="62" t="str">
        <f>VLOOKUP(X1160,'Customer List'!B:D,3,)</f>
        <v>Local</v>
      </c>
    </row>
    <row r="1161" spans="1:37" hidden="1" x14ac:dyDescent="0.25">
      <c r="A1161" s="62">
        <f t="shared" si="286"/>
        <v>1145</v>
      </c>
      <c r="B1161" s="62" t="s">
        <v>824</v>
      </c>
      <c r="C1161" s="62" t="s">
        <v>2877</v>
      </c>
      <c r="D1161" s="6"/>
      <c r="E1161" s="6">
        <v>46165</v>
      </c>
      <c r="F1161" s="63">
        <v>275.10000000000002</v>
      </c>
      <c r="G1161" s="64">
        <f t="shared" si="279"/>
        <v>24208.800000000003</v>
      </c>
      <c r="H1161" s="64">
        <f t="shared" si="280"/>
        <v>48417.600000000006</v>
      </c>
      <c r="I1161" s="70">
        <v>302864</v>
      </c>
      <c r="J1161" s="62" t="s">
        <v>766</v>
      </c>
      <c r="K1161" s="8" t="s">
        <v>2733</v>
      </c>
      <c r="L1161" s="10">
        <v>47525</v>
      </c>
      <c r="M1161" s="62">
        <v>2</v>
      </c>
      <c r="N1161" s="8">
        <v>2</v>
      </c>
      <c r="O1161" s="62">
        <f t="shared" si="285"/>
        <v>0</v>
      </c>
      <c r="P1161" s="70" t="s">
        <v>2879</v>
      </c>
      <c r="Q1161" s="71">
        <v>46167</v>
      </c>
      <c r="R1161" s="6">
        <v>46167</v>
      </c>
      <c r="S1161" s="64">
        <v>109647</v>
      </c>
      <c r="T1161" s="22">
        <v>5</v>
      </c>
      <c r="U1161" s="64">
        <f t="shared" si="281"/>
        <v>5482.35</v>
      </c>
      <c r="V1161" s="22">
        <v>0</v>
      </c>
      <c r="W1161" s="22">
        <v>412767</v>
      </c>
      <c r="X1161" s="62" t="s">
        <v>94</v>
      </c>
      <c r="Y1161" s="62" t="s">
        <v>1120</v>
      </c>
      <c r="Z1161" s="62" t="s">
        <v>1863</v>
      </c>
      <c r="AA1161" s="65">
        <v>4</v>
      </c>
      <c r="AB1161" s="66"/>
      <c r="AC1161" s="1" t="s">
        <v>1842</v>
      </c>
      <c r="AD1161" s="62" t="str">
        <f>VLOOKUP(X1161,'Customer List'!B:C,2,)</f>
        <v>Delhi</v>
      </c>
      <c r="AE1161" s="67"/>
      <c r="AF1161" s="6"/>
      <c r="AG1161" s="62" t="str">
        <f t="shared" si="282"/>
        <v/>
      </c>
      <c r="AH1161" s="62" t="str">
        <f t="shared" si="283"/>
        <v>Friday</v>
      </c>
      <c r="AI1161" s="62" t="str">
        <f t="shared" si="284"/>
        <v/>
      </c>
      <c r="AJ1161" s="62" t="str">
        <f>VLOOKUP(AC1161,'Currency Sheet'!A:C,3,)</f>
        <v>DOLLAR</v>
      </c>
      <c r="AK1161" s="62" t="str">
        <f>VLOOKUP(X1161,'Customer List'!B:D,3,)</f>
        <v>Local</v>
      </c>
    </row>
    <row r="1162" spans="1:37" hidden="1" x14ac:dyDescent="0.25">
      <c r="A1162" s="62">
        <f t="shared" si="286"/>
        <v>1146</v>
      </c>
      <c r="B1162" s="62" t="s">
        <v>824</v>
      </c>
      <c r="C1162" s="62" t="s">
        <v>2877</v>
      </c>
      <c r="D1162" s="6"/>
      <c r="E1162" s="6">
        <v>46165</v>
      </c>
      <c r="F1162" s="63">
        <v>176.4</v>
      </c>
      <c r="G1162" s="64">
        <f t="shared" si="279"/>
        <v>15523.2</v>
      </c>
      <c r="H1162" s="64">
        <f t="shared" si="280"/>
        <v>31046.400000000001</v>
      </c>
      <c r="I1162" s="70">
        <v>348206</v>
      </c>
      <c r="J1162" s="62" t="s">
        <v>1253</v>
      </c>
      <c r="K1162" s="8" t="s">
        <v>2734</v>
      </c>
      <c r="L1162" s="10">
        <v>47744</v>
      </c>
      <c r="M1162" s="62">
        <v>2</v>
      </c>
      <c r="N1162" s="8">
        <v>2</v>
      </c>
      <c r="O1162" s="62">
        <f t="shared" si="285"/>
        <v>0</v>
      </c>
      <c r="P1162" s="70" t="s">
        <v>2879</v>
      </c>
      <c r="Q1162" s="71">
        <v>46167</v>
      </c>
      <c r="R1162" s="6">
        <v>46167</v>
      </c>
      <c r="S1162" s="64">
        <v>70308</v>
      </c>
      <c r="T1162" s="22">
        <v>5</v>
      </c>
      <c r="U1162" s="64">
        <f t="shared" si="281"/>
        <v>3515.4</v>
      </c>
      <c r="V1162" s="22">
        <v>0</v>
      </c>
      <c r="W1162" s="22">
        <v>412767</v>
      </c>
      <c r="X1162" s="62" t="s">
        <v>94</v>
      </c>
      <c r="Y1162" s="62" t="s">
        <v>1120</v>
      </c>
      <c r="Z1162" s="62" t="s">
        <v>1863</v>
      </c>
      <c r="AA1162" s="65">
        <v>4</v>
      </c>
      <c r="AB1162" s="66"/>
      <c r="AC1162" s="1" t="s">
        <v>1842</v>
      </c>
      <c r="AD1162" s="62" t="str">
        <f>VLOOKUP(X1162,'Customer List'!B:C,2,)</f>
        <v>Delhi</v>
      </c>
      <c r="AE1162" s="67"/>
      <c r="AF1162" s="6"/>
      <c r="AG1162" s="62" t="str">
        <f t="shared" si="282"/>
        <v/>
      </c>
      <c r="AH1162" s="62" t="str">
        <f t="shared" si="283"/>
        <v>Saturday</v>
      </c>
      <c r="AI1162" s="62" t="str">
        <f t="shared" si="284"/>
        <v/>
      </c>
      <c r="AJ1162" s="62" t="str">
        <f>VLOOKUP(AC1162,'Currency Sheet'!A:C,3,)</f>
        <v>DOLLAR</v>
      </c>
      <c r="AK1162" s="62" t="str">
        <f>VLOOKUP(X1162,'Customer List'!B:D,3,)</f>
        <v>Local</v>
      </c>
    </row>
    <row r="1163" spans="1:37" hidden="1" x14ac:dyDescent="0.25">
      <c r="A1163" s="62">
        <f t="shared" si="286"/>
        <v>1147</v>
      </c>
      <c r="B1163" s="62" t="s">
        <v>824</v>
      </c>
      <c r="C1163" s="62" t="s">
        <v>2877</v>
      </c>
      <c r="D1163" s="6"/>
      <c r="E1163" s="6">
        <v>46165</v>
      </c>
      <c r="F1163" s="63">
        <v>297</v>
      </c>
      <c r="G1163" s="64">
        <f t="shared" si="279"/>
        <v>26136</v>
      </c>
      <c r="H1163" s="64">
        <f t="shared" si="280"/>
        <v>52272</v>
      </c>
      <c r="I1163" s="70">
        <v>303530</v>
      </c>
      <c r="J1163" s="62" t="s">
        <v>767</v>
      </c>
      <c r="K1163" s="8" t="s">
        <v>2735</v>
      </c>
      <c r="L1163" s="10">
        <v>46487</v>
      </c>
      <c r="M1163" s="62">
        <v>2</v>
      </c>
      <c r="N1163" s="8">
        <v>2</v>
      </c>
      <c r="O1163" s="62">
        <f t="shared" si="285"/>
        <v>0</v>
      </c>
      <c r="P1163" s="70" t="s">
        <v>2880</v>
      </c>
      <c r="Q1163" s="71">
        <v>46167</v>
      </c>
      <c r="R1163" s="6">
        <v>46167</v>
      </c>
      <c r="S1163" s="64">
        <v>110484</v>
      </c>
      <c r="T1163" s="22">
        <v>5</v>
      </c>
      <c r="U1163" s="64">
        <f t="shared" si="281"/>
        <v>5524.2000000000007</v>
      </c>
      <c r="V1163" s="22">
        <v>-0.2</v>
      </c>
      <c r="W1163" s="22">
        <v>116008</v>
      </c>
      <c r="X1163" s="62" t="s">
        <v>94</v>
      </c>
      <c r="Y1163" s="62" t="s">
        <v>1120</v>
      </c>
      <c r="Z1163" s="62" t="s">
        <v>1863</v>
      </c>
      <c r="AA1163" s="65">
        <v>4</v>
      </c>
      <c r="AB1163" s="66"/>
      <c r="AC1163" s="1" t="s">
        <v>1842</v>
      </c>
      <c r="AD1163" s="62" t="str">
        <f>VLOOKUP(X1163,'Customer List'!B:C,2,)</f>
        <v>Delhi</v>
      </c>
      <c r="AE1163" s="67"/>
      <c r="AF1163" s="6"/>
      <c r="AG1163" s="62" t="str">
        <f t="shared" si="282"/>
        <v/>
      </c>
      <c r="AH1163" s="62" t="str">
        <f t="shared" si="283"/>
        <v>Tuesday</v>
      </c>
      <c r="AI1163" s="62" t="str">
        <f t="shared" si="284"/>
        <v/>
      </c>
      <c r="AJ1163" s="62" t="str">
        <f>VLOOKUP(AC1163,'Currency Sheet'!A:C,3,)</f>
        <v>DOLLAR</v>
      </c>
      <c r="AK1163" s="62" t="str">
        <f>VLOOKUP(X1163,'Customer List'!B:D,3,)</f>
        <v>Local</v>
      </c>
    </row>
    <row r="1164" spans="1:37" hidden="1" x14ac:dyDescent="0.25">
      <c r="A1164" s="62">
        <f t="shared" si="286"/>
        <v>1148</v>
      </c>
      <c r="B1164" s="62" t="s">
        <v>824</v>
      </c>
      <c r="C1164" s="62" t="s">
        <v>2877</v>
      </c>
      <c r="D1164" s="6"/>
      <c r="E1164" s="6">
        <v>46165</v>
      </c>
      <c r="F1164" s="63">
        <v>93.8</v>
      </c>
      <c r="G1164" s="64">
        <f t="shared" si="279"/>
        <v>8254.4</v>
      </c>
      <c r="H1164" s="64">
        <f t="shared" si="280"/>
        <v>8254.4</v>
      </c>
      <c r="I1164" s="70">
        <v>327807</v>
      </c>
      <c r="J1164" s="62" t="s">
        <v>2736</v>
      </c>
      <c r="K1164" s="8" t="s">
        <v>2737</v>
      </c>
      <c r="L1164" s="10">
        <v>47359</v>
      </c>
      <c r="M1164" s="62">
        <v>1</v>
      </c>
      <c r="N1164" s="8"/>
      <c r="O1164" s="62">
        <f t="shared" si="285"/>
        <v>1</v>
      </c>
      <c r="P1164" s="70"/>
      <c r="Q1164" s="71"/>
      <c r="R1164" s="6"/>
      <c r="S1164" s="64">
        <v>15577.5</v>
      </c>
      <c r="T1164" s="22">
        <v>5</v>
      </c>
      <c r="U1164" s="64">
        <f t="shared" si="281"/>
        <v>778.875</v>
      </c>
      <c r="V1164" s="22">
        <v>1800</v>
      </c>
      <c r="W1164" s="22">
        <v>18246</v>
      </c>
      <c r="X1164" s="62" t="s">
        <v>2867</v>
      </c>
      <c r="Y1164" s="62"/>
      <c r="Z1164" s="62"/>
      <c r="AA1164" s="65">
        <v>4</v>
      </c>
      <c r="AB1164" s="66"/>
      <c r="AC1164" s="1" t="s">
        <v>1842</v>
      </c>
      <c r="AD1164" s="62" t="str">
        <f>VLOOKUP(X1164,'Customer List'!B:C,2,)</f>
        <v>Mumbai</v>
      </c>
      <c r="AE1164" s="67"/>
      <c r="AF1164" s="6"/>
      <c r="AG1164" s="62" t="str">
        <f t="shared" si="282"/>
        <v/>
      </c>
      <c r="AH1164" s="62" t="str">
        <f t="shared" si="283"/>
        <v>Monday</v>
      </c>
      <c r="AI1164" s="62" t="str">
        <f t="shared" si="284"/>
        <v/>
      </c>
      <c r="AJ1164" s="62" t="str">
        <f>VLOOKUP(AC1164,'Currency Sheet'!A:C,3,)</f>
        <v>DOLLAR</v>
      </c>
      <c r="AK1164" s="62" t="str">
        <f>VLOOKUP(X1164,'Customer List'!B:D,3,)</f>
        <v>OutStation</v>
      </c>
    </row>
    <row r="1165" spans="1:37" hidden="1" x14ac:dyDescent="0.25">
      <c r="A1165" s="62">
        <f t="shared" si="286"/>
        <v>1149</v>
      </c>
      <c r="B1165" s="62" t="s">
        <v>824</v>
      </c>
      <c r="C1165" s="62" t="s">
        <v>2877</v>
      </c>
      <c r="D1165" s="6"/>
      <c r="E1165" s="6">
        <v>46165</v>
      </c>
      <c r="F1165" s="63">
        <v>62.3</v>
      </c>
      <c r="G1165" s="64">
        <f t="shared" si="279"/>
        <v>5482.4</v>
      </c>
      <c r="H1165" s="64">
        <f t="shared" si="280"/>
        <v>5482.4</v>
      </c>
      <c r="I1165" s="70">
        <v>423105</v>
      </c>
      <c r="J1165" s="62" t="s">
        <v>1055</v>
      </c>
      <c r="K1165" s="8" t="s">
        <v>2738</v>
      </c>
      <c r="L1165" s="10">
        <v>46811</v>
      </c>
      <c r="M1165" s="62">
        <v>1</v>
      </c>
      <c r="N1165" s="8"/>
      <c r="O1165" s="62">
        <f t="shared" si="285"/>
        <v>1</v>
      </c>
      <c r="P1165" s="70"/>
      <c r="Q1165" s="71"/>
      <c r="R1165" s="6"/>
      <c r="S1165" s="64"/>
      <c r="T1165" s="22">
        <v>5</v>
      </c>
      <c r="U1165" s="64">
        <f t="shared" si="281"/>
        <v>0</v>
      </c>
      <c r="V1165" s="22"/>
      <c r="W1165" s="22"/>
      <c r="X1165" s="62" t="s">
        <v>800</v>
      </c>
      <c r="Y1165" s="62"/>
      <c r="Z1165" s="62"/>
      <c r="AA1165" s="65">
        <v>20</v>
      </c>
      <c r="AB1165" s="66"/>
      <c r="AC1165" s="1" t="s">
        <v>1842</v>
      </c>
      <c r="AD1165" s="62" t="str">
        <f>VLOOKUP(X1165,'Customer List'!B:C,2,)</f>
        <v>Delhi</v>
      </c>
      <c r="AE1165" s="67"/>
      <c r="AF1165" s="6"/>
      <c r="AG1165" s="62" t="str">
        <f t="shared" si="282"/>
        <v/>
      </c>
      <c r="AH1165" s="62" t="str">
        <f t="shared" si="283"/>
        <v/>
      </c>
      <c r="AI1165" s="62" t="str">
        <f t="shared" si="284"/>
        <v/>
      </c>
      <c r="AJ1165" s="62" t="str">
        <f>VLOOKUP(AC1165,'Currency Sheet'!A:C,3,)</f>
        <v>DOLLAR</v>
      </c>
      <c r="AK1165" s="62" t="str">
        <f>VLOOKUP(X1165,'Customer List'!B:D,3,)</f>
        <v>Local</v>
      </c>
    </row>
    <row r="1166" spans="1:37" hidden="1" x14ac:dyDescent="0.25">
      <c r="A1166" s="62">
        <f t="shared" si="286"/>
        <v>1150</v>
      </c>
      <c r="B1166" s="62" t="s">
        <v>824</v>
      </c>
      <c r="C1166" s="62" t="s">
        <v>2877</v>
      </c>
      <c r="D1166" s="6"/>
      <c r="E1166" s="6">
        <v>46165</v>
      </c>
      <c r="F1166" s="63">
        <v>267.39999999999998</v>
      </c>
      <c r="G1166" s="64">
        <f t="shared" si="279"/>
        <v>23531.199999999997</v>
      </c>
      <c r="H1166" s="64">
        <f t="shared" si="280"/>
        <v>23531.199999999997</v>
      </c>
      <c r="I1166" s="70">
        <v>304076</v>
      </c>
      <c r="J1166" s="62" t="s">
        <v>755</v>
      </c>
      <c r="K1166" s="8" t="s">
        <v>2739</v>
      </c>
      <c r="L1166" s="10">
        <v>47012</v>
      </c>
      <c r="M1166" s="62">
        <v>1</v>
      </c>
      <c r="N1166" s="8">
        <v>1</v>
      </c>
      <c r="O1166" s="62">
        <f t="shared" si="285"/>
        <v>0</v>
      </c>
      <c r="P1166" s="70">
        <v>380</v>
      </c>
      <c r="Q1166" s="71">
        <v>46167</v>
      </c>
      <c r="R1166" s="6">
        <v>46168</v>
      </c>
      <c r="S1166" s="64">
        <v>32643.81</v>
      </c>
      <c r="T1166" s="22">
        <v>5</v>
      </c>
      <c r="U1166" s="64">
        <f t="shared" si="281"/>
        <v>1632.1905000000002</v>
      </c>
      <c r="V1166" s="22">
        <v>0</v>
      </c>
      <c r="W1166" s="22">
        <v>34276</v>
      </c>
      <c r="X1166" s="62" t="s">
        <v>2868</v>
      </c>
      <c r="Y1166" s="62">
        <v>58165995904</v>
      </c>
      <c r="Z1166" s="62"/>
      <c r="AA1166" s="65">
        <v>4</v>
      </c>
      <c r="AB1166" s="66"/>
      <c r="AC1166" s="1" t="s">
        <v>1842</v>
      </c>
      <c r="AD1166" s="62" t="str">
        <f>VLOOKUP(X1166,'Customer List'!B:C,2,)</f>
        <v>Mumbai</v>
      </c>
      <c r="AE1166" s="67"/>
      <c r="AF1166" s="6"/>
      <c r="AG1166" s="62" t="str">
        <f t="shared" si="282"/>
        <v/>
      </c>
      <c r="AH1166" s="62" t="str">
        <f t="shared" si="283"/>
        <v>Monday</v>
      </c>
      <c r="AI1166" s="62" t="str">
        <f t="shared" si="284"/>
        <v/>
      </c>
      <c r="AJ1166" s="62" t="str">
        <f>VLOOKUP(AC1166,'Currency Sheet'!A:C,3,)</f>
        <v>DOLLAR</v>
      </c>
      <c r="AK1166" s="62" t="str">
        <f>VLOOKUP(X1166,'Customer List'!B:D,3,)</f>
        <v>OutStation</v>
      </c>
    </row>
    <row r="1167" spans="1:37" hidden="1" x14ac:dyDescent="0.25">
      <c r="A1167" s="62">
        <f t="shared" si="286"/>
        <v>1151</v>
      </c>
      <c r="B1167" s="62" t="s">
        <v>824</v>
      </c>
      <c r="C1167" s="62" t="s">
        <v>2877</v>
      </c>
      <c r="D1167" s="6"/>
      <c r="E1167" s="6">
        <v>46165</v>
      </c>
      <c r="F1167" s="63">
        <v>289.5</v>
      </c>
      <c r="G1167" s="64">
        <f t="shared" si="279"/>
        <v>25476</v>
      </c>
      <c r="H1167" s="64">
        <f t="shared" si="280"/>
        <v>25476</v>
      </c>
      <c r="I1167" s="70">
        <v>321126</v>
      </c>
      <c r="J1167" s="62" t="s">
        <v>1530</v>
      </c>
      <c r="K1167" s="8" t="s">
        <v>2740</v>
      </c>
      <c r="L1167" s="10">
        <v>46991</v>
      </c>
      <c r="M1167" s="62">
        <v>1</v>
      </c>
      <c r="N1167" s="8">
        <v>1</v>
      </c>
      <c r="O1167" s="62">
        <f t="shared" si="285"/>
        <v>0</v>
      </c>
      <c r="P1167" s="70">
        <v>381</v>
      </c>
      <c r="Q1167" s="71">
        <v>46167</v>
      </c>
      <c r="R1167" s="6">
        <v>46168</v>
      </c>
      <c r="S1167" s="64">
        <v>33003</v>
      </c>
      <c r="T1167" s="22">
        <v>5</v>
      </c>
      <c r="U1167" s="64">
        <f t="shared" si="281"/>
        <v>1650.15</v>
      </c>
      <c r="V1167" s="22">
        <v>-0.15</v>
      </c>
      <c r="W1167" s="22">
        <v>34653</v>
      </c>
      <c r="X1167" s="62" t="s">
        <v>2868</v>
      </c>
      <c r="Y1167" s="62">
        <v>58165995904</v>
      </c>
      <c r="Z1167" s="62"/>
      <c r="AA1167" s="65">
        <v>4</v>
      </c>
      <c r="AB1167" s="66"/>
      <c r="AC1167" s="1" t="s">
        <v>1842</v>
      </c>
      <c r="AD1167" s="62" t="str">
        <f>VLOOKUP(X1167,'Customer List'!B:C,2,)</f>
        <v>Mumbai</v>
      </c>
      <c r="AE1167" s="67"/>
      <c r="AF1167" s="6"/>
      <c r="AG1167" s="62" t="str">
        <f t="shared" si="282"/>
        <v/>
      </c>
      <c r="AH1167" s="62" t="str">
        <f t="shared" si="283"/>
        <v>Thursday</v>
      </c>
      <c r="AI1167" s="62" t="str">
        <f t="shared" si="284"/>
        <v/>
      </c>
      <c r="AJ1167" s="62" t="str">
        <f>VLOOKUP(AC1167,'Currency Sheet'!A:C,3,)</f>
        <v>DOLLAR</v>
      </c>
      <c r="AK1167" s="62" t="str">
        <f>VLOOKUP(X1167,'Customer List'!B:D,3,)</f>
        <v>OutStation</v>
      </c>
    </row>
    <row r="1168" spans="1:37" hidden="1" x14ac:dyDescent="0.25">
      <c r="A1168" s="62">
        <f t="shared" si="286"/>
        <v>1152</v>
      </c>
      <c r="B1168" s="62" t="s">
        <v>824</v>
      </c>
      <c r="C1168" s="62" t="s">
        <v>2877</v>
      </c>
      <c r="D1168" s="6"/>
      <c r="E1168" s="6">
        <v>46165</v>
      </c>
      <c r="F1168" s="63">
        <v>212.1</v>
      </c>
      <c r="G1168" s="64">
        <f t="shared" ref="G1168:G1231" si="287">IF(AJ1168="DOLLAR",F1168*88,F1168)</f>
        <v>18664.8</v>
      </c>
      <c r="H1168" s="64">
        <f t="shared" ref="H1168:H1231" si="288">G1168*M1168</f>
        <v>18664.8</v>
      </c>
      <c r="I1168" s="70">
        <v>127624</v>
      </c>
      <c r="J1168" s="62" t="s">
        <v>1206</v>
      </c>
      <c r="K1168" s="8" t="s">
        <v>2741</v>
      </c>
      <c r="L1168" s="10">
        <v>47523</v>
      </c>
      <c r="M1168" s="62">
        <v>1</v>
      </c>
      <c r="N1168" s="8"/>
      <c r="O1168" s="62">
        <f t="shared" si="285"/>
        <v>1</v>
      </c>
      <c r="P1168" s="70"/>
      <c r="Q1168" s="71"/>
      <c r="R1168" s="6"/>
      <c r="S1168" s="64">
        <v>27997.200000000001</v>
      </c>
      <c r="T1168" s="22">
        <v>5</v>
      </c>
      <c r="U1168" s="64">
        <f t="shared" ref="U1168:U1231" si="289">S1168*T1168%</f>
        <v>1399.8600000000001</v>
      </c>
      <c r="V1168" s="22">
        <v>0.24</v>
      </c>
      <c r="W1168" s="22">
        <v>163770</v>
      </c>
      <c r="X1168" s="62" t="s">
        <v>2869</v>
      </c>
      <c r="Y1168" s="62"/>
      <c r="Z1168" s="62"/>
      <c r="AA1168" s="65">
        <v>4</v>
      </c>
      <c r="AB1168" s="66"/>
      <c r="AC1168" s="1" t="s">
        <v>1842</v>
      </c>
      <c r="AD1168" s="62" t="str">
        <f>VLOOKUP(X1168,'Customer List'!B:C,2,)</f>
        <v>Hyderabad</v>
      </c>
      <c r="AE1168" s="67"/>
      <c r="AF1168" s="6"/>
      <c r="AG1168" s="62" t="str">
        <f t="shared" ref="AG1168:AG1231" si="290">IF(AF1168="", "", AF1168-R1168)</f>
        <v/>
      </c>
      <c r="AH1168" s="62" t="str">
        <f t="shared" ref="AH1168:AH1231" si="291">IF(S1168="", "", TEXT(S1168, "dddd"))</f>
        <v>Wednesday</v>
      </c>
      <c r="AI1168" s="62" t="str">
        <f t="shared" ref="AI1168:AI1231" si="292">IF(AF1168="", "", TEXT(AF1168, "dddd"))</f>
        <v/>
      </c>
      <c r="AJ1168" s="62" t="str">
        <f>VLOOKUP(AC1168,'Currency Sheet'!A:C,3,)</f>
        <v>DOLLAR</v>
      </c>
      <c r="AK1168" s="62" t="str">
        <f>VLOOKUP(X1168,'Customer List'!B:D,3,)</f>
        <v>OutStation</v>
      </c>
    </row>
    <row r="1169" spans="1:37" hidden="1" x14ac:dyDescent="0.25">
      <c r="A1169" s="62">
        <f t="shared" si="286"/>
        <v>1153</v>
      </c>
      <c r="B1169" s="62" t="s">
        <v>824</v>
      </c>
      <c r="C1169" s="62" t="s">
        <v>2877</v>
      </c>
      <c r="D1169" s="6"/>
      <c r="E1169" s="6">
        <v>46165</v>
      </c>
      <c r="F1169" s="63">
        <v>222.75</v>
      </c>
      <c r="G1169" s="64">
        <f t="shared" si="287"/>
        <v>19602</v>
      </c>
      <c r="H1169" s="64">
        <f t="shared" si="288"/>
        <v>19602</v>
      </c>
      <c r="I1169" s="70">
        <v>117353</v>
      </c>
      <c r="J1169" s="62" t="s">
        <v>1480</v>
      </c>
      <c r="K1169" s="8" t="s">
        <v>2742</v>
      </c>
      <c r="L1169" s="10">
        <v>47007</v>
      </c>
      <c r="M1169" s="62">
        <v>1</v>
      </c>
      <c r="N1169" s="8"/>
      <c r="O1169" s="62">
        <f t="shared" si="285"/>
        <v>1</v>
      </c>
      <c r="P1169" s="70"/>
      <c r="Q1169" s="71"/>
      <c r="R1169" s="6"/>
      <c r="S1169" s="64">
        <v>27442.799999999999</v>
      </c>
      <c r="T1169" s="22">
        <v>5</v>
      </c>
      <c r="U1169" s="64">
        <f t="shared" si="289"/>
        <v>1372.14</v>
      </c>
      <c r="V1169" s="22">
        <v>0</v>
      </c>
      <c r="W1169" s="22">
        <v>163770</v>
      </c>
      <c r="X1169" s="62" t="s">
        <v>2869</v>
      </c>
      <c r="Y1169" s="62"/>
      <c r="Z1169" s="62"/>
      <c r="AA1169" s="65">
        <v>4</v>
      </c>
      <c r="AB1169" s="66"/>
      <c r="AC1169" s="1" t="s">
        <v>1842</v>
      </c>
      <c r="AD1169" s="62" t="str">
        <f>VLOOKUP(X1169,'Customer List'!B:C,2,)</f>
        <v>Hyderabad</v>
      </c>
      <c r="AE1169" s="67"/>
      <c r="AF1169" s="6"/>
      <c r="AG1169" s="62" t="str">
        <f t="shared" si="290"/>
        <v/>
      </c>
      <c r="AH1169" s="62" t="str">
        <f t="shared" si="291"/>
        <v>Monday</v>
      </c>
      <c r="AI1169" s="62" t="str">
        <f t="shared" si="292"/>
        <v/>
      </c>
      <c r="AJ1169" s="62" t="str">
        <f>VLOOKUP(AC1169,'Currency Sheet'!A:C,3,)</f>
        <v>DOLLAR</v>
      </c>
      <c r="AK1169" s="62" t="str">
        <f>VLOOKUP(X1169,'Customer List'!B:D,3,)</f>
        <v>OutStation</v>
      </c>
    </row>
    <row r="1170" spans="1:37" hidden="1" x14ac:dyDescent="0.25">
      <c r="A1170" s="62">
        <f t="shared" si="286"/>
        <v>1154</v>
      </c>
      <c r="B1170" s="62" t="s">
        <v>824</v>
      </c>
      <c r="C1170" s="62" t="s">
        <v>2877</v>
      </c>
      <c r="D1170" s="6"/>
      <c r="E1170" s="6">
        <v>46165</v>
      </c>
      <c r="F1170" s="63">
        <v>227.25</v>
      </c>
      <c r="G1170" s="64">
        <f t="shared" si="287"/>
        <v>19998</v>
      </c>
      <c r="H1170" s="64">
        <f t="shared" si="288"/>
        <v>19998</v>
      </c>
      <c r="I1170" s="70">
        <v>141723</v>
      </c>
      <c r="J1170" s="62" t="s">
        <v>1495</v>
      </c>
      <c r="K1170" s="8" t="s">
        <v>2743</v>
      </c>
      <c r="L1170" s="10">
        <v>46934</v>
      </c>
      <c r="M1170" s="62">
        <v>1</v>
      </c>
      <c r="N1170" s="8"/>
      <c r="O1170" s="62">
        <f t="shared" si="285"/>
        <v>1</v>
      </c>
      <c r="P1170" s="70"/>
      <c r="Q1170" s="71"/>
      <c r="R1170" s="6"/>
      <c r="S1170" s="64">
        <v>27997.200000000001</v>
      </c>
      <c r="T1170" s="22">
        <v>5</v>
      </c>
      <c r="U1170" s="64">
        <f t="shared" si="289"/>
        <v>1399.8600000000001</v>
      </c>
      <c r="V1170" s="22">
        <v>0</v>
      </c>
      <c r="W1170" s="22">
        <v>163770</v>
      </c>
      <c r="X1170" s="62" t="s">
        <v>2869</v>
      </c>
      <c r="Y1170" s="62"/>
      <c r="Z1170" s="62"/>
      <c r="AA1170" s="65">
        <v>4</v>
      </c>
      <c r="AB1170" s="66"/>
      <c r="AC1170" s="1" t="s">
        <v>1842</v>
      </c>
      <c r="AD1170" s="62" t="str">
        <f>VLOOKUP(X1170,'Customer List'!B:C,2,)</f>
        <v>Hyderabad</v>
      </c>
      <c r="AE1170" s="67"/>
      <c r="AF1170" s="6"/>
      <c r="AG1170" s="62" t="str">
        <f t="shared" si="290"/>
        <v/>
      </c>
      <c r="AH1170" s="62" t="str">
        <f t="shared" si="291"/>
        <v>Wednesday</v>
      </c>
      <c r="AI1170" s="62" t="str">
        <f t="shared" si="292"/>
        <v/>
      </c>
      <c r="AJ1170" s="62" t="str">
        <f>VLOOKUP(AC1170,'Currency Sheet'!A:C,3,)</f>
        <v>DOLLAR</v>
      </c>
      <c r="AK1170" s="62" t="str">
        <f>VLOOKUP(X1170,'Customer List'!B:D,3,)</f>
        <v>OutStation</v>
      </c>
    </row>
    <row r="1171" spans="1:37" hidden="1" x14ac:dyDescent="0.25">
      <c r="A1171" s="62">
        <f t="shared" si="286"/>
        <v>1155</v>
      </c>
      <c r="B1171" s="62" t="s">
        <v>824</v>
      </c>
      <c r="C1171" s="62" t="s">
        <v>2877</v>
      </c>
      <c r="D1171" s="6"/>
      <c r="E1171" s="6">
        <v>46165</v>
      </c>
      <c r="F1171" s="63">
        <v>219</v>
      </c>
      <c r="G1171" s="64">
        <f t="shared" si="287"/>
        <v>19272</v>
      </c>
      <c r="H1171" s="64">
        <f t="shared" si="288"/>
        <v>19272</v>
      </c>
      <c r="I1171" s="70">
        <v>155327</v>
      </c>
      <c r="J1171" s="62" t="s">
        <v>1505</v>
      </c>
      <c r="K1171" s="8" t="s">
        <v>2744</v>
      </c>
      <c r="L1171" s="10">
        <v>46957</v>
      </c>
      <c r="M1171" s="62">
        <v>1</v>
      </c>
      <c r="N1171" s="8"/>
      <c r="O1171" s="62">
        <f t="shared" si="285"/>
        <v>1</v>
      </c>
      <c r="P1171" s="70"/>
      <c r="Q1171" s="71"/>
      <c r="R1171" s="6"/>
      <c r="S1171" s="64">
        <v>26980.799999999999</v>
      </c>
      <c r="T1171" s="22">
        <v>5</v>
      </c>
      <c r="U1171" s="64">
        <f t="shared" si="289"/>
        <v>1349.04</v>
      </c>
      <c r="V1171" s="22">
        <v>0</v>
      </c>
      <c r="W1171" s="22">
        <v>163770</v>
      </c>
      <c r="X1171" s="62" t="s">
        <v>2869</v>
      </c>
      <c r="Y1171" s="62"/>
      <c r="Z1171" s="62"/>
      <c r="AA1171" s="65">
        <v>4</v>
      </c>
      <c r="AB1171" s="66"/>
      <c r="AC1171" s="1" t="s">
        <v>1842</v>
      </c>
      <c r="AD1171" s="62" t="str">
        <f>VLOOKUP(X1171,'Customer List'!B:C,2,)</f>
        <v>Hyderabad</v>
      </c>
      <c r="AE1171" s="67"/>
      <c r="AF1171" s="6"/>
      <c r="AG1171" s="62" t="str">
        <f t="shared" si="290"/>
        <v/>
      </c>
      <c r="AH1171" s="62" t="str">
        <f t="shared" si="291"/>
        <v>Monday</v>
      </c>
      <c r="AI1171" s="62" t="str">
        <f t="shared" si="292"/>
        <v/>
      </c>
      <c r="AJ1171" s="62" t="str">
        <f>VLOOKUP(AC1171,'Currency Sheet'!A:C,3,)</f>
        <v>DOLLAR</v>
      </c>
      <c r="AK1171" s="62" t="str">
        <f>VLOOKUP(X1171,'Customer List'!B:D,3,)</f>
        <v>OutStation</v>
      </c>
    </row>
    <row r="1172" spans="1:37" hidden="1" x14ac:dyDescent="0.25">
      <c r="A1172" s="62">
        <f t="shared" si="286"/>
        <v>1156</v>
      </c>
      <c r="B1172" s="62" t="s">
        <v>824</v>
      </c>
      <c r="C1172" s="62" t="s">
        <v>2877</v>
      </c>
      <c r="D1172" s="6"/>
      <c r="E1172" s="6">
        <v>46165</v>
      </c>
      <c r="F1172" s="63">
        <v>184.8</v>
      </c>
      <c r="G1172" s="64">
        <f t="shared" si="287"/>
        <v>16262.400000000001</v>
      </c>
      <c r="H1172" s="64">
        <f t="shared" si="288"/>
        <v>16262.400000000001</v>
      </c>
      <c r="I1172" s="70">
        <v>104714</v>
      </c>
      <c r="J1172" s="62" t="s">
        <v>2745</v>
      </c>
      <c r="K1172" s="8" t="s">
        <v>2746</v>
      </c>
      <c r="L1172" s="10">
        <v>47688</v>
      </c>
      <c r="M1172" s="62">
        <v>1</v>
      </c>
      <c r="N1172" s="8"/>
      <c r="O1172" s="62">
        <f t="shared" si="285"/>
        <v>1</v>
      </c>
      <c r="P1172" s="70"/>
      <c r="Q1172" s="71"/>
      <c r="R1172" s="6"/>
      <c r="S1172" s="64">
        <v>24393.599999999999</v>
      </c>
      <c r="T1172" s="22">
        <v>5</v>
      </c>
      <c r="U1172" s="64">
        <f t="shared" si="289"/>
        <v>1219.68</v>
      </c>
      <c r="V1172" s="22">
        <v>0</v>
      </c>
      <c r="W1172" s="22">
        <v>163770</v>
      </c>
      <c r="X1172" s="62" t="s">
        <v>2869</v>
      </c>
      <c r="Y1172" s="62"/>
      <c r="Z1172" s="62"/>
      <c r="AA1172" s="65">
        <v>4</v>
      </c>
      <c r="AB1172" s="66"/>
      <c r="AC1172" s="1" t="s">
        <v>1842</v>
      </c>
      <c r="AD1172" s="62" t="str">
        <f>VLOOKUP(X1172,'Customer List'!B:C,2,)</f>
        <v>Hyderabad</v>
      </c>
      <c r="AE1172" s="67"/>
      <c r="AF1172" s="6"/>
      <c r="AG1172" s="62" t="str">
        <f t="shared" si="290"/>
        <v/>
      </c>
      <c r="AH1172" s="62" t="str">
        <f t="shared" si="291"/>
        <v>Thursday</v>
      </c>
      <c r="AI1172" s="62" t="str">
        <f t="shared" si="292"/>
        <v/>
      </c>
      <c r="AJ1172" s="62" t="str">
        <f>VLOOKUP(AC1172,'Currency Sheet'!A:C,3,)</f>
        <v>DOLLAR</v>
      </c>
      <c r="AK1172" s="62" t="str">
        <f>VLOOKUP(X1172,'Customer List'!B:D,3,)</f>
        <v>OutStation</v>
      </c>
    </row>
    <row r="1173" spans="1:37" hidden="1" x14ac:dyDescent="0.25">
      <c r="A1173" s="62">
        <f t="shared" si="286"/>
        <v>1157</v>
      </c>
      <c r="B1173" s="62" t="s">
        <v>824</v>
      </c>
      <c r="C1173" s="62" t="s">
        <v>2877</v>
      </c>
      <c r="D1173" s="6"/>
      <c r="E1173" s="6">
        <v>46165</v>
      </c>
      <c r="F1173" s="63">
        <v>160.30000000000001</v>
      </c>
      <c r="G1173" s="64">
        <f t="shared" si="287"/>
        <v>14106.400000000001</v>
      </c>
      <c r="H1173" s="64">
        <f t="shared" si="288"/>
        <v>14106.400000000001</v>
      </c>
      <c r="I1173" s="70">
        <v>105024</v>
      </c>
      <c r="J1173" s="62" t="s">
        <v>2747</v>
      </c>
      <c r="K1173" s="8" t="s">
        <v>2748</v>
      </c>
      <c r="L1173" s="10">
        <v>47169</v>
      </c>
      <c r="M1173" s="62">
        <v>1</v>
      </c>
      <c r="N1173" s="8"/>
      <c r="O1173" s="62">
        <f t="shared" si="285"/>
        <v>1</v>
      </c>
      <c r="P1173" s="70"/>
      <c r="Q1173" s="71"/>
      <c r="R1173" s="6"/>
      <c r="S1173" s="64">
        <v>21159.599999999999</v>
      </c>
      <c r="T1173" s="22">
        <v>5</v>
      </c>
      <c r="U1173" s="64">
        <f t="shared" si="289"/>
        <v>1057.98</v>
      </c>
      <c r="V1173" s="22">
        <v>0</v>
      </c>
      <c r="W1173" s="22">
        <v>163770</v>
      </c>
      <c r="X1173" s="62" t="s">
        <v>2869</v>
      </c>
      <c r="Y1173" s="62"/>
      <c r="Z1173" s="62"/>
      <c r="AA1173" s="65">
        <v>4</v>
      </c>
      <c r="AB1173" s="66"/>
      <c r="AC1173" s="1" t="s">
        <v>1842</v>
      </c>
      <c r="AD1173" s="62" t="str">
        <f>VLOOKUP(X1173,'Customer List'!B:C,2,)</f>
        <v>Hyderabad</v>
      </c>
      <c r="AE1173" s="67"/>
      <c r="AF1173" s="6"/>
      <c r="AG1173" s="62" t="str">
        <f t="shared" si="290"/>
        <v/>
      </c>
      <c r="AH1173" s="62" t="str">
        <f t="shared" si="291"/>
        <v>Thursday</v>
      </c>
      <c r="AI1173" s="62" t="str">
        <f t="shared" si="292"/>
        <v/>
      </c>
      <c r="AJ1173" s="62" t="str">
        <f>VLOOKUP(AC1173,'Currency Sheet'!A:C,3,)</f>
        <v>DOLLAR</v>
      </c>
      <c r="AK1173" s="62" t="str">
        <f>VLOOKUP(X1173,'Customer List'!B:D,3,)</f>
        <v>OutStation</v>
      </c>
    </row>
    <row r="1174" spans="1:37" hidden="1" x14ac:dyDescent="0.25">
      <c r="A1174" s="62">
        <f t="shared" si="286"/>
        <v>1158</v>
      </c>
      <c r="B1174" s="62" t="s">
        <v>824</v>
      </c>
      <c r="C1174" s="62" t="s">
        <v>2877</v>
      </c>
      <c r="D1174" s="6"/>
      <c r="E1174" s="6">
        <v>46165</v>
      </c>
      <c r="F1174" s="63">
        <v>127.5</v>
      </c>
      <c r="G1174" s="64">
        <f t="shared" si="287"/>
        <v>11220</v>
      </c>
      <c r="H1174" s="64">
        <f t="shared" si="288"/>
        <v>11220</v>
      </c>
      <c r="I1174" s="70">
        <v>317343</v>
      </c>
      <c r="J1174" s="62" t="s">
        <v>749</v>
      </c>
      <c r="K1174" s="8" t="s">
        <v>2749</v>
      </c>
      <c r="L1174" s="10">
        <v>47056</v>
      </c>
      <c r="M1174" s="62">
        <v>1</v>
      </c>
      <c r="N1174" s="8"/>
      <c r="O1174" s="62">
        <f t="shared" si="285"/>
        <v>1</v>
      </c>
      <c r="P1174" s="70"/>
      <c r="Q1174" s="71"/>
      <c r="R1174" s="6"/>
      <c r="S1174" s="64">
        <v>21080</v>
      </c>
      <c r="T1174" s="22">
        <v>5</v>
      </c>
      <c r="U1174" s="64">
        <f t="shared" si="289"/>
        <v>1054</v>
      </c>
      <c r="V1174" s="22">
        <v>0.43</v>
      </c>
      <c r="W1174" s="22">
        <v>40810</v>
      </c>
      <c r="X1174" s="62" t="s">
        <v>2870</v>
      </c>
      <c r="Y1174" s="62"/>
      <c r="Z1174" s="62"/>
      <c r="AA1174" s="65">
        <v>4</v>
      </c>
      <c r="AB1174" s="66"/>
      <c r="AC1174" s="1" t="s">
        <v>1842</v>
      </c>
      <c r="AD1174" s="62" t="str">
        <f>VLOOKUP(X1174,'Customer List'!B:C,2,)</f>
        <v>DELHI</v>
      </c>
      <c r="AE1174" s="67"/>
      <c r="AF1174" s="6"/>
      <c r="AG1174" s="62" t="str">
        <f t="shared" si="290"/>
        <v/>
      </c>
      <c r="AH1174" s="62" t="str">
        <f t="shared" si="291"/>
        <v>Tuesday</v>
      </c>
      <c r="AI1174" s="62" t="str">
        <f t="shared" si="292"/>
        <v/>
      </c>
      <c r="AJ1174" s="62" t="str">
        <f>VLOOKUP(AC1174,'Currency Sheet'!A:C,3,)</f>
        <v>DOLLAR</v>
      </c>
      <c r="AK1174" s="62" t="str">
        <f>VLOOKUP(X1174,'Customer List'!B:D,3,)</f>
        <v>Local</v>
      </c>
    </row>
    <row r="1175" spans="1:37" hidden="1" x14ac:dyDescent="0.25">
      <c r="A1175" s="62">
        <f t="shared" si="286"/>
        <v>1159</v>
      </c>
      <c r="B1175" s="62" t="s">
        <v>824</v>
      </c>
      <c r="C1175" s="62" t="s">
        <v>2877</v>
      </c>
      <c r="D1175" s="6"/>
      <c r="E1175" s="6">
        <v>46165</v>
      </c>
      <c r="F1175" s="63">
        <v>107.1</v>
      </c>
      <c r="G1175" s="64">
        <f t="shared" si="287"/>
        <v>9424.7999999999993</v>
      </c>
      <c r="H1175" s="64">
        <f t="shared" si="288"/>
        <v>9424.7999999999993</v>
      </c>
      <c r="I1175" s="70">
        <v>519503</v>
      </c>
      <c r="J1175" s="62" t="s">
        <v>2750</v>
      </c>
      <c r="K1175" s="8" t="s">
        <v>2751</v>
      </c>
      <c r="L1175" s="10">
        <v>47561</v>
      </c>
      <c r="M1175" s="62">
        <v>1</v>
      </c>
      <c r="N1175" s="8"/>
      <c r="O1175" s="62">
        <f t="shared" si="285"/>
        <v>1</v>
      </c>
      <c r="P1175" s="70"/>
      <c r="Q1175" s="71"/>
      <c r="R1175" s="6"/>
      <c r="S1175" s="64">
        <v>17786.25</v>
      </c>
      <c r="T1175" s="22">
        <v>5</v>
      </c>
      <c r="U1175" s="64">
        <f t="shared" si="289"/>
        <v>889.3125</v>
      </c>
      <c r="V1175" s="22">
        <v>0</v>
      </c>
      <c r="W1175" s="22">
        <v>40810</v>
      </c>
      <c r="X1175" s="62" t="s">
        <v>2870</v>
      </c>
      <c r="Y1175" s="62"/>
      <c r="Z1175" s="62"/>
      <c r="AA1175" s="65">
        <v>4</v>
      </c>
      <c r="AB1175" s="66"/>
      <c r="AC1175" s="1" t="s">
        <v>1842</v>
      </c>
      <c r="AD1175" s="62" t="str">
        <f>VLOOKUP(X1175,'Customer List'!B:C,2,)</f>
        <v>DELHI</v>
      </c>
      <c r="AE1175" s="67"/>
      <c r="AF1175" s="6"/>
      <c r="AG1175" s="62" t="str">
        <f t="shared" si="290"/>
        <v/>
      </c>
      <c r="AH1175" s="62" t="str">
        <f t="shared" si="291"/>
        <v>Friday</v>
      </c>
      <c r="AI1175" s="62" t="str">
        <f t="shared" si="292"/>
        <v/>
      </c>
      <c r="AJ1175" s="62" t="str">
        <f>VLOOKUP(AC1175,'Currency Sheet'!A:C,3,)</f>
        <v>DOLLAR</v>
      </c>
      <c r="AK1175" s="62" t="str">
        <f>VLOOKUP(X1175,'Customer List'!B:D,3,)</f>
        <v>Local</v>
      </c>
    </row>
    <row r="1176" spans="1:37" hidden="1" x14ac:dyDescent="0.25">
      <c r="A1176" s="62">
        <f t="shared" si="286"/>
        <v>1160</v>
      </c>
      <c r="B1176" s="62" t="s">
        <v>824</v>
      </c>
      <c r="C1176" s="62" t="s">
        <v>2877</v>
      </c>
      <c r="D1176" s="6"/>
      <c r="E1176" s="6">
        <v>46165</v>
      </c>
      <c r="F1176" s="63">
        <v>58.1</v>
      </c>
      <c r="G1176" s="64">
        <f t="shared" si="287"/>
        <v>5112.8</v>
      </c>
      <c r="H1176" s="64">
        <f t="shared" si="288"/>
        <v>5112.8</v>
      </c>
      <c r="I1176" s="70">
        <v>501101</v>
      </c>
      <c r="J1176" s="62" t="s">
        <v>1567</v>
      </c>
      <c r="K1176" s="8" t="s">
        <v>2752</v>
      </c>
      <c r="L1176" s="10">
        <v>47573</v>
      </c>
      <c r="M1176" s="62">
        <v>1</v>
      </c>
      <c r="N1176" s="8">
        <v>1</v>
      </c>
      <c r="O1176" s="62">
        <f t="shared" si="285"/>
        <v>0</v>
      </c>
      <c r="P1176" s="70">
        <v>369</v>
      </c>
      <c r="Q1176" s="71">
        <v>46167</v>
      </c>
      <c r="R1176" s="6">
        <v>46167</v>
      </c>
      <c r="S1176" s="64">
        <v>8619.25</v>
      </c>
      <c r="T1176" s="22">
        <v>5</v>
      </c>
      <c r="U1176" s="64">
        <f t="shared" si="289"/>
        <v>430.96250000000003</v>
      </c>
      <c r="V1176" s="22">
        <v>0.39</v>
      </c>
      <c r="W1176" s="22">
        <v>52886</v>
      </c>
      <c r="X1176" s="62" t="s">
        <v>90</v>
      </c>
      <c r="Y1176" s="62" t="s">
        <v>1120</v>
      </c>
      <c r="Z1176" s="62" t="s">
        <v>1863</v>
      </c>
      <c r="AA1176" s="65">
        <v>4</v>
      </c>
      <c r="AB1176" s="66"/>
      <c r="AC1176" s="1" t="s">
        <v>1842</v>
      </c>
      <c r="AD1176" s="62" t="str">
        <f>VLOOKUP(X1176,'Customer List'!B:C,2,)</f>
        <v>Delhi</v>
      </c>
      <c r="AE1176" s="67"/>
      <c r="AF1176" s="6"/>
      <c r="AG1176" s="62" t="str">
        <f t="shared" si="290"/>
        <v/>
      </c>
      <c r="AH1176" s="62" t="str">
        <f t="shared" si="291"/>
        <v>Monday</v>
      </c>
      <c r="AI1176" s="62" t="str">
        <f t="shared" si="292"/>
        <v/>
      </c>
      <c r="AJ1176" s="62" t="str">
        <f>VLOOKUP(AC1176,'Currency Sheet'!A:C,3,)</f>
        <v>DOLLAR</v>
      </c>
      <c r="AK1176" s="62" t="str">
        <f>VLOOKUP(X1176,'Customer List'!B:D,3,)</f>
        <v>Local</v>
      </c>
    </row>
    <row r="1177" spans="1:37" hidden="1" x14ac:dyDescent="0.25">
      <c r="A1177" s="62">
        <f t="shared" si="286"/>
        <v>1161</v>
      </c>
      <c r="B1177" s="62" t="s">
        <v>824</v>
      </c>
      <c r="C1177" s="62" t="s">
        <v>2877</v>
      </c>
      <c r="D1177" s="6"/>
      <c r="E1177" s="6">
        <v>46165</v>
      </c>
      <c r="F1177" s="63">
        <v>191.1</v>
      </c>
      <c r="G1177" s="64">
        <f t="shared" si="287"/>
        <v>16816.8</v>
      </c>
      <c r="H1177" s="64">
        <f t="shared" si="288"/>
        <v>16816.8</v>
      </c>
      <c r="I1177" s="70">
        <v>501202</v>
      </c>
      <c r="J1177" s="62" t="s">
        <v>1567</v>
      </c>
      <c r="K1177" s="8" t="s">
        <v>2753</v>
      </c>
      <c r="L1177" s="10">
        <v>46652</v>
      </c>
      <c r="M1177" s="62">
        <v>1</v>
      </c>
      <c r="N1177" s="8">
        <v>1</v>
      </c>
      <c r="O1177" s="62">
        <f t="shared" si="285"/>
        <v>0</v>
      </c>
      <c r="P1177" s="70">
        <v>369</v>
      </c>
      <c r="Q1177" s="71">
        <v>46167</v>
      </c>
      <c r="R1177" s="6">
        <v>46167</v>
      </c>
      <c r="S1177" s="64">
        <v>28351.05</v>
      </c>
      <c r="T1177" s="22">
        <v>5</v>
      </c>
      <c r="U1177" s="64">
        <f t="shared" si="289"/>
        <v>1417.5525</v>
      </c>
      <c r="V1177" s="22">
        <v>0</v>
      </c>
      <c r="W1177" s="22">
        <v>52886</v>
      </c>
      <c r="X1177" s="62" t="s">
        <v>90</v>
      </c>
      <c r="Y1177" s="62" t="s">
        <v>1120</v>
      </c>
      <c r="Z1177" s="62" t="s">
        <v>1863</v>
      </c>
      <c r="AA1177" s="65">
        <v>4</v>
      </c>
      <c r="AB1177" s="66"/>
      <c r="AC1177" s="1" t="s">
        <v>1842</v>
      </c>
      <c r="AD1177" s="62" t="str">
        <f>VLOOKUP(X1177,'Customer List'!B:C,2,)</f>
        <v>Delhi</v>
      </c>
      <c r="AE1177" s="67"/>
      <c r="AF1177" s="6"/>
      <c r="AG1177" s="62" t="str">
        <f t="shared" si="290"/>
        <v/>
      </c>
      <c r="AH1177" s="62" t="str">
        <f t="shared" si="291"/>
        <v>Sunday</v>
      </c>
      <c r="AI1177" s="62" t="str">
        <f t="shared" si="292"/>
        <v/>
      </c>
      <c r="AJ1177" s="62" t="str">
        <f>VLOOKUP(AC1177,'Currency Sheet'!A:C,3,)</f>
        <v>DOLLAR</v>
      </c>
      <c r="AK1177" s="62" t="str">
        <f>VLOOKUP(X1177,'Customer List'!B:D,3,)</f>
        <v>Local</v>
      </c>
    </row>
    <row r="1178" spans="1:37" hidden="1" x14ac:dyDescent="0.25">
      <c r="A1178" s="62">
        <f t="shared" si="286"/>
        <v>1162</v>
      </c>
      <c r="B1178" s="62" t="s">
        <v>824</v>
      </c>
      <c r="C1178" s="62" t="s">
        <v>2877</v>
      </c>
      <c r="D1178" s="6"/>
      <c r="E1178" s="6">
        <v>46165</v>
      </c>
      <c r="F1178" s="63">
        <v>90.3</v>
      </c>
      <c r="G1178" s="64">
        <f t="shared" si="287"/>
        <v>7946.4</v>
      </c>
      <c r="H1178" s="64">
        <f t="shared" si="288"/>
        <v>7946.4</v>
      </c>
      <c r="I1178" s="70">
        <v>405103</v>
      </c>
      <c r="J1178" s="62" t="s">
        <v>2754</v>
      </c>
      <c r="K1178" s="8" t="s">
        <v>2163</v>
      </c>
      <c r="L1178" s="10">
        <v>46634</v>
      </c>
      <c r="M1178" s="62">
        <v>1</v>
      </c>
      <c r="N1178" s="8">
        <v>1</v>
      </c>
      <c r="O1178" s="62">
        <f t="shared" si="285"/>
        <v>0</v>
      </c>
      <c r="P1178" s="70">
        <v>369</v>
      </c>
      <c r="Q1178" s="71">
        <v>46167</v>
      </c>
      <c r="R1178" s="6">
        <v>46167</v>
      </c>
      <c r="S1178" s="64">
        <v>13396.65</v>
      </c>
      <c r="T1178" s="22">
        <v>5</v>
      </c>
      <c r="U1178" s="64">
        <f t="shared" si="289"/>
        <v>669.83249999999998</v>
      </c>
      <c r="V1178" s="22">
        <v>0</v>
      </c>
      <c r="W1178" s="22">
        <v>52886</v>
      </c>
      <c r="X1178" s="62" t="s">
        <v>90</v>
      </c>
      <c r="Y1178" s="62" t="s">
        <v>1120</v>
      </c>
      <c r="Z1178" s="62" t="s">
        <v>1863</v>
      </c>
      <c r="AA1178" s="65">
        <v>4</v>
      </c>
      <c r="AB1178" s="66"/>
      <c r="AC1178" s="1" t="s">
        <v>1842</v>
      </c>
      <c r="AD1178" s="62" t="str">
        <f>VLOOKUP(X1178,'Customer List'!B:C,2,)</f>
        <v>Delhi</v>
      </c>
      <c r="AE1178" s="67"/>
      <c r="AF1178" s="6"/>
      <c r="AG1178" s="62" t="str">
        <f t="shared" si="290"/>
        <v/>
      </c>
      <c r="AH1178" s="62" t="str">
        <f t="shared" si="291"/>
        <v>Thursday</v>
      </c>
      <c r="AI1178" s="62" t="str">
        <f t="shared" si="292"/>
        <v/>
      </c>
      <c r="AJ1178" s="62" t="str">
        <f>VLOOKUP(AC1178,'Currency Sheet'!A:C,3,)</f>
        <v>DOLLAR</v>
      </c>
      <c r="AK1178" s="62" t="str">
        <f>VLOOKUP(X1178,'Customer List'!B:D,3,)</f>
        <v>Local</v>
      </c>
    </row>
    <row r="1179" spans="1:37" hidden="1" x14ac:dyDescent="0.25">
      <c r="A1179" s="62">
        <f t="shared" si="286"/>
        <v>1163</v>
      </c>
      <c r="B1179" s="62" t="s">
        <v>824</v>
      </c>
      <c r="C1179" s="62" t="s">
        <v>2877</v>
      </c>
      <c r="D1179" s="6"/>
      <c r="E1179" s="6">
        <v>46165</v>
      </c>
      <c r="F1179" s="63">
        <v>326.25</v>
      </c>
      <c r="G1179" s="64">
        <f t="shared" si="287"/>
        <v>28710</v>
      </c>
      <c r="H1179" s="64">
        <f t="shared" si="288"/>
        <v>28710</v>
      </c>
      <c r="I1179" s="70">
        <v>306740</v>
      </c>
      <c r="J1179" s="62" t="s">
        <v>768</v>
      </c>
      <c r="K1179" s="8" t="s">
        <v>2755</v>
      </c>
      <c r="L1179" s="10">
        <v>47050</v>
      </c>
      <c r="M1179" s="62">
        <v>1</v>
      </c>
      <c r="N1179" s="8"/>
      <c r="O1179" s="62">
        <f t="shared" si="285"/>
        <v>1</v>
      </c>
      <c r="P1179" s="70"/>
      <c r="Q1179" s="71"/>
      <c r="R1179" s="6"/>
      <c r="S1179" s="64">
        <v>47197.5</v>
      </c>
      <c r="T1179" s="22">
        <v>5</v>
      </c>
      <c r="U1179" s="64">
        <f t="shared" si="289"/>
        <v>2359.875</v>
      </c>
      <c r="V1179" s="22">
        <v>1800</v>
      </c>
      <c r="W1179" s="22">
        <v>51447</v>
      </c>
      <c r="X1179" s="62" t="s">
        <v>2871</v>
      </c>
      <c r="Y1179" s="62"/>
      <c r="Z1179" s="62"/>
      <c r="AA1179" s="65">
        <v>4</v>
      </c>
      <c r="AB1179" s="66"/>
      <c r="AC1179" s="1" t="s">
        <v>1842</v>
      </c>
      <c r="AD1179" s="62" t="str">
        <f>VLOOKUP(X1179,'Customer List'!B:C,2,)</f>
        <v>Mumbai</v>
      </c>
      <c r="AE1179" s="67"/>
      <c r="AF1179" s="6"/>
      <c r="AG1179" s="62" t="str">
        <f t="shared" si="290"/>
        <v/>
      </c>
      <c r="AH1179" s="62" t="str">
        <f t="shared" si="291"/>
        <v>Tuesday</v>
      </c>
      <c r="AI1179" s="62" t="str">
        <f t="shared" si="292"/>
        <v/>
      </c>
      <c r="AJ1179" s="62" t="str">
        <f>VLOOKUP(AC1179,'Currency Sheet'!A:C,3,)</f>
        <v>DOLLAR</v>
      </c>
      <c r="AK1179" s="62" t="str">
        <f>VLOOKUP(X1179,'Customer List'!B:D,3,)</f>
        <v>OutStation</v>
      </c>
    </row>
    <row r="1180" spans="1:37" hidden="1" x14ac:dyDescent="0.25">
      <c r="A1180" s="62">
        <f t="shared" si="286"/>
        <v>1164</v>
      </c>
      <c r="B1180" s="62" t="s">
        <v>824</v>
      </c>
      <c r="C1180" s="62" t="s">
        <v>2877</v>
      </c>
      <c r="D1180" s="6"/>
      <c r="E1180" s="6">
        <v>46165</v>
      </c>
      <c r="F1180" s="63">
        <v>219.8</v>
      </c>
      <c r="G1180" s="64">
        <f t="shared" si="287"/>
        <v>19342.400000000001</v>
      </c>
      <c r="H1180" s="64">
        <f t="shared" si="288"/>
        <v>19342.400000000001</v>
      </c>
      <c r="I1180" s="70">
        <v>328620</v>
      </c>
      <c r="J1180" s="62" t="s">
        <v>2703</v>
      </c>
      <c r="K1180" s="8" t="s">
        <v>2756</v>
      </c>
      <c r="L1180" s="10">
        <v>47499</v>
      </c>
      <c r="M1180" s="62">
        <v>1</v>
      </c>
      <c r="N1180" s="8">
        <v>1</v>
      </c>
      <c r="O1180" s="62">
        <f t="shared" si="285"/>
        <v>0</v>
      </c>
      <c r="P1180" s="70">
        <v>373</v>
      </c>
      <c r="Q1180" s="71">
        <v>46167</v>
      </c>
      <c r="R1180" s="6">
        <v>46168</v>
      </c>
      <c r="S1180" s="64">
        <v>32970</v>
      </c>
      <c r="T1180" s="22">
        <v>5</v>
      </c>
      <c r="U1180" s="64">
        <f t="shared" si="289"/>
        <v>1648.5</v>
      </c>
      <c r="V1180" s="22">
        <v>0.5</v>
      </c>
      <c r="W1180" s="22">
        <v>34619</v>
      </c>
      <c r="X1180" s="62" t="s">
        <v>32</v>
      </c>
      <c r="Y1180" s="62">
        <v>58165997116</v>
      </c>
      <c r="Z1180" s="62"/>
      <c r="AA1180" s="65">
        <v>4</v>
      </c>
      <c r="AB1180" s="66"/>
      <c r="AC1180" s="1" t="s">
        <v>1842</v>
      </c>
      <c r="AD1180" s="62" t="str">
        <f>VLOOKUP(X1180,'Customer List'!B:C,2,)</f>
        <v>Hyderabad</v>
      </c>
      <c r="AE1180" s="67"/>
      <c r="AF1180" s="6"/>
      <c r="AG1180" s="62" t="str">
        <f t="shared" si="290"/>
        <v/>
      </c>
      <c r="AH1180" s="62" t="str">
        <f t="shared" si="291"/>
        <v>Saturday</v>
      </c>
      <c r="AI1180" s="62" t="str">
        <f t="shared" si="292"/>
        <v/>
      </c>
      <c r="AJ1180" s="62" t="str">
        <f>VLOOKUP(AC1180,'Currency Sheet'!A:C,3,)</f>
        <v>DOLLAR</v>
      </c>
      <c r="AK1180" s="62" t="str">
        <f>VLOOKUP(X1180,'Customer List'!B:D,3,)</f>
        <v>OutStation</v>
      </c>
    </row>
    <row r="1181" spans="1:37" hidden="1" x14ac:dyDescent="0.25">
      <c r="A1181" s="62">
        <f t="shared" si="286"/>
        <v>1165</v>
      </c>
      <c r="B1181" s="62" t="s">
        <v>824</v>
      </c>
      <c r="C1181" s="62" t="s">
        <v>2877</v>
      </c>
      <c r="D1181" s="6"/>
      <c r="E1181" s="6">
        <v>46165</v>
      </c>
      <c r="F1181" s="63">
        <v>111.3</v>
      </c>
      <c r="G1181" s="64">
        <f t="shared" si="287"/>
        <v>9794.4</v>
      </c>
      <c r="H1181" s="64">
        <f t="shared" si="288"/>
        <v>9794.4</v>
      </c>
      <c r="I1181" s="70">
        <v>141719</v>
      </c>
      <c r="J1181" s="62" t="s">
        <v>1495</v>
      </c>
      <c r="K1181" s="8" t="s">
        <v>2757</v>
      </c>
      <c r="L1181" s="10">
        <v>46587</v>
      </c>
      <c r="M1181" s="62">
        <v>1</v>
      </c>
      <c r="N1181" s="8"/>
      <c r="O1181" s="62">
        <f t="shared" si="285"/>
        <v>1</v>
      </c>
      <c r="P1181" s="70"/>
      <c r="Q1181" s="71"/>
      <c r="R1181" s="6"/>
      <c r="S1181" s="64"/>
      <c r="T1181" s="22">
        <v>5</v>
      </c>
      <c r="U1181" s="64">
        <f t="shared" si="289"/>
        <v>0</v>
      </c>
      <c r="V1181" s="22"/>
      <c r="W1181" s="22"/>
      <c r="X1181" s="62" t="s">
        <v>821</v>
      </c>
      <c r="Y1181" s="62"/>
      <c r="Z1181" s="62"/>
      <c r="AA1181" s="65">
        <v>4</v>
      </c>
      <c r="AB1181" s="66"/>
      <c r="AC1181" s="1" t="s">
        <v>1842</v>
      </c>
      <c r="AD1181" s="62" t="str">
        <f>VLOOKUP(X1181,'Customer List'!B:C,2,)</f>
        <v>Delhi</v>
      </c>
      <c r="AE1181" s="67"/>
      <c r="AF1181" s="6"/>
      <c r="AG1181" s="62" t="str">
        <f t="shared" si="290"/>
        <v/>
      </c>
      <c r="AH1181" s="62" t="str">
        <f t="shared" si="291"/>
        <v/>
      </c>
      <c r="AI1181" s="62" t="str">
        <f t="shared" si="292"/>
        <v/>
      </c>
      <c r="AJ1181" s="62" t="str">
        <f>VLOOKUP(AC1181,'Currency Sheet'!A:C,3,)</f>
        <v>DOLLAR</v>
      </c>
      <c r="AK1181" s="62" t="str">
        <f>VLOOKUP(X1181,'Customer List'!B:D,3,)</f>
        <v>Local</v>
      </c>
    </row>
    <row r="1182" spans="1:37" hidden="1" x14ac:dyDescent="0.25">
      <c r="A1182" s="62">
        <f t="shared" si="286"/>
        <v>1166</v>
      </c>
      <c r="B1182" s="62" t="s">
        <v>824</v>
      </c>
      <c r="C1182" s="62" t="s">
        <v>2877</v>
      </c>
      <c r="D1182" s="6"/>
      <c r="E1182" s="6">
        <v>46165</v>
      </c>
      <c r="F1182" s="63">
        <v>193.5</v>
      </c>
      <c r="G1182" s="64">
        <f t="shared" si="287"/>
        <v>17028</v>
      </c>
      <c r="H1182" s="64">
        <f t="shared" si="288"/>
        <v>17028</v>
      </c>
      <c r="I1182" s="70">
        <v>424902</v>
      </c>
      <c r="J1182" s="62" t="s">
        <v>2758</v>
      </c>
      <c r="K1182" s="8" t="s">
        <v>2759</v>
      </c>
      <c r="L1182" s="10">
        <v>47154</v>
      </c>
      <c r="M1182" s="62">
        <v>1</v>
      </c>
      <c r="N1182" s="8"/>
      <c r="O1182" s="62">
        <f t="shared" si="285"/>
        <v>1</v>
      </c>
      <c r="P1182" s="70"/>
      <c r="Q1182" s="71"/>
      <c r="R1182" s="6"/>
      <c r="S1182" s="64"/>
      <c r="T1182" s="22">
        <v>5</v>
      </c>
      <c r="U1182" s="64">
        <f t="shared" si="289"/>
        <v>0</v>
      </c>
      <c r="V1182" s="22"/>
      <c r="W1182" s="22"/>
      <c r="X1182" s="62" t="s">
        <v>793</v>
      </c>
      <c r="Y1182" s="62"/>
      <c r="Z1182" s="62"/>
      <c r="AA1182" s="65">
        <v>4</v>
      </c>
      <c r="AB1182" s="66"/>
      <c r="AC1182" s="1" t="s">
        <v>1842</v>
      </c>
      <c r="AD1182" s="62" t="str">
        <f>VLOOKUP(X1182,'Customer List'!B:C,2,)</f>
        <v>Delhi</v>
      </c>
      <c r="AE1182" s="67"/>
      <c r="AF1182" s="6"/>
      <c r="AG1182" s="62" t="str">
        <f t="shared" si="290"/>
        <v/>
      </c>
      <c r="AH1182" s="62" t="str">
        <f t="shared" si="291"/>
        <v/>
      </c>
      <c r="AI1182" s="62" t="str">
        <f t="shared" si="292"/>
        <v/>
      </c>
      <c r="AJ1182" s="62" t="str">
        <f>VLOOKUP(AC1182,'Currency Sheet'!A:C,3,)</f>
        <v>DOLLAR</v>
      </c>
      <c r="AK1182" s="62" t="str">
        <f>VLOOKUP(X1182,'Customer List'!B:D,3,)</f>
        <v>Local</v>
      </c>
    </row>
    <row r="1183" spans="1:37" hidden="1" x14ac:dyDescent="0.25">
      <c r="A1183" s="62">
        <f t="shared" si="286"/>
        <v>1167</v>
      </c>
      <c r="B1183" s="62" t="s">
        <v>824</v>
      </c>
      <c r="C1183" s="62" t="s">
        <v>2877</v>
      </c>
      <c r="D1183" s="6"/>
      <c r="E1183" s="6">
        <v>46165</v>
      </c>
      <c r="F1183" s="63">
        <v>50.4</v>
      </c>
      <c r="G1183" s="64">
        <f t="shared" si="287"/>
        <v>4435.2</v>
      </c>
      <c r="H1183" s="64">
        <f t="shared" si="288"/>
        <v>8870.4</v>
      </c>
      <c r="I1183" s="70">
        <v>100302</v>
      </c>
      <c r="J1183" s="62" t="s">
        <v>1174</v>
      </c>
      <c r="K1183" s="8" t="s">
        <v>2760</v>
      </c>
      <c r="L1183" s="10">
        <v>47888</v>
      </c>
      <c r="M1183" s="62">
        <v>2</v>
      </c>
      <c r="N1183" s="8"/>
      <c r="O1183" s="62">
        <f t="shared" si="285"/>
        <v>2</v>
      </c>
      <c r="P1183" s="70"/>
      <c r="Q1183" s="71"/>
      <c r="R1183" s="6"/>
      <c r="S1183" s="64">
        <v>13680</v>
      </c>
      <c r="T1183" s="22">
        <v>5</v>
      </c>
      <c r="U1183" s="64">
        <f t="shared" si="289"/>
        <v>684</v>
      </c>
      <c r="V1183" s="22">
        <v>0</v>
      </c>
      <c r="W1183" s="22">
        <v>14364</v>
      </c>
      <c r="X1183" s="62" t="s">
        <v>525</v>
      </c>
      <c r="Y1183" s="62"/>
      <c r="Z1183" s="62"/>
      <c r="AA1183" s="65">
        <v>4</v>
      </c>
      <c r="AB1183" s="66"/>
      <c r="AC1183" s="1" t="s">
        <v>1842</v>
      </c>
      <c r="AD1183" s="62" t="str">
        <f>VLOOKUP(X1183,'Customer List'!B:C,2,)</f>
        <v>DELHI</v>
      </c>
      <c r="AE1183" s="67"/>
      <c r="AF1183" s="6"/>
      <c r="AG1183" s="62" t="str">
        <f t="shared" si="290"/>
        <v/>
      </c>
      <c r="AH1183" s="62" t="str">
        <f t="shared" si="291"/>
        <v>Monday</v>
      </c>
      <c r="AI1183" s="62" t="str">
        <f t="shared" si="292"/>
        <v/>
      </c>
      <c r="AJ1183" s="62" t="str">
        <f>VLOOKUP(AC1183,'Currency Sheet'!A:C,3,)</f>
        <v>DOLLAR</v>
      </c>
      <c r="AK1183" s="62" t="str">
        <f>VLOOKUP(X1183,'Customer List'!B:D,3,)</f>
        <v>Local</v>
      </c>
    </row>
    <row r="1184" spans="1:37" hidden="1" x14ac:dyDescent="0.25">
      <c r="A1184" s="62">
        <f t="shared" si="286"/>
        <v>1168</v>
      </c>
      <c r="B1184" s="62" t="s">
        <v>824</v>
      </c>
      <c r="C1184" s="62" t="s">
        <v>2877</v>
      </c>
      <c r="D1184" s="6"/>
      <c r="E1184" s="6">
        <v>46165</v>
      </c>
      <c r="F1184" s="63">
        <v>160.30000000000001</v>
      </c>
      <c r="G1184" s="64">
        <f t="shared" si="287"/>
        <v>14106.400000000001</v>
      </c>
      <c r="H1184" s="64">
        <f t="shared" si="288"/>
        <v>28212.800000000003</v>
      </c>
      <c r="I1184" s="70">
        <v>422302</v>
      </c>
      <c r="J1184" s="62" t="s">
        <v>1052</v>
      </c>
      <c r="K1184" s="8" t="s">
        <v>2685</v>
      </c>
      <c r="L1184" s="10">
        <v>47904</v>
      </c>
      <c r="M1184" s="62">
        <v>2</v>
      </c>
      <c r="N1184" s="8"/>
      <c r="O1184" s="62">
        <f t="shared" si="285"/>
        <v>2</v>
      </c>
      <c r="P1184" s="70"/>
      <c r="Q1184" s="71"/>
      <c r="R1184" s="6"/>
      <c r="S1184" s="64">
        <v>46143.5</v>
      </c>
      <c r="T1184" s="22">
        <v>5</v>
      </c>
      <c r="U1184" s="64">
        <f t="shared" si="289"/>
        <v>2307.1750000000002</v>
      </c>
      <c r="V1184" s="22">
        <v>0.32</v>
      </c>
      <c r="W1184" s="22">
        <v>48451</v>
      </c>
      <c r="X1184" s="62" t="s">
        <v>2872</v>
      </c>
      <c r="Y1184" s="62"/>
      <c r="Z1184" s="62"/>
      <c r="AA1184" s="65">
        <v>4</v>
      </c>
      <c r="AB1184" s="66"/>
      <c r="AC1184" s="1" t="s">
        <v>1842</v>
      </c>
      <c r="AD1184" s="62" t="str">
        <f>VLOOKUP(X1184,'Customer List'!B:C,2,)</f>
        <v>Hyderabad</v>
      </c>
      <c r="AE1184" s="67"/>
      <c r="AF1184" s="6"/>
      <c r="AG1184" s="62" t="str">
        <f t="shared" si="290"/>
        <v/>
      </c>
      <c r="AH1184" s="62" t="str">
        <f t="shared" si="291"/>
        <v>Friday</v>
      </c>
      <c r="AI1184" s="62" t="str">
        <f t="shared" si="292"/>
        <v/>
      </c>
      <c r="AJ1184" s="62" t="str">
        <f>VLOOKUP(AC1184,'Currency Sheet'!A:C,3,)</f>
        <v>DOLLAR</v>
      </c>
      <c r="AK1184" s="62" t="str">
        <f>VLOOKUP(X1184,'Customer List'!B:D,3,)</f>
        <v>OutStation</v>
      </c>
    </row>
    <row r="1185" spans="1:37" hidden="1" x14ac:dyDescent="0.25">
      <c r="A1185" s="62">
        <f t="shared" si="286"/>
        <v>1169</v>
      </c>
      <c r="B1185" s="62" t="s">
        <v>824</v>
      </c>
      <c r="C1185" s="62" t="s">
        <v>2877</v>
      </c>
      <c r="D1185" s="6"/>
      <c r="E1185" s="6">
        <v>46165</v>
      </c>
      <c r="F1185" s="63">
        <v>172.9</v>
      </c>
      <c r="G1185" s="64">
        <f t="shared" si="287"/>
        <v>15215.2</v>
      </c>
      <c r="H1185" s="64">
        <f t="shared" si="288"/>
        <v>15215.2</v>
      </c>
      <c r="I1185" s="70">
        <v>427402</v>
      </c>
      <c r="J1185" s="62" t="s">
        <v>2761</v>
      </c>
      <c r="K1185" s="8" t="s">
        <v>2762</v>
      </c>
      <c r="L1185" s="10">
        <v>46766</v>
      </c>
      <c r="M1185" s="62">
        <v>1</v>
      </c>
      <c r="N1185" s="8">
        <v>1</v>
      </c>
      <c r="O1185" s="62">
        <f t="shared" si="285"/>
        <v>0</v>
      </c>
      <c r="P1185" s="70">
        <v>374</v>
      </c>
      <c r="Q1185" s="71">
        <v>46167</v>
      </c>
      <c r="R1185" s="6">
        <v>46168</v>
      </c>
      <c r="S1185" s="64">
        <v>25935</v>
      </c>
      <c r="T1185" s="22">
        <v>5</v>
      </c>
      <c r="U1185" s="64">
        <f t="shared" si="289"/>
        <v>1296.75</v>
      </c>
      <c r="V1185" s="22">
        <v>0.25</v>
      </c>
      <c r="W1185" s="22">
        <v>27232</v>
      </c>
      <c r="X1185" s="62" t="s">
        <v>32</v>
      </c>
      <c r="Y1185" s="62">
        <v>58165997116</v>
      </c>
      <c r="Z1185" s="62"/>
      <c r="AA1185" s="65">
        <v>20</v>
      </c>
      <c r="AB1185" s="66"/>
      <c r="AC1185" s="1" t="s">
        <v>1842</v>
      </c>
      <c r="AD1185" s="62" t="str">
        <f>VLOOKUP(X1185,'Customer List'!B:C,2,)</f>
        <v>Hyderabad</v>
      </c>
      <c r="AE1185" s="67"/>
      <c r="AF1185" s="6"/>
      <c r="AG1185" s="62" t="str">
        <f t="shared" si="290"/>
        <v/>
      </c>
      <c r="AH1185" s="62" t="str">
        <f t="shared" si="291"/>
        <v>Saturday</v>
      </c>
      <c r="AI1185" s="62" t="str">
        <f t="shared" si="292"/>
        <v/>
      </c>
      <c r="AJ1185" s="62" t="str">
        <f>VLOOKUP(AC1185,'Currency Sheet'!A:C,3,)</f>
        <v>DOLLAR</v>
      </c>
      <c r="AK1185" s="62" t="str">
        <f>VLOOKUP(X1185,'Customer List'!B:D,3,)</f>
        <v>OutStation</v>
      </c>
    </row>
    <row r="1186" spans="1:37" hidden="1" x14ac:dyDescent="0.25">
      <c r="A1186" s="62">
        <f t="shared" si="286"/>
        <v>1170</v>
      </c>
      <c r="B1186" s="62" t="s">
        <v>824</v>
      </c>
      <c r="C1186" s="62" t="s">
        <v>2877</v>
      </c>
      <c r="D1186" s="6"/>
      <c r="E1186" s="6">
        <v>46165</v>
      </c>
      <c r="F1186" s="63">
        <v>362.25</v>
      </c>
      <c r="G1186" s="64">
        <f t="shared" si="287"/>
        <v>31878</v>
      </c>
      <c r="H1186" s="64">
        <f t="shared" si="288"/>
        <v>31878</v>
      </c>
      <c r="I1186" s="70">
        <v>480024</v>
      </c>
      <c r="J1186" s="62" t="s">
        <v>2763</v>
      </c>
      <c r="K1186" s="8" t="s">
        <v>2764</v>
      </c>
      <c r="L1186" s="10">
        <v>46445</v>
      </c>
      <c r="M1186" s="62">
        <v>1</v>
      </c>
      <c r="N1186" s="8">
        <v>1</v>
      </c>
      <c r="O1186" s="62">
        <f t="shared" si="285"/>
        <v>0</v>
      </c>
      <c r="P1186" s="70" t="s">
        <v>2914</v>
      </c>
      <c r="Q1186" s="71">
        <v>46168</v>
      </c>
      <c r="R1186" s="6">
        <v>46168</v>
      </c>
      <c r="S1186" s="64">
        <v>45643.5</v>
      </c>
      <c r="T1186" s="22">
        <v>5</v>
      </c>
      <c r="U1186" s="64">
        <f t="shared" si="289"/>
        <v>2282.1750000000002</v>
      </c>
      <c r="V1186" s="22">
        <v>0</v>
      </c>
      <c r="W1186" s="22">
        <v>824117</v>
      </c>
      <c r="X1186" s="62" t="s">
        <v>1591</v>
      </c>
      <c r="Y1186" s="62" t="s">
        <v>1391</v>
      </c>
      <c r="Z1186" s="62" t="s">
        <v>1391</v>
      </c>
      <c r="AA1186" s="65">
        <v>4</v>
      </c>
      <c r="AB1186" s="66"/>
      <c r="AC1186" s="1" t="s">
        <v>1842</v>
      </c>
      <c r="AD1186" s="62" t="str">
        <f>VLOOKUP(X1186,'Customer List'!B:C,2,)</f>
        <v>Noida</v>
      </c>
      <c r="AE1186" s="67"/>
      <c r="AF1186" s="6"/>
      <c r="AG1186" s="62" t="str">
        <f t="shared" si="290"/>
        <v/>
      </c>
      <c r="AH1186" s="62" t="str">
        <f t="shared" si="291"/>
        <v>Tuesday</v>
      </c>
      <c r="AI1186" s="62" t="str">
        <f t="shared" si="292"/>
        <v/>
      </c>
      <c r="AJ1186" s="62" t="str">
        <f>VLOOKUP(AC1186,'Currency Sheet'!A:C,3,)</f>
        <v>DOLLAR</v>
      </c>
      <c r="AK1186" s="62" t="str">
        <f>VLOOKUP(X1186,'Customer List'!B:D,3,)</f>
        <v>Local</v>
      </c>
    </row>
    <row r="1187" spans="1:37" hidden="1" x14ac:dyDescent="0.25">
      <c r="A1187" s="62">
        <f t="shared" si="286"/>
        <v>1171</v>
      </c>
      <c r="B1187" s="62" t="s">
        <v>824</v>
      </c>
      <c r="C1187" s="62" t="s">
        <v>2877</v>
      </c>
      <c r="D1187" s="6"/>
      <c r="E1187" s="6">
        <v>46165</v>
      </c>
      <c r="F1187" s="63">
        <v>259</v>
      </c>
      <c r="G1187" s="64">
        <f t="shared" si="287"/>
        <v>22792</v>
      </c>
      <c r="H1187" s="64">
        <f t="shared" si="288"/>
        <v>22792</v>
      </c>
      <c r="I1187" s="70">
        <v>126408</v>
      </c>
      <c r="J1187" s="62" t="s">
        <v>1204</v>
      </c>
      <c r="K1187" s="8" t="s">
        <v>2765</v>
      </c>
      <c r="L1187" s="10">
        <v>47660</v>
      </c>
      <c r="M1187" s="62">
        <v>1</v>
      </c>
      <c r="N1187" s="8">
        <v>1</v>
      </c>
      <c r="O1187" s="62">
        <f t="shared" si="285"/>
        <v>0</v>
      </c>
      <c r="P1187" s="70" t="s">
        <v>2914</v>
      </c>
      <c r="Q1187" s="71">
        <v>46168</v>
      </c>
      <c r="R1187" s="6">
        <v>46168</v>
      </c>
      <c r="S1187" s="64">
        <v>34965</v>
      </c>
      <c r="T1187" s="22">
        <v>5</v>
      </c>
      <c r="U1187" s="64">
        <f t="shared" si="289"/>
        <v>1748.25</v>
      </c>
      <c r="V1187" s="22">
        <v>0</v>
      </c>
      <c r="W1187" s="22">
        <v>824117</v>
      </c>
      <c r="X1187" s="62" t="s">
        <v>1591</v>
      </c>
      <c r="Y1187" s="62" t="s">
        <v>1391</v>
      </c>
      <c r="Z1187" s="62" t="s">
        <v>1391</v>
      </c>
      <c r="AA1187" s="65">
        <v>4</v>
      </c>
      <c r="AB1187" s="66"/>
      <c r="AC1187" s="1" t="s">
        <v>1842</v>
      </c>
      <c r="AD1187" s="62" t="str">
        <f>VLOOKUP(X1187,'Customer List'!B:C,2,)</f>
        <v>Noida</v>
      </c>
      <c r="AE1187" s="67"/>
      <c r="AF1187" s="6"/>
      <c r="AG1187" s="62" t="str">
        <f t="shared" si="290"/>
        <v/>
      </c>
      <c r="AH1187" s="62" t="str">
        <f t="shared" si="291"/>
        <v>Saturday</v>
      </c>
      <c r="AI1187" s="62" t="str">
        <f t="shared" si="292"/>
        <v/>
      </c>
      <c r="AJ1187" s="62" t="str">
        <f>VLOOKUP(AC1187,'Currency Sheet'!A:C,3,)</f>
        <v>DOLLAR</v>
      </c>
      <c r="AK1187" s="62" t="str">
        <f>VLOOKUP(X1187,'Customer List'!B:D,3,)</f>
        <v>Local</v>
      </c>
    </row>
    <row r="1188" spans="1:37" hidden="1" x14ac:dyDescent="0.25">
      <c r="A1188" s="62">
        <f t="shared" si="286"/>
        <v>1172</v>
      </c>
      <c r="B1188" s="62" t="s">
        <v>824</v>
      </c>
      <c r="C1188" s="62" t="s">
        <v>2877</v>
      </c>
      <c r="D1188" s="6"/>
      <c r="E1188" s="6">
        <v>46165</v>
      </c>
      <c r="F1188" s="63">
        <v>86.8</v>
      </c>
      <c r="G1188" s="64">
        <f t="shared" si="287"/>
        <v>7638.4</v>
      </c>
      <c r="H1188" s="64">
        <f t="shared" si="288"/>
        <v>7638.4</v>
      </c>
      <c r="I1188" s="70">
        <v>101917</v>
      </c>
      <c r="J1188" s="62" t="s">
        <v>919</v>
      </c>
      <c r="K1188" s="8" t="s">
        <v>2766</v>
      </c>
      <c r="L1188" s="10">
        <v>47251</v>
      </c>
      <c r="M1188" s="62">
        <v>1</v>
      </c>
      <c r="N1188" s="8">
        <v>1</v>
      </c>
      <c r="O1188" s="62">
        <f t="shared" si="285"/>
        <v>0</v>
      </c>
      <c r="P1188" s="70" t="s">
        <v>2914</v>
      </c>
      <c r="Q1188" s="71">
        <v>46168</v>
      </c>
      <c r="R1188" s="6">
        <v>46168</v>
      </c>
      <c r="S1188" s="64">
        <v>11718</v>
      </c>
      <c r="T1188" s="22">
        <v>5</v>
      </c>
      <c r="U1188" s="64">
        <f t="shared" si="289"/>
        <v>585.9</v>
      </c>
      <c r="V1188" s="22">
        <v>0</v>
      </c>
      <c r="W1188" s="22">
        <v>824117</v>
      </c>
      <c r="X1188" s="62" t="s">
        <v>1591</v>
      </c>
      <c r="Y1188" s="62" t="s">
        <v>1391</v>
      </c>
      <c r="Z1188" s="62" t="s">
        <v>1391</v>
      </c>
      <c r="AA1188" s="65">
        <v>4</v>
      </c>
      <c r="AB1188" s="66"/>
      <c r="AC1188" s="1" t="s">
        <v>1842</v>
      </c>
      <c r="AD1188" s="62" t="str">
        <f>VLOOKUP(X1188,'Customer List'!B:C,2,)</f>
        <v>Noida</v>
      </c>
      <c r="AE1188" s="67"/>
      <c r="AF1188" s="6"/>
      <c r="AG1188" s="62" t="str">
        <f t="shared" si="290"/>
        <v/>
      </c>
      <c r="AH1188" s="62" t="str">
        <f t="shared" si="291"/>
        <v>Saturday</v>
      </c>
      <c r="AI1188" s="62" t="str">
        <f t="shared" si="292"/>
        <v/>
      </c>
      <c r="AJ1188" s="62" t="str">
        <f>VLOOKUP(AC1188,'Currency Sheet'!A:C,3,)</f>
        <v>DOLLAR</v>
      </c>
      <c r="AK1188" s="62" t="str">
        <f>VLOOKUP(X1188,'Customer List'!B:D,3,)</f>
        <v>Local</v>
      </c>
    </row>
    <row r="1189" spans="1:37" hidden="1" x14ac:dyDescent="0.25">
      <c r="A1189" s="62">
        <f t="shared" si="286"/>
        <v>1173</v>
      </c>
      <c r="B1189" s="62" t="s">
        <v>824</v>
      </c>
      <c r="C1189" s="62" t="s">
        <v>2877</v>
      </c>
      <c r="D1189" s="6"/>
      <c r="E1189" s="6">
        <v>46165</v>
      </c>
      <c r="F1189" s="63">
        <v>58.1</v>
      </c>
      <c r="G1189" s="64">
        <f t="shared" si="287"/>
        <v>5112.8</v>
      </c>
      <c r="H1189" s="64">
        <f t="shared" si="288"/>
        <v>5112.8</v>
      </c>
      <c r="I1189" s="70">
        <v>104505</v>
      </c>
      <c r="J1189" s="62" t="s">
        <v>924</v>
      </c>
      <c r="K1189" s="8" t="s">
        <v>2767</v>
      </c>
      <c r="L1189" s="10">
        <v>48270</v>
      </c>
      <c r="M1189" s="62">
        <v>1</v>
      </c>
      <c r="N1189" s="8">
        <v>1</v>
      </c>
      <c r="O1189" s="62">
        <f t="shared" si="285"/>
        <v>0</v>
      </c>
      <c r="P1189" s="70" t="s">
        <v>2914</v>
      </c>
      <c r="Q1189" s="71">
        <v>46168</v>
      </c>
      <c r="R1189" s="6">
        <v>46168</v>
      </c>
      <c r="S1189" s="64">
        <v>7843.5</v>
      </c>
      <c r="T1189" s="22">
        <v>5</v>
      </c>
      <c r="U1189" s="64">
        <f t="shared" si="289"/>
        <v>392.17500000000001</v>
      </c>
      <c r="V1189" s="22">
        <v>0</v>
      </c>
      <c r="W1189" s="22">
        <v>824117</v>
      </c>
      <c r="X1189" s="62" t="s">
        <v>1591</v>
      </c>
      <c r="Y1189" s="62" t="s">
        <v>1391</v>
      </c>
      <c r="Z1189" s="62" t="s">
        <v>1391</v>
      </c>
      <c r="AA1189" s="65">
        <v>4</v>
      </c>
      <c r="AB1189" s="66"/>
      <c r="AC1189" s="1" t="s">
        <v>1842</v>
      </c>
      <c r="AD1189" s="62" t="str">
        <f>VLOOKUP(X1189,'Customer List'!B:C,2,)</f>
        <v>Noida</v>
      </c>
      <c r="AE1189" s="67"/>
      <c r="AF1189" s="6"/>
      <c r="AG1189" s="62" t="str">
        <f t="shared" si="290"/>
        <v/>
      </c>
      <c r="AH1189" s="62" t="str">
        <f t="shared" si="291"/>
        <v>Tuesday</v>
      </c>
      <c r="AI1189" s="62" t="str">
        <f t="shared" si="292"/>
        <v/>
      </c>
      <c r="AJ1189" s="62" t="str">
        <f>VLOOKUP(AC1189,'Currency Sheet'!A:C,3,)</f>
        <v>DOLLAR</v>
      </c>
      <c r="AK1189" s="62" t="str">
        <f>VLOOKUP(X1189,'Customer List'!B:D,3,)</f>
        <v>Local</v>
      </c>
    </row>
    <row r="1190" spans="1:37" hidden="1" x14ac:dyDescent="0.25">
      <c r="A1190" s="62">
        <f t="shared" si="286"/>
        <v>1174</v>
      </c>
      <c r="B1190" s="62" t="s">
        <v>824</v>
      </c>
      <c r="C1190" s="62" t="s">
        <v>2877</v>
      </c>
      <c r="D1190" s="6"/>
      <c r="E1190" s="6">
        <v>46165</v>
      </c>
      <c r="F1190" s="63">
        <v>219</v>
      </c>
      <c r="G1190" s="64">
        <f t="shared" si="287"/>
        <v>19272</v>
      </c>
      <c r="H1190" s="64">
        <f t="shared" si="288"/>
        <v>19272</v>
      </c>
      <c r="I1190" s="70">
        <v>135231</v>
      </c>
      <c r="J1190" s="62" t="s">
        <v>934</v>
      </c>
      <c r="K1190" s="8" t="s">
        <v>2768</v>
      </c>
      <c r="L1190" s="10">
        <v>47041</v>
      </c>
      <c r="M1190" s="62">
        <v>1</v>
      </c>
      <c r="N1190" s="8">
        <v>1</v>
      </c>
      <c r="O1190" s="62">
        <f t="shared" si="285"/>
        <v>0</v>
      </c>
      <c r="P1190" s="70" t="s">
        <v>2914</v>
      </c>
      <c r="Q1190" s="71">
        <v>46168</v>
      </c>
      <c r="R1190" s="6">
        <v>46168</v>
      </c>
      <c r="S1190" s="64">
        <v>27594</v>
      </c>
      <c r="T1190" s="22">
        <v>5</v>
      </c>
      <c r="U1190" s="64">
        <f t="shared" si="289"/>
        <v>1379.7</v>
      </c>
      <c r="V1190" s="22">
        <v>0</v>
      </c>
      <c r="W1190" s="22">
        <v>824117</v>
      </c>
      <c r="X1190" s="62" t="s">
        <v>1591</v>
      </c>
      <c r="Y1190" s="62" t="s">
        <v>1391</v>
      </c>
      <c r="Z1190" s="62" t="s">
        <v>1391</v>
      </c>
      <c r="AA1190" s="65">
        <v>4</v>
      </c>
      <c r="AB1190" s="66"/>
      <c r="AC1190" s="1" t="s">
        <v>1842</v>
      </c>
      <c r="AD1190" s="62" t="str">
        <f>VLOOKUP(X1190,'Customer List'!B:C,2,)</f>
        <v>Noida</v>
      </c>
      <c r="AE1190" s="67"/>
      <c r="AF1190" s="6"/>
      <c r="AG1190" s="62" t="str">
        <f t="shared" si="290"/>
        <v/>
      </c>
      <c r="AH1190" s="62" t="str">
        <f t="shared" si="291"/>
        <v>Saturday</v>
      </c>
      <c r="AI1190" s="62" t="str">
        <f t="shared" si="292"/>
        <v/>
      </c>
      <c r="AJ1190" s="62" t="str">
        <f>VLOOKUP(AC1190,'Currency Sheet'!A:C,3,)</f>
        <v>DOLLAR</v>
      </c>
      <c r="AK1190" s="62" t="str">
        <f>VLOOKUP(X1190,'Customer List'!B:D,3,)</f>
        <v>Local</v>
      </c>
    </row>
    <row r="1191" spans="1:37" hidden="1" x14ac:dyDescent="0.25">
      <c r="A1191" s="62">
        <f t="shared" si="286"/>
        <v>1175</v>
      </c>
      <c r="B1191" s="62" t="s">
        <v>824</v>
      </c>
      <c r="C1191" s="62" t="s">
        <v>2877</v>
      </c>
      <c r="D1191" s="6"/>
      <c r="E1191" s="6">
        <v>46165</v>
      </c>
      <c r="F1191" s="63">
        <v>82.6</v>
      </c>
      <c r="G1191" s="64">
        <f t="shared" si="287"/>
        <v>7268.7999999999993</v>
      </c>
      <c r="H1191" s="64">
        <f t="shared" si="288"/>
        <v>7268.7999999999993</v>
      </c>
      <c r="I1191" s="70">
        <v>100433</v>
      </c>
      <c r="J1191" s="62" t="s">
        <v>911</v>
      </c>
      <c r="K1191" s="8" t="s">
        <v>2769</v>
      </c>
      <c r="L1191" s="10">
        <v>47398</v>
      </c>
      <c r="M1191" s="62">
        <v>1</v>
      </c>
      <c r="N1191" s="8">
        <v>1</v>
      </c>
      <c r="O1191" s="62">
        <f t="shared" si="285"/>
        <v>0</v>
      </c>
      <c r="P1191" s="70" t="s">
        <v>2914</v>
      </c>
      <c r="Q1191" s="71">
        <v>46168</v>
      </c>
      <c r="R1191" s="6">
        <v>46168</v>
      </c>
      <c r="S1191" s="64">
        <v>11151</v>
      </c>
      <c r="T1191" s="22">
        <v>5</v>
      </c>
      <c r="U1191" s="64">
        <f t="shared" si="289"/>
        <v>557.55000000000007</v>
      </c>
      <c r="V1191" s="22">
        <v>0</v>
      </c>
      <c r="W1191" s="22">
        <v>824117</v>
      </c>
      <c r="X1191" s="62" t="s">
        <v>1591</v>
      </c>
      <c r="Y1191" s="62" t="s">
        <v>1391</v>
      </c>
      <c r="Z1191" s="62" t="s">
        <v>1391</v>
      </c>
      <c r="AA1191" s="65">
        <v>4</v>
      </c>
      <c r="AB1191" s="66"/>
      <c r="AC1191" s="1" t="s">
        <v>1842</v>
      </c>
      <c r="AD1191" s="62" t="str">
        <f>VLOOKUP(X1191,'Customer List'!B:C,2,)</f>
        <v>Noida</v>
      </c>
      <c r="AE1191" s="67"/>
      <c r="AF1191" s="6"/>
      <c r="AG1191" s="62" t="str">
        <f t="shared" si="290"/>
        <v/>
      </c>
      <c r="AH1191" s="62" t="str">
        <f t="shared" si="291"/>
        <v>Saturday</v>
      </c>
      <c r="AI1191" s="62" t="str">
        <f t="shared" si="292"/>
        <v/>
      </c>
      <c r="AJ1191" s="62" t="str">
        <f>VLOOKUP(AC1191,'Currency Sheet'!A:C,3,)</f>
        <v>DOLLAR</v>
      </c>
      <c r="AK1191" s="62" t="str">
        <f>VLOOKUP(X1191,'Customer List'!B:D,3,)</f>
        <v>Local</v>
      </c>
    </row>
    <row r="1192" spans="1:37" hidden="1" x14ac:dyDescent="0.25">
      <c r="A1192" s="62">
        <f t="shared" si="286"/>
        <v>1176</v>
      </c>
      <c r="B1192" s="62" t="s">
        <v>824</v>
      </c>
      <c r="C1192" s="62" t="s">
        <v>2877</v>
      </c>
      <c r="D1192" s="6"/>
      <c r="E1192" s="6">
        <v>46165</v>
      </c>
      <c r="F1192" s="63">
        <v>49</v>
      </c>
      <c r="G1192" s="64">
        <f t="shared" si="287"/>
        <v>4312</v>
      </c>
      <c r="H1192" s="64">
        <f t="shared" si="288"/>
        <v>4312</v>
      </c>
      <c r="I1192" s="70">
        <v>162314</v>
      </c>
      <c r="J1192" s="62" t="s">
        <v>915</v>
      </c>
      <c r="K1192" s="8" t="s">
        <v>2770</v>
      </c>
      <c r="L1192" s="10">
        <v>48364</v>
      </c>
      <c r="M1192" s="62">
        <v>1</v>
      </c>
      <c r="N1192" s="8">
        <v>1</v>
      </c>
      <c r="O1192" s="62">
        <f t="shared" si="285"/>
        <v>0</v>
      </c>
      <c r="P1192" s="70" t="s">
        <v>2914</v>
      </c>
      <c r="Q1192" s="71">
        <v>46168</v>
      </c>
      <c r="R1192" s="6">
        <v>46168</v>
      </c>
      <c r="S1192" s="64">
        <v>6615</v>
      </c>
      <c r="T1192" s="22">
        <v>5</v>
      </c>
      <c r="U1192" s="64">
        <f t="shared" si="289"/>
        <v>330.75</v>
      </c>
      <c r="V1192" s="22">
        <v>0</v>
      </c>
      <c r="W1192" s="22">
        <v>824117</v>
      </c>
      <c r="X1192" s="62" t="s">
        <v>1591</v>
      </c>
      <c r="Y1192" s="62" t="s">
        <v>1391</v>
      </c>
      <c r="Z1192" s="62" t="s">
        <v>1391</v>
      </c>
      <c r="AA1192" s="65">
        <v>4</v>
      </c>
      <c r="AB1192" s="66"/>
      <c r="AC1192" s="1" t="s">
        <v>1842</v>
      </c>
      <c r="AD1192" s="62" t="str">
        <f>VLOOKUP(X1192,'Customer List'!B:C,2,)</f>
        <v>Noida</v>
      </c>
      <c r="AE1192" s="67"/>
      <c r="AF1192" s="6"/>
      <c r="AG1192" s="62" t="str">
        <f t="shared" si="290"/>
        <v/>
      </c>
      <c r="AH1192" s="62" t="str">
        <f t="shared" si="291"/>
        <v>Saturday</v>
      </c>
      <c r="AI1192" s="62" t="str">
        <f t="shared" si="292"/>
        <v/>
      </c>
      <c r="AJ1192" s="62" t="str">
        <f>VLOOKUP(AC1192,'Currency Sheet'!A:C,3,)</f>
        <v>DOLLAR</v>
      </c>
      <c r="AK1192" s="62" t="str">
        <f>VLOOKUP(X1192,'Customer List'!B:D,3,)</f>
        <v>Local</v>
      </c>
    </row>
    <row r="1193" spans="1:37" hidden="1" x14ac:dyDescent="0.25">
      <c r="A1193" s="62">
        <f t="shared" si="286"/>
        <v>1177</v>
      </c>
      <c r="B1193" s="62" t="s">
        <v>824</v>
      </c>
      <c r="C1193" s="62" t="s">
        <v>2877</v>
      </c>
      <c r="D1193" s="6"/>
      <c r="E1193" s="6">
        <v>46165</v>
      </c>
      <c r="F1193" s="63">
        <v>68.599999999999994</v>
      </c>
      <c r="G1193" s="64">
        <f t="shared" si="287"/>
        <v>6036.7999999999993</v>
      </c>
      <c r="H1193" s="64">
        <f t="shared" si="288"/>
        <v>6036.7999999999993</v>
      </c>
      <c r="I1193" s="70">
        <v>162304</v>
      </c>
      <c r="J1193" s="62" t="s">
        <v>915</v>
      </c>
      <c r="K1193" s="8" t="s">
        <v>2771</v>
      </c>
      <c r="L1193" s="10">
        <v>47611</v>
      </c>
      <c r="M1193" s="62">
        <v>1</v>
      </c>
      <c r="N1193" s="8">
        <v>1</v>
      </c>
      <c r="O1193" s="62">
        <f t="shared" si="285"/>
        <v>0</v>
      </c>
      <c r="P1193" s="70" t="s">
        <v>2914</v>
      </c>
      <c r="Q1193" s="71">
        <v>46168</v>
      </c>
      <c r="R1193" s="6">
        <v>46168</v>
      </c>
      <c r="S1193" s="64">
        <v>9261</v>
      </c>
      <c r="T1193" s="22">
        <v>5</v>
      </c>
      <c r="U1193" s="64">
        <f t="shared" si="289"/>
        <v>463.05</v>
      </c>
      <c r="V1193" s="22">
        <v>0</v>
      </c>
      <c r="W1193" s="22">
        <v>824117</v>
      </c>
      <c r="X1193" s="62" t="s">
        <v>1591</v>
      </c>
      <c r="Y1193" s="62" t="s">
        <v>1391</v>
      </c>
      <c r="Z1193" s="62" t="s">
        <v>1391</v>
      </c>
      <c r="AA1193" s="65">
        <v>4</v>
      </c>
      <c r="AB1193" s="66"/>
      <c r="AC1193" s="1" t="s">
        <v>1842</v>
      </c>
      <c r="AD1193" s="62" t="str">
        <f>VLOOKUP(X1193,'Customer List'!B:C,2,)</f>
        <v>Noida</v>
      </c>
      <c r="AE1193" s="67"/>
      <c r="AF1193" s="6"/>
      <c r="AG1193" s="62" t="str">
        <f t="shared" si="290"/>
        <v/>
      </c>
      <c r="AH1193" s="62" t="str">
        <f t="shared" si="291"/>
        <v>Saturday</v>
      </c>
      <c r="AI1193" s="62" t="str">
        <f t="shared" si="292"/>
        <v/>
      </c>
      <c r="AJ1193" s="62" t="str">
        <f>VLOOKUP(AC1193,'Currency Sheet'!A:C,3,)</f>
        <v>DOLLAR</v>
      </c>
      <c r="AK1193" s="62" t="str">
        <f>VLOOKUP(X1193,'Customer List'!B:D,3,)</f>
        <v>Local</v>
      </c>
    </row>
    <row r="1194" spans="1:37" hidden="1" x14ac:dyDescent="0.25">
      <c r="A1194" s="62">
        <f t="shared" si="286"/>
        <v>1178</v>
      </c>
      <c r="B1194" s="62" t="s">
        <v>824</v>
      </c>
      <c r="C1194" s="62" t="s">
        <v>2877</v>
      </c>
      <c r="D1194" s="6"/>
      <c r="E1194" s="6">
        <v>46165</v>
      </c>
      <c r="F1194" s="63">
        <v>183.75</v>
      </c>
      <c r="G1194" s="64">
        <f t="shared" si="287"/>
        <v>16170</v>
      </c>
      <c r="H1194" s="64">
        <f t="shared" si="288"/>
        <v>16170</v>
      </c>
      <c r="I1194" s="70">
        <v>162315</v>
      </c>
      <c r="J1194" s="62" t="s">
        <v>915</v>
      </c>
      <c r="K1194" s="8" t="s">
        <v>2772</v>
      </c>
      <c r="L1194" s="10">
        <v>46590</v>
      </c>
      <c r="M1194" s="62">
        <v>1</v>
      </c>
      <c r="N1194" s="8">
        <v>1</v>
      </c>
      <c r="O1194" s="62">
        <f t="shared" si="285"/>
        <v>0</v>
      </c>
      <c r="P1194" s="70" t="s">
        <v>2914</v>
      </c>
      <c r="Q1194" s="71">
        <v>46168</v>
      </c>
      <c r="R1194" s="6">
        <v>46168</v>
      </c>
      <c r="S1194" s="64">
        <v>23152.5</v>
      </c>
      <c r="T1194" s="22">
        <v>5</v>
      </c>
      <c r="U1194" s="64">
        <f t="shared" si="289"/>
        <v>1157.625</v>
      </c>
      <c r="V1194" s="22">
        <v>0</v>
      </c>
      <c r="W1194" s="22">
        <v>824117</v>
      </c>
      <c r="X1194" s="62" t="s">
        <v>1591</v>
      </c>
      <c r="Y1194" s="62" t="s">
        <v>1391</v>
      </c>
      <c r="Z1194" s="62" t="s">
        <v>1391</v>
      </c>
      <c r="AA1194" s="65">
        <v>4</v>
      </c>
      <c r="AB1194" s="66"/>
      <c r="AC1194" s="1" t="s">
        <v>1842</v>
      </c>
      <c r="AD1194" s="62" t="str">
        <f>VLOOKUP(X1194,'Customer List'!B:C,2,)</f>
        <v>Noida</v>
      </c>
      <c r="AE1194" s="67"/>
      <c r="AF1194" s="6"/>
      <c r="AG1194" s="62" t="str">
        <f t="shared" si="290"/>
        <v/>
      </c>
      <c r="AH1194" s="62" t="str">
        <f t="shared" si="291"/>
        <v>Tuesday</v>
      </c>
      <c r="AI1194" s="62" t="str">
        <f t="shared" si="292"/>
        <v/>
      </c>
      <c r="AJ1194" s="62" t="str">
        <f>VLOOKUP(AC1194,'Currency Sheet'!A:C,3,)</f>
        <v>DOLLAR</v>
      </c>
      <c r="AK1194" s="62" t="str">
        <f>VLOOKUP(X1194,'Customer List'!B:D,3,)</f>
        <v>Local</v>
      </c>
    </row>
    <row r="1195" spans="1:37" hidden="1" x14ac:dyDescent="0.25">
      <c r="A1195" s="62">
        <f t="shared" si="286"/>
        <v>1179</v>
      </c>
      <c r="B1195" s="62" t="s">
        <v>824</v>
      </c>
      <c r="C1195" s="62" t="s">
        <v>2877</v>
      </c>
      <c r="D1195" s="6"/>
      <c r="E1195" s="6">
        <v>46165</v>
      </c>
      <c r="F1195" s="63">
        <v>228.75</v>
      </c>
      <c r="G1195" s="64">
        <f t="shared" si="287"/>
        <v>20130</v>
      </c>
      <c r="H1195" s="64">
        <f t="shared" si="288"/>
        <v>20130</v>
      </c>
      <c r="I1195" s="70">
        <v>158027</v>
      </c>
      <c r="J1195" s="62" t="s">
        <v>2773</v>
      </c>
      <c r="K1195" s="8" t="s">
        <v>2774</v>
      </c>
      <c r="L1195" s="10">
        <v>46957</v>
      </c>
      <c r="M1195" s="62">
        <v>1</v>
      </c>
      <c r="N1195" s="8">
        <v>1</v>
      </c>
      <c r="O1195" s="62">
        <f t="shared" si="285"/>
        <v>0</v>
      </c>
      <c r="P1195" s="70" t="s">
        <v>2914</v>
      </c>
      <c r="Q1195" s="71">
        <v>46168</v>
      </c>
      <c r="R1195" s="6">
        <v>46168</v>
      </c>
      <c r="S1195" s="64">
        <v>28822.5</v>
      </c>
      <c r="T1195" s="22">
        <v>5</v>
      </c>
      <c r="U1195" s="64">
        <f t="shared" si="289"/>
        <v>1441.125</v>
      </c>
      <c r="V1195" s="22">
        <v>0</v>
      </c>
      <c r="W1195" s="22">
        <v>824117</v>
      </c>
      <c r="X1195" s="62" t="s">
        <v>1591</v>
      </c>
      <c r="Y1195" s="62" t="s">
        <v>1391</v>
      </c>
      <c r="Z1195" s="62" t="s">
        <v>1391</v>
      </c>
      <c r="AA1195" s="65">
        <v>4</v>
      </c>
      <c r="AB1195" s="66"/>
      <c r="AC1195" s="1" t="s">
        <v>1842</v>
      </c>
      <c r="AD1195" s="62" t="str">
        <f>VLOOKUP(X1195,'Customer List'!B:C,2,)</f>
        <v>Noida</v>
      </c>
      <c r="AE1195" s="67"/>
      <c r="AF1195" s="6"/>
      <c r="AG1195" s="62" t="str">
        <f t="shared" si="290"/>
        <v/>
      </c>
      <c r="AH1195" s="62" t="str">
        <f t="shared" si="291"/>
        <v>Tuesday</v>
      </c>
      <c r="AI1195" s="62" t="str">
        <f t="shared" si="292"/>
        <v/>
      </c>
      <c r="AJ1195" s="62" t="str">
        <f>VLOOKUP(AC1195,'Currency Sheet'!A:C,3,)</f>
        <v>DOLLAR</v>
      </c>
      <c r="AK1195" s="62" t="str">
        <f>VLOOKUP(X1195,'Customer List'!B:D,3,)</f>
        <v>Local</v>
      </c>
    </row>
    <row r="1196" spans="1:37" hidden="1" x14ac:dyDescent="0.25">
      <c r="A1196" s="62">
        <f t="shared" si="286"/>
        <v>1180</v>
      </c>
      <c r="B1196" s="62" t="s">
        <v>824</v>
      </c>
      <c r="C1196" s="62" t="s">
        <v>2877</v>
      </c>
      <c r="D1196" s="6"/>
      <c r="E1196" s="6">
        <v>46165</v>
      </c>
      <c r="F1196" s="63">
        <v>90.3</v>
      </c>
      <c r="G1196" s="64">
        <f t="shared" si="287"/>
        <v>7946.4</v>
      </c>
      <c r="H1196" s="64">
        <f t="shared" si="288"/>
        <v>7946.4</v>
      </c>
      <c r="I1196" s="70">
        <v>117421</v>
      </c>
      <c r="J1196" s="62" t="s">
        <v>2775</v>
      </c>
      <c r="K1196" s="8" t="s">
        <v>2776</v>
      </c>
      <c r="L1196" s="10">
        <v>46550</v>
      </c>
      <c r="M1196" s="62">
        <v>1</v>
      </c>
      <c r="N1196" s="8">
        <v>1</v>
      </c>
      <c r="O1196" s="62">
        <f t="shared" si="285"/>
        <v>0</v>
      </c>
      <c r="P1196" s="70" t="s">
        <v>2914</v>
      </c>
      <c r="Q1196" s="71">
        <v>46168</v>
      </c>
      <c r="R1196" s="6">
        <v>46168</v>
      </c>
      <c r="S1196" s="64">
        <v>12190.5</v>
      </c>
      <c r="T1196" s="22">
        <v>5</v>
      </c>
      <c r="U1196" s="64">
        <f t="shared" si="289"/>
        <v>609.52499999999998</v>
      </c>
      <c r="V1196" s="22">
        <v>0</v>
      </c>
      <c r="W1196" s="22">
        <v>824117</v>
      </c>
      <c r="X1196" s="62" t="s">
        <v>1591</v>
      </c>
      <c r="Y1196" s="62" t="s">
        <v>1391</v>
      </c>
      <c r="Z1196" s="62" t="s">
        <v>1391</v>
      </c>
      <c r="AA1196" s="65">
        <v>4</v>
      </c>
      <c r="AB1196" s="66"/>
      <c r="AC1196" s="1" t="s">
        <v>1842</v>
      </c>
      <c r="AD1196" s="62" t="str">
        <f>VLOOKUP(X1196,'Customer List'!B:C,2,)</f>
        <v>Noida</v>
      </c>
      <c r="AE1196" s="67"/>
      <c r="AF1196" s="6"/>
      <c r="AG1196" s="62" t="str">
        <f t="shared" si="290"/>
        <v/>
      </c>
      <c r="AH1196" s="62" t="str">
        <f t="shared" si="291"/>
        <v>Tuesday</v>
      </c>
      <c r="AI1196" s="62" t="str">
        <f t="shared" si="292"/>
        <v/>
      </c>
      <c r="AJ1196" s="62" t="str">
        <f>VLOOKUP(AC1196,'Currency Sheet'!A:C,3,)</f>
        <v>DOLLAR</v>
      </c>
      <c r="AK1196" s="62" t="str">
        <f>VLOOKUP(X1196,'Customer List'!B:D,3,)</f>
        <v>Local</v>
      </c>
    </row>
    <row r="1197" spans="1:37" hidden="1" x14ac:dyDescent="0.25">
      <c r="A1197" s="62">
        <f t="shared" si="286"/>
        <v>1181</v>
      </c>
      <c r="B1197" s="62" t="s">
        <v>824</v>
      </c>
      <c r="C1197" s="62" t="s">
        <v>2877</v>
      </c>
      <c r="D1197" s="6"/>
      <c r="E1197" s="6">
        <v>46165</v>
      </c>
      <c r="F1197" s="63">
        <v>123.75</v>
      </c>
      <c r="G1197" s="64">
        <f t="shared" si="287"/>
        <v>10890</v>
      </c>
      <c r="H1197" s="64">
        <f t="shared" si="288"/>
        <v>10890</v>
      </c>
      <c r="I1197" s="70">
        <v>100751</v>
      </c>
      <c r="J1197" s="62" t="s">
        <v>915</v>
      </c>
      <c r="K1197" s="8" t="s">
        <v>2777</v>
      </c>
      <c r="L1197" s="10">
        <v>46691</v>
      </c>
      <c r="M1197" s="62">
        <v>1</v>
      </c>
      <c r="N1197" s="8">
        <v>1</v>
      </c>
      <c r="O1197" s="62">
        <f t="shared" si="285"/>
        <v>0</v>
      </c>
      <c r="P1197" s="70" t="s">
        <v>2914</v>
      </c>
      <c r="Q1197" s="71">
        <v>46168</v>
      </c>
      <c r="R1197" s="6">
        <v>46168</v>
      </c>
      <c r="S1197" s="64">
        <v>15592.5</v>
      </c>
      <c r="T1197" s="22">
        <v>5</v>
      </c>
      <c r="U1197" s="64">
        <f t="shared" si="289"/>
        <v>779.625</v>
      </c>
      <c r="V1197" s="22">
        <v>0</v>
      </c>
      <c r="W1197" s="22">
        <v>824117</v>
      </c>
      <c r="X1197" s="62" t="s">
        <v>1591</v>
      </c>
      <c r="Y1197" s="62" t="s">
        <v>1391</v>
      </c>
      <c r="Z1197" s="62" t="s">
        <v>1391</v>
      </c>
      <c r="AA1197" s="65">
        <v>4</v>
      </c>
      <c r="AB1197" s="66"/>
      <c r="AC1197" s="1" t="s">
        <v>1842</v>
      </c>
      <c r="AD1197" s="62" t="str">
        <f>VLOOKUP(X1197,'Customer List'!B:C,2,)</f>
        <v>Noida</v>
      </c>
      <c r="AE1197" s="67"/>
      <c r="AF1197" s="6"/>
      <c r="AG1197" s="62" t="str">
        <f t="shared" si="290"/>
        <v/>
      </c>
      <c r="AH1197" s="62" t="str">
        <f t="shared" si="291"/>
        <v>Tuesday</v>
      </c>
      <c r="AI1197" s="62" t="str">
        <f t="shared" si="292"/>
        <v/>
      </c>
      <c r="AJ1197" s="62" t="str">
        <f>VLOOKUP(AC1197,'Currency Sheet'!A:C,3,)</f>
        <v>DOLLAR</v>
      </c>
      <c r="AK1197" s="62" t="str">
        <f>VLOOKUP(X1197,'Customer List'!B:D,3,)</f>
        <v>Local</v>
      </c>
    </row>
    <row r="1198" spans="1:37" hidden="1" x14ac:dyDescent="0.25">
      <c r="A1198" s="62">
        <f t="shared" si="286"/>
        <v>1182</v>
      </c>
      <c r="B1198" s="62" t="s">
        <v>824</v>
      </c>
      <c r="C1198" s="62" t="s">
        <v>2877</v>
      </c>
      <c r="D1198" s="6"/>
      <c r="E1198" s="6">
        <v>46165</v>
      </c>
      <c r="F1198" s="63">
        <v>70.7</v>
      </c>
      <c r="G1198" s="64">
        <f t="shared" si="287"/>
        <v>6221.6</v>
      </c>
      <c r="H1198" s="64">
        <f t="shared" si="288"/>
        <v>6221.6</v>
      </c>
      <c r="I1198" s="70">
        <v>118207</v>
      </c>
      <c r="J1198" s="62" t="s">
        <v>1482</v>
      </c>
      <c r="K1198" s="8" t="s">
        <v>2778</v>
      </c>
      <c r="L1198" s="10">
        <v>48382</v>
      </c>
      <c r="M1198" s="62">
        <v>1</v>
      </c>
      <c r="N1198" s="8">
        <v>1</v>
      </c>
      <c r="O1198" s="62">
        <f t="shared" si="285"/>
        <v>0</v>
      </c>
      <c r="P1198" s="70" t="s">
        <v>2914</v>
      </c>
      <c r="Q1198" s="71">
        <v>46168</v>
      </c>
      <c r="R1198" s="6">
        <v>46168</v>
      </c>
      <c r="S1198" s="64">
        <v>9544.5</v>
      </c>
      <c r="T1198" s="22">
        <v>5</v>
      </c>
      <c r="U1198" s="64">
        <f t="shared" si="289"/>
        <v>477.22500000000002</v>
      </c>
      <c r="V1198" s="22">
        <v>0</v>
      </c>
      <c r="W1198" s="22">
        <v>824117</v>
      </c>
      <c r="X1198" s="62" t="s">
        <v>1591</v>
      </c>
      <c r="Y1198" s="62" t="s">
        <v>1391</v>
      </c>
      <c r="Z1198" s="62" t="s">
        <v>1391</v>
      </c>
      <c r="AA1198" s="65">
        <v>4</v>
      </c>
      <c r="AB1198" s="66"/>
      <c r="AC1198" s="1" t="s">
        <v>1842</v>
      </c>
      <c r="AD1198" s="62" t="str">
        <f>VLOOKUP(X1198,'Customer List'!B:C,2,)</f>
        <v>Noida</v>
      </c>
      <c r="AE1198" s="67"/>
      <c r="AF1198" s="6"/>
      <c r="AG1198" s="62" t="str">
        <f t="shared" si="290"/>
        <v/>
      </c>
      <c r="AH1198" s="62" t="str">
        <f t="shared" si="291"/>
        <v>Tuesday</v>
      </c>
      <c r="AI1198" s="62" t="str">
        <f t="shared" si="292"/>
        <v/>
      </c>
      <c r="AJ1198" s="62" t="str">
        <f>VLOOKUP(AC1198,'Currency Sheet'!A:C,3,)</f>
        <v>DOLLAR</v>
      </c>
      <c r="AK1198" s="62" t="str">
        <f>VLOOKUP(X1198,'Customer List'!B:D,3,)</f>
        <v>Local</v>
      </c>
    </row>
    <row r="1199" spans="1:37" hidden="1" x14ac:dyDescent="0.25">
      <c r="A1199" s="62">
        <f t="shared" si="286"/>
        <v>1183</v>
      </c>
      <c r="B1199" s="62" t="s">
        <v>824</v>
      </c>
      <c r="C1199" s="62" t="s">
        <v>2877</v>
      </c>
      <c r="D1199" s="6"/>
      <c r="E1199" s="6">
        <v>46165</v>
      </c>
      <c r="F1199" s="63">
        <v>71.400000000000006</v>
      </c>
      <c r="G1199" s="64">
        <f t="shared" si="287"/>
        <v>6283.2000000000007</v>
      </c>
      <c r="H1199" s="64">
        <f t="shared" si="288"/>
        <v>6283.2000000000007</v>
      </c>
      <c r="I1199" s="70">
        <v>118205</v>
      </c>
      <c r="J1199" s="62" t="s">
        <v>1482</v>
      </c>
      <c r="K1199" s="8" t="s">
        <v>1483</v>
      </c>
      <c r="L1199" s="10">
        <v>46853</v>
      </c>
      <c r="M1199" s="62">
        <v>1</v>
      </c>
      <c r="N1199" s="8">
        <v>1</v>
      </c>
      <c r="O1199" s="62">
        <f t="shared" si="285"/>
        <v>0</v>
      </c>
      <c r="P1199" s="70" t="s">
        <v>2914</v>
      </c>
      <c r="Q1199" s="71">
        <v>46168</v>
      </c>
      <c r="R1199" s="6">
        <v>46168</v>
      </c>
      <c r="S1199" s="64">
        <v>9639</v>
      </c>
      <c r="T1199" s="22">
        <v>5</v>
      </c>
      <c r="U1199" s="64">
        <f t="shared" si="289"/>
        <v>481.95000000000005</v>
      </c>
      <c r="V1199" s="22">
        <v>0</v>
      </c>
      <c r="W1199" s="22">
        <v>824117</v>
      </c>
      <c r="X1199" s="62" t="s">
        <v>1591</v>
      </c>
      <c r="Y1199" s="62" t="s">
        <v>1391</v>
      </c>
      <c r="Z1199" s="62" t="s">
        <v>1391</v>
      </c>
      <c r="AA1199" s="65">
        <v>4</v>
      </c>
      <c r="AB1199" s="66"/>
      <c r="AC1199" s="1" t="s">
        <v>1842</v>
      </c>
      <c r="AD1199" s="62" t="str">
        <f>VLOOKUP(X1199,'Customer List'!B:C,2,)</f>
        <v>Noida</v>
      </c>
      <c r="AE1199" s="67"/>
      <c r="AF1199" s="6"/>
      <c r="AG1199" s="62" t="str">
        <f t="shared" si="290"/>
        <v/>
      </c>
      <c r="AH1199" s="62" t="str">
        <f t="shared" si="291"/>
        <v>Saturday</v>
      </c>
      <c r="AI1199" s="62" t="str">
        <f t="shared" si="292"/>
        <v/>
      </c>
      <c r="AJ1199" s="62" t="str">
        <f>VLOOKUP(AC1199,'Currency Sheet'!A:C,3,)</f>
        <v>DOLLAR</v>
      </c>
      <c r="AK1199" s="62" t="str">
        <f>VLOOKUP(X1199,'Customer List'!B:D,3,)</f>
        <v>Local</v>
      </c>
    </row>
    <row r="1200" spans="1:37" hidden="1" x14ac:dyDescent="0.25">
      <c r="A1200" s="62">
        <f t="shared" si="286"/>
        <v>1184</v>
      </c>
      <c r="B1200" s="62" t="s">
        <v>824</v>
      </c>
      <c r="C1200" s="62" t="s">
        <v>2877</v>
      </c>
      <c r="D1200" s="6"/>
      <c r="E1200" s="6">
        <v>46165</v>
      </c>
      <c r="F1200" s="63">
        <v>214.5</v>
      </c>
      <c r="G1200" s="64">
        <f t="shared" si="287"/>
        <v>18876</v>
      </c>
      <c r="H1200" s="64">
        <f t="shared" si="288"/>
        <v>18876</v>
      </c>
      <c r="I1200" s="70">
        <v>124321</v>
      </c>
      <c r="J1200" s="62" t="s">
        <v>2779</v>
      </c>
      <c r="K1200" s="8" t="s">
        <v>2780</v>
      </c>
      <c r="L1200" s="10">
        <v>47148</v>
      </c>
      <c r="M1200" s="62">
        <v>1</v>
      </c>
      <c r="N1200" s="8">
        <v>1</v>
      </c>
      <c r="O1200" s="62">
        <f t="shared" si="285"/>
        <v>0</v>
      </c>
      <c r="P1200" s="70" t="s">
        <v>2914</v>
      </c>
      <c r="Q1200" s="71">
        <v>46168</v>
      </c>
      <c r="R1200" s="6">
        <v>46168</v>
      </c>
      <c r="S1200" s="64">
        <v>27027</v>
      </c>
      <c r="T1200" s="22">
        <v>5</v>
      </c>
      <c r="U1200" s="64">
        <f t="shared" si="289"/>
        <v>1351.3500000000001</v>
      </c>
      <c r="V1200" s="22">
        <v>0</v>
      </c>
      <c r="W1200" s="22">
        <v>824117</v>
      </c>
      <c r="X1200" s="62" t="s">
        <v>1591</v>
      </c>
      <c r="Y1200" s="62" t="s">
        <v>1391</v>
      </c>
      <c r="Z1200" s="62" t="s">
        <v>1391</v>
      </c>
      <c r="AA1200" s="65">
        <v>4</v>
      </c>
      <c r="AB1200" s="66"/>
      <c r="AC1200" s="1" t="s">
        <v>1842</v>
      </c>
      <c r="AD1200" s="62" t="str">
        <f>VLOOKUP(X1200,'Customer List'!B:C,2,)</f>
        <v>Noida</v>
      </c>
      <c r="AE1200" s="67"/>
      <c r="AF1200" s="6"/>
      <c r="AG1200" s="62" t="str">
        <f t="shared" si="290"/>
        <v/>
      </c>
      <c r="AH1200" s="62" t="str">
        <f t="shared" si="291"/>
        <v>Saturday</v>
      </c>
      <c r="AI1200" s="62" t="str">
        <f t="shared" si="292"/>
        <v/>
      </c>
      <c r="AJ1200" s="62" t="str">
        <f>VLOOKUP(AC1200,'Currency Sheet'!A:C,3,)</f>
        <v>DOLLAR</v>
      </c>
      <c r="AK1200" s="62" t="str">
        <f>VLOOKUP(X1200,'Customer List'!B:D,3,)</f>
        <v>Local</v>
      </c>
    </row>
    <row r="1201" spans="1:37" hidden="1" x14ac:dyDescent="0.25">
      <c r="A1201" s="62">
        <f t="shared" si="286"/>
        <v>1185</v>
      </c>
      <c r="B1201" s="62" t="s">
        <v>824</v>
      </c>
      <c r="C1201" s="62" t="s">
        <v>2877</v>
      </c>
      <c r="D1201" s="6"/>
      <c r="E1201" s="6">
        <v>46165</v>
      </c>
      <c r="F1201" s="63">
        <v>95.2</v>
      </c>
      <c r="G1201" s="64">
        <f t="shared" si="287"/>
        <v>8377.6</v>
      </c>
      <c r="H1201" s="64">
        <f t="shared" si="288"/>
        <v>8377.6</v>
      </c>
      <c r="I1201" s="70">
        <v>101823</v>
      </c>
      <c r="J1201" s="62" t="s">
        <v>2781</v>
      </c>
      <c r="K1201" s="8" t="s">
        <v>2782</v>
      </c>
      <c r="L1201" s="10">
        <v>47405</v>
      </c>
      <c r="M1201" s="62">
        <v>1</v>
      </c>
      <c r="N1201" s="8">
        <v>1</v>
      </c>
      <c r="O1201" s="62">
        <f t="shared" ref="O1201:O1264" si="293">M1201-N1201</f>
        <v>0</v>
      </c>
      <c r="P1201" s="70" t="s">
        <v>2914</v>
      </c>
      <c r="Q1201" s="71">
        <v>46168</v>
      </c>
      <c r="R1201" s="6">
        <v>46168</v>
      </c>
      <c r="S1201" s="64">
        <v>12852</v>
      </c>
      <c r="T1201" s="22">
        <v>5</v>
      </c>
      <c r="U1201" s="64">
        <f t="shared" si="289"/>
        <v>642.6</v>
      </c>
      <c r="V1201" s="22">
        <v>0</v>
      </c>
      <c r="W1201" s="22">
        <v>824117</v>
      </c>
      <c r="X1201" s="62" t="s">
        <v>1591</v>
      </c>
      <c r="Y1201" s="62" t="s">
        <v>1391</v>
      </c>
      <c r="Z1201" s="62" t="s">
        <v>1391</v>
      </c>
      <c r="AA1201" s="65">
        <v>4</v>
      </c>
      <c r="AB1201" s="66"/>
      <c r="AC1201" s="1" t="s">
        <v>1842</v>
      </c>
      <c r="AD1201" s="62" t="str">
        <f>VLOOKUP(X1201,'Customer List'!B:C,2,)</f>
        <v>Noida</v>
      </c>
      <c r="AE1201" s="67"/>
      <c r="AF1201" s="6"/>
      <c r="AG1201" s="62" t="str">
        <f t="shared" si="290"/>
        <v/>
      </c>
      <c r="AH1201" s="62" t="str">
        <f t="shared" si="291"/>
        <v>Saturday</v>
      </c>
      <c r="AI1201" s="62" t="str">
        <f t="shared" si="292"/>
        <v/>
      </c>
      <c r="AJ1201" s="62" t="str">
        <f>VLOOKUP(AC1201,'Currency Sheet'!A:C,3,)</f>
        <v>DOLLAR</v>
      </c>
      <c r="AK1201" s="62" t="str">
        <f>VLOOKUP(X1201,'Customer List'!B:D,3,)</f>
        <v>Local</v>
      </c>
    </row>
    <row r="1202" spans="1:37" hidden="1" x14ac:dyDescent="0.25">
      <c r="A1202" s="62">
        <f t="shared" si="286"/>
        <v>1186</v>
      </c>
      <c r="B1202" s="62" t="s">
        <v>824</v>
      </c>
      <c r="C1202" s="62" t="s">
        <v>2877</v>
      </c>
      <c r="D1202" s="6"/>
      <c r="E1202" s="6">
        <v>46165</v>
      </c>
      <c r="F1202" s="63">
        <v>119.7</v>
      </c>
      <c r="G1202" s="64">
        <f t="shared" si="287"/>
        <v>10533.6</v>
      </c>
      <c r="H1202" s="64">
        <f t="shared" si="288"/>
        <v>10533.6</v>
      </c>
      <c r="I1202" s="70">
        <v>127525</v>
      </c>
      <c r="J1202" s="62" t="s">
        <v>2783</v>
      </c>
      <c r="K1202" s="8" t="s">
        <v>2784</v>
      </c>
      <c r="L1202" s="10">
        <v>47448</v>
      </c>
      <c r="M1202" s="62">
        <v>1</v>
      </c>
      <c r="N1202" s="8">
        <v>1</v>
      </c>
      <c r="O1202" s="62">
        <f t="shared" si="293"/>
        <v>0</v>
      </c>
      <c r="P1202" s="70" t="s">
        <v>2914</v>
      </c>
      <c r="Q1202" s="71">
        <v>46168</v>
      </c>
      <c r="R1202" s="6">
        <v>46168</v>
      </c>
      <c r="S1202" s="64">
        <v>16159.5</v>
      </c>
      <c r="T1202" s="22">
        <v>5</v>
      </c>
      <c r="U1202" s="64">
        <f t="shared" si="289"/>
        <v>807.97500000000002</v>
      </c>
      <c r="V1202" s="22">
        <v>0</v>
      </c>
      <c r="W1202" s="22">
        <v>824117</v>
      </c>
      <c r="X1202" s="62" t="s">
        <v>1591</v>
      </c>
      <c r="Y1202" s="62" t="s">
        <v>1391</v>
      </c>
      <c r="Z1202" s="62" t="s">
        <v>1391</v>
      </c>
      <c r="AA1202" s="65">
        <v>4</v>
      </c>
      <c r="AB1202" s="66"/>
      <c r="AC1202" s="1" t="s">
        <v>1842</v>
      </c>
      <c r="AD1202" s="62" t="str">
        <f>VLOOKUP(X1202,'Customer List'!B:C,2,)</f>
        <v>Noida</v>
      </c>
      <c r="AE1202" s="67"/>
      <c r="AF1202" s="6"/>
      <c r="AG1202" s="62" t="str">
        <f t="shared" si="290"/>
        <v/>
      </c>
      <c r="AH1202" s="62" t="str">
        <f t="shared" si="291"/>
        <v>Tuesday</v>
      </c>
      <c r="AI1202" s="62" t="str">
        <f t="shared" si="292"/>
        <v/>
      </c>
      <c r="AJ1202" s="62" t="str">
        <f>VLOOKUP(AC1202,'Currency Sheet'!A:C,3,)</f>
        <v>DOLLAR</v>
      </c>
      <c r="AK1202" s="62" t="str">
        <f>VLOOKUP(X1202,'Customer List'!B:D,3,)</f>
        <v>Local</v>
      </c>
    </row>
    <row r="1203" spans="1:37" hidden="1" x14ac:dyDescent="0.25">
      <c r="A1203" s="62">
        <f t="shared" si="286"/>
        <v>1187</v>
      </c>
      <c r="B1203" s="62" t="s">
        <v>824</v>
      </c>
      <c r="C1203" s="62" t="s">
        <v>2877</v>
      </c>
      <c r="D1203" s="6"/>
      <c r="E1203" s="6">
        <v>46165</v>
      </c>
      <c r="F1203" s="63">
        <v>177.1</v>
      </c>
      <c r="G1203" s="64">
        <f t="shared" si="287"/>
        <v>15584.8</v>
      </c>
      <c r="H1203" s="64">
        <f t="shared" si="288"/>
        <v>15584.8</v>
      </c>
      <c r="I1203" s="70">
        <v>574304</v>
      </c>
      <c r="J1203" s="62" t="s">
        <v>2785</v>
      </c>
      <c r="K1203" s="8" t="s">
        <v>2786</v>
      </c>
      <c r="L1203" s="10">
        <v>46641</v>
      </c>
      <c r="M1203" s="62">
        <v>1</v>
      </c>
      <c r="N1203" s="8">
        <v>1</v>
      </c>
      <c r="O1203" s="62">
        <f t="shared" si="293"/>
        <v>0</v>
      </c>
      <c r="P1203" s="70" t="s">
        <v>2914</v>
      </c>
      <c r="Q1203" s="71">
        <v>46168</v>
      </c>
      <c r="R1203" s="6">
        <v>46168</v>
      </c>
      <c r="S1203" s="64">
        <v>23908.5</v>
      </c>
      <c r="T1203" s="22">
        <v>5</v>
      </c>
      <c r="U1203" s="64">
        <f t="shared" si="289"/>
        <v>1195.425</v>
      </c>
      <c r="V1203" s="22">
        <v>0</v>
      </c>
      <c r="W1203" s="22">
        <v>824117</v>
      </c>
      <c r="X1203" s="62" t="s">
        <v>1591</v>
      </c>
      <c r="Y1203" s="62" t="s">
        <v>1391</v>
      </c>
      <c r="Z1203" s="62" t="s">
        <v>1391</v>
      </c>
      <c r="AA1203" s="65">
        <v>80</v>
      </c>
      <c r="AB1203" s="66"/>
      <c r="AC1203" s="1" t="s">
        <v>1842</v>
      </c>
      <c r="AD1203" s="62" t="str">
        <f>VLOOKUP(X1203,'Customer List'!B:C,2,)</f>
        <v>Noida</v>
      </c>
      <c r="AE1203" s="67"/>
      <c r="AF1203" s="6"/>
      <c r="AG1203" s="62" t="str">
        <f t="shared" si="290"/>
        <v/>
      </c>
      <c r="AH1203" s="62" t="str">
        <f t="shared" si="291"/>
        <v>Tuesday</v>
      </c>
      <c r="AI1203" s="62" t="str">
        <f t="shared" si="292"/>
        <v/>
      </c>
      <c r="AJ1203" s="62" t="str">
        <f>VLOOKUP(AC1203,'Currency Sheet'!A:C,3,)</f>
        <v>DOLLAR</v>
      </c>
      <c r="AK1203" s="62" t="str">
        <f>VLOOKUP(X1203,'Customer List'!B:D,3,)</f>
        <v>Local</v>
      </c>
    </row>
    <row r="1204" spans="1:37" hidden="1" x14ac:dyDescent="0.25">
      <c r="A1204" s="62">
        <f t="shared" si="286"/>
        <v>1188</v>
      </c>
      <c r="B1204" s="62" t="s">
        <v>824</v>
      </c>
      <c r="C1204" s="62" t="s">
        <v>2877</v>
      </c>
      <c r="D1204" s="6"/>
      <c r="E1204" s="6">
        <v>46165</v>
      </c>
      <c r="F1204" s="63">
        <v>78.400000000000006</v>
      </c>
      <c r="G1204" s="64">
        <f t="shared" si="287"/>
        <v>6899.2000000000007</v>
      </c>
      <c r="H1204" s="64">
        <f t="shared" si="288"/>
        <v>6899.2000000000007</v>
      </c>
      <c r="I1204" s="70">
        <v>575304</v>
      </c>
      <c r="J1204" s="62" t="s">
        <v>2787</v>
      </c>
      <c r="K1204" s="8" t="s">
        <v>2788</v>
      </c>
      <c r="L1204" s="10">
        <v>46993</v>
      </c>
      <c r="M1204" s="62">
        <v>1</v>
      </c>
      <c r="N1204" s="8">
        <v>1</v>
      </c>
      <c r="O1204" s="62">
        <f t="shared" si="293"/>
        <v>0</v>
      </c>
      <c r="P1204" s="70" t="s">
        <v>2914</v>
      </c>
      <c r="Q1204" s="71">
        <v>46168</v>
      </c>
      <c r="R1204" s="6">
        <v>46168</v>
      </c>
      <c r="S1204" s="64">
        <v>10584</v>
      </c>
      <c r="T1204" s="22">
        <v>5</v>
      </c>
      <c r="U1204" s="64">
        <f t="shared" si="289"/>
        <v>529.20000000000005</v>
      </c>
      <c r="V1204" s="22">
        <v>0</v>
      </c>
      <c r="W1204" s="22">
        <v>824117</v>
      </c>
      <c r="X1204" s="62" t="s">
        <v>1591</v>
      </c>
      <c r="Y1204" s="62" t="s">
        <v>1391</v>
      </c>
      <c r="Z1204" s="62" t="s">
        <v>1391</v>
      </c>
      <c r="AA1204" s="65">
        <v>80</v>
      </c>
      <c r="AB1204" s="66"/>
      <c r="AC1204" s="1" t="s">
        <v>1842</v>
      </c>
      <c r="AD1204" s="62" t="str">
        <f>VLOOKUP(X1204,'Customer List'!B:C,2,)</f>
        <v>Noida</v>
      </c>
      <c r="AE1204" s="67"/>
      <c r="AF1204" s="6"/>
      <c r="AG1204" s="62" t="str">
        <f t="shared" si="290"/>
        <v/>
      </c>
      <c r="AH1204" s="62" t="str">
        <f t="shared" si="291"/>
        <v>Saturday</v>
      </c>
      <c r="AI1204" s="62" t="str">
        <f t="shared" si="292"/>
        <v/>
      </c>
      <c r="AJ1204" s="62" t="str">
        <f>VLOOKUP(AC1204,'Currency Sheet'!A:C,3,)</f>
        <v>DOLLAR</v>
      </c>
      <c r="AK1204" s="62" t="str">
        <f>VLOOKUP(X1204,'Customer List'!B:D,3,)</f>
        <v>Local</v>
      </c>
    </row>
    <row r="1205" spans="1:37" hidden="1" x14ac:dyDescent="0.25">
      <c r="A1205" s="62">
        <f t="shared" si="286"/>
        <v>1189</v>
      </c>
      <c r="B1205" s="62" t="s">
        <v>824</v>
      </c>
      <c r="C1205" s="62" t="s">
        <v>2877</v>
      </c>
      <c r="D1205" s="6"/>
      <c r="E1205" s="6">
        <v>46165</v>
      </c>
      <c r="F1205" s="63">
        <v>37.799999999999997</v>
      </c>
      <c r="G1205" s="64">
        <f t="shared" si="287"/>
        <v>3326.3999999999996</v>
      </c>
      <c r="H1205" s="64">
        <f t="shared" si="288"/>
        <v>3326.3999999999996</v>
      </c>
      <c r="I1205" s="70">
        <v>420701</v>
      </c>
      <c r="J1205" s="62" t="s">
        <v>2789</v>
      </c>
      <c r="K1205" s="8" t="s">
        <v>2790</v>
      </c>
      <c r="L1205" s="10">
        <v>46687</v>
      </c>
      <c r="M1205" s="62">
        <v>1</v>
      </c>
      <c r="N1205" s="8">
        <v>1</v>
      </c>
      <c r="O1205" s="62">
        <f t="shared" si="293"/>
        <v>0</v>
      </c>
      <c r="P1205" s="70" t="s">
        <v>2914</v>
      </c>
      <c r="Q1205" s="71">
        <v>46168</v>
      </c>
      <c r="R1205" s="6">
        <v>46168</v>
      </c>
      <c r="S1205" s="64">
        <v>5103</v>
      </c>
      <c r="T1205" s="22">
        <v>5</v>
      </c>
      <c r="U1205" s="64">
        <f t="shared" si="289"/>
        <v>255.15</v>
      </c>
      <c r="V1205" s="22">
        <v>0</v>
      </c>
      <c r="W1205" s="22">
        <v>824117</v>
      </c>
      <c r="X1205" s="62" t="s">
        <v>1591</v>
      </c>
      <c r="Y1205" s="62" t="s">
        <v>1391</v>
      </c>
      <c r="Z1205" s="62" t="s">
        <v>1391</v>
      </c>
      <c r="AA1205" s="65">
        <v>4</v>
      </c>
      <c r="AB1205" s="66"/>
      <c r="AC1205" s="1" t="s">
        <v>1842</v>
      </c>
      <c r="AD1205" s="62" t="str">
        <f>VLOOKUP(X1205,'Customer List'!B:C,2,)</f>
        <v>Noida</v>
      </c>
      <c r="AE1205" s="67"/>
      <c r="AF1205" s="6"/>
      <c r="AG1205" s="62" t="str">
        <f t="shared" si="290"/>
        <v/>
      </c>
      <c r="AH1205" s="62" t="str">
        <f t="shared" si="291"/>
        <v>Saturday</v>
      </c>
      <c r="AI1205" s="62" t="str">
        <f t="shared" si="292"/>
        <v/>
      </c>
      <c r="AJ1205" s="62" t="str">
        <f>VLOOKUP(AC1205,'Currency Sheet'!A:C,3,)</f>
        <v>DOLLAR</v>
      </c>
      <c r="AK1205" s="62" t="str">
        <f>VLOOKUP(X1205,'Customer List'!B:D,3,)</f>
        <v>Local</v>
      </c>
    </row>
    <row r="1206" spans="1:37" hidden="1" x14ac:dyDescent="0.25">
      <c r="A1206" s="62">
        <f t="shared" si="286"/>
        <v>1190</v>
      </c>
      <c r="B1206" s="62" t="s">
        <v>824</v>
      </c>
      <c r="C1206" s="62" t="s">
        <v>2877</v>
      </c>
      <c r="D1206" s="6"/>
      <c r="E1206" s="6">
        <v>46165</v>
      </c>
      <c r="F1206" s="63">
        <v>23.1</v>
      </c>
      <c r="G1206" s="64">
        <f t="shared" si="287"/>
        <v>2032.8000000000002</v>
      </c>
      <c r="H1206" s="64">
        <f t="shared" si="288"/>
        <v>2032.8000000000002</v>
      </c>
      <c r="I1206" s="70">
        <v>100235</v>
      </c>
      <c r="J1206" s="62" t="s">
        <v>759</v>
      </c>
      <c r="K1206" s="8" t="s">
        <v>2791</v>
      </c>
      <c r="L1206" s="10">
        <v>47497</v>
      </c>
      <c r="M1206" s="62">
        <v>1</v>
      </c>
      <c r="N1206" s="8">
        <v>1</v>
      </c>
      <c r="O1206" s="62">
        <f t="shared" si="293"/>
        <v>0</v>
      </c>
      <c r="P1206" s="70" t="s">
        <v>2914</v>
      </c>
      <c r="Q1206" s="71">
        <v>46168</v>
      </c>
      <c r="R1206" s="6">
        <v>46168</v>
      </c>
      <c r="S1206" s="64">
        <v>3118.5</v>
      </c>
      <c r="T1206" s="22">
        <v>5</v>
      </c>
      <c r="U1206" s="64">
        <f t="shared" si="289"/>
        <v>155.92500000000001</v>
      </c>
      <c r="V1206" s="22">
        <v>0</v>
      </c>
      <c r="W1206" s="22">
        <v>824117</v>
      </c>
      <c r="X1206" s="62" t="s">
        <v>1591</v>
      </c>
      <c r="Y1206" s="62" t="s">
        <v>1391</v>
      </c>
      <c r="Z1206" s="62" t="s">
        <v>1391</v>
      </c>
      <c r="AA1206" s="65">
        <v>4</v>
      </c>
      <c r="AB1206" s="66"/>
      <c r="AC1206" s="1" t="s">
        <v>1842</v>
      </c>
      <c r="AD1206" s="62" t="str">
        <f>VLOOKUP(X1206,'Customer List'!B:C,2,)</f>
        <v>Noida</v>
      </c>
      <c r="AE1206" s="67"/>
      <c r="AF1206" s="6"/>
      <c r="AG1206" s="62" t="str">
        <f t="shared" si="290"/>
        <v/>
      </c>
      <c r="AH1206" s="62" t="str">
        <f t="shared" si="291"/>
        <v>Tuesday</v>
      </c>
      <c r="AI1206" s="62" t="str">
        <f t="shared" si="292"/>
        <v/>
      </c>
      <c r="AJ1206" s="62" t="str">
        <f>VLOOKUP(AC1206,'Currency Sheet'!A:C,3,)</f>
        <v>DOLLAR</v>
      </c>
      <c r="AK1206" s="62" t="str">
        <f>VLOOKUP(X1206,'Customer List'!B:D,3,)</f>
        <v>Local</v>
      </c>
    </row>
    <row r="1207" spans="1:37" hidden="1" x14ac:dyDescent="0.25">
      <c r="A1207" s="62">
        <f t="shared" si="286"/>
        <v>1191</v>
      </c>
      <c r="B1207" s="62" t="s">
        <v>824</v>
      </c>
      <c r="C1207" s="62" t="s">
        <v>2877</v>
      </c>
      <c r="D1207" s="6"/>
      <c r="E1207" s="6">
        <v>46165</v>
      </c>
      <c r="F1207" s="63">
        <v>226.1</v>
      </c>
      <c r="G1207" s="64">
        <f t="shared" si="287"/>
        <v>19896.8</v>
      </c>
      <c r="H1207" s="64">
        <f t="shared" si="288"/>
        <v>19896.8</v>
      </c>
      <c r="I1207" s="70">
        <v>100434</v>
      </c>
      <c r="J1207" s="62" t="s">
        <v>911</v>
      </c>
      <c r="K1207" s="8" t="s">
        <v>2792</v>
      </c>
      <c r="L1207" s="10">
        <v>47398</v>
      </c>
      <c r="M1207" s="62">
        <v>1</v>
      </c>
      <c r="N1207" s="8">
        <v>1</v>
      </c>
      <c r="O1207" s="62">
        <f t="shared" si="293"/>
        <v>0</v>
      </c>
      <c r="P1207" s="70" t="s">
        <v>2914</v>
      </c>
      <c r="Q1207" s="71">
        <v>46168</v>
      </c>
      <c r="R1207" s="6">
        <v>46168</v>
      </c>
      <c r="S1207" s="64">
        <v>30523.5</v>
      </c>
      <c r="T1207" s="22">
        <v>5</v>
      </c>
      <c r="U1207" s="64">
        <f t="shared" si="289"/>
        <v>1526.1750000000002</v>
      </c>
      <c r="V1207" s="22">
        <v>0</v>
      </c>
      <c r="W1207" s="22">
        <v>824117</v>
      </c>
      <c r="X1207" s="62" t="s">
        <v>1591</v>
      </c>
      <c r="Y1207" s="62" t="s">
        <v>1391</v>
      </c>
      <c r="Z1207" s="62" t="s">
        <v>1391</v>
      </c>
      <c r="AA1207" s="65">
        <v>4</v>
      </c>
      <c r="AB1207" s="66"/>
      <c r="AC1207" s="1" t="s">
        <v>1842</v>
      </c>
      <c r="AD1207" s="62" t="str">
        <f>VLOOKUP(X1207,'Customer List'!B:C,2,)</f>
        <v>Noida</v>
      </c>
      <c r="AE1207" s="67"/>
      <c r="AF1207" s="6"/>
      <c r="AG1207" s="62" t="str">
        <f t="shared" si="290"/>
        <v/>
      </c>
      <c r="AH1207" s="62" t="str">
        <f t="shared" si="291"/>
        <v>Tuesday</v>
      </c>
      <c r="AI1207" s="62" t="str">
        <f t="shared" si="292"/>
        <v/>
      </c>
      <c r="AJ1207" s="62" t="str">
        <f>VLOOKUP(AC1207,'Currency Sheet'!A:C,3,)</f>
        <v>DOLLAR</v>
      </c>
      <c r="AK1207" s="62" t="str">
        <f>VLOOKUP(X1207,'Customer List'!B:D,3,)</f>
        <v>Local</v>
      </c>
    </row>
    <row r="1208" spans="1:37" hidden="1" x14ac:dyDescent="0.25">
      <c r="A1208" s="62">
        <f t="shared" si="286"/>
        <v>1192</v>
      </c>
      <c r="B1208" s="62" t="s">
        <v>824</v>
      </c>
      <c r="C1208" s="62" t="s">
        <v>2877</v>
      </c>
      <c r="D1208" s="6"/>
      <c r="E1208" s="6">
        <v>46165</v>
      </c>
      <c r="F1208" s="63">
        <v>246.75</v>
      </c>
      <c r="G1208" s="64">
        <f t="shared" si="287"/>
        <v>21714</v>
      </c>
      <c r="H1208" s="64">
        <f t="shared" si="288"/>
        <v>21714</v>
      </c>
      <c r="I1208" s="70">
        <v>162321</v>
      </c>
      <c r="J1208" s="62" t="s">
        <v>915</v>
      </c>
      <c r="K1208" s="8" t="s">
        <v>2793</v>
      </c>
      <c r="L1208" s="10">
        <v>47203</v>
      </c>
      <c r="M1208" s="62">
        <v>1</v>
      </c>
      <c r="N1208" s="8">
        <v>1</v>
      </c>
      <c r="O1208" s="62">
        <f t="shared" si="293"/>
        <v>0</v>
      </c>
      <c r="P1208" s="70" t="s">
        <v>2914</v>
      </c>
      <c r="Q1208" s="71">
        <v>46168</v>
      </c>
      <c r="R1208" s="6">
        <v>46168</v>
      </c>
      <c r="S1208" s="64">
        <v>31090.5</v>
      </c>
      <c r="T1208" s="22">
        <v>5</v>
      </c>
      <c r="U1208" s="64">
        <f t="shared" si="289"/>
        <v>1554.5250000000001</v>
      </c>
      <c r="V1208" s="22">
        <v>0</v>
      </c>
      <c r="W1208" s="22">
        <v>824117</v>
      </c>
      <c r="X1208" s="62" t="s">
        <v>1591</v>
      </c>
      <c r="Y1208" s="62" t="s">
        <v>1391</v>
      </c>
      <c r="Z1208" s="62" t="s">
        <v>1391</v>
      </c>
      <c r="AA1208" s="65">
        <v>4</v>
      </c>
      <c r="AB1208" s="66"/>
      <c r="AC1208" s="1" t="s">
        <v>1842</v>
      </c>
      <c r="AD1208" s="62" t="str">
        <f>VLOOKUP(X1208,'Customer List'!B:C,2,)</f>
        <v>Noida</v>
      </c>
      <c r="AE1208" s="67"/>
      <c r="AF1208" s="6"/>
      <c r="AG1208" s="62" t="str">
        <f t="shared" si="290"/>
        <v/>
      </c>
      <c r="AH1208" s="62" t="str">
        <f t="shared" si="291"/>
        <v>Tuesday</v>
      </c>
      <c r="AI1208" s="62" t="str">
        <f t="shared" si="292"/>
        <v/>
      </c>
      <c r="AJ1208" s="62" t="str">
        <f>VLOOKUP(AC1208,'Currency Sheet'!A:C,3,)</f>
        <v>DOLLAR</v>
      </c>
      <c r="AK1208" s="62" t="str">
        <f>VLOOKUP(X1208,'Customer List'!B:D,3,)</f>
        <v>Local</v>
      </c>
    </row>
    <row r="1209" spans="1:37" hidden="1" x14ac:dyDescent="0.25">
      <c r="A1209" s="62">
        <f t="shared" si="286"/>
        <v>1193</v>
      </c>
      <c r="B1209" s="62" t="s">
        <v>824</v>
      </c>
      <c r="C1209" s="62" t="s">
        <v>2877</v>
      </c>
      <c r="D1209" s="6"/>
      <c r="E1209" s="6">
        <v>46165</v>
      </c>
      <c r="F1209" s="63">
        <v>111.3</v>
      </c>
      <c r="G1209" s="64">
        <f t="shared" si="287"/>
        <v>9794.4</v>
      </c>
      <c r="H1209" s="64">
        <f t="shared" si="288"/>
        <v>9794.4</v>
      </c>
      <c r="I1209" s="70">
        <v>102053</v>
      </c>
      <c r="J1209" s="62" t="s">
        <v>919</v>
      </c>
      <c r="K1209" s="8" t="s">
        <v>2794</v>
      </c>
      <c r="L1209" s="10">
        <v>46896</v>
      </c>
      <c r="M1209" s="62">
        <v>1</v>
      </c>
      <c r="N1209" s="8">
        <v>1</v>
      </c>
      <c r="O1209" s="62">
        <f t="shared" si="293"/>
        <v>0</v>
      </c>
      <c r="P1209" s="70" t="s">
        <v>2914</v>
      </c>
      <c r="Q1209" s="71">
        <v>46168</v>
      </c>
      <c r="R1209" s="6">
        <v>46168</v>
      </c>
      <c r="S1209" s="64">
        <v>15025.5</v>
      </c>
      <c r="T1209" s="22">
        <v>5</v>
      </c>
      <c r="U1209" s="64">
        <f t="shared" si="289"/>
        <v>751.27500000000009</v>
      </c>
      <c r="V1209" s="22">
        <v>0</v>
      </c>
      <c r="W1209" s="22">
        <v>824117</v>
      </c>
      <c r="X1209" s="62" t="s">
        <v>1591</v>
      </c>
      <c r="Y1209" s="62" t="s">
        <v>1391</v>
      </c>
      <c r="Z1209" s="62" t="s">
        <v>1391</v>
      </c>
      <c r="AA1209" s="65">
        <v>4</v>
      </c>
      <c r="AB1209" s="66"/>
      <c r="AC1209" s="1" t="s">
        <v>1842</v>
      </c>
      <c r="AD1209" s="62" t="str">
        <f>VLOOKUP(X1209,'Customer List'!B:C,2,)</f>
        <v>Noida</v>
      </c>
      <c r="AE1209" s="67"/>
      <c r="AF1209" s="6"/>
      <c r="AG1209" s="62" t="str">
        <f t="shared" si="290"/>
        <v/>
      </c>
      <c r="AH1209" s="62" t="str">
        <f t="shared" si="291"/>
        <v>Tuesday</v>
      </c>
      <c r="AI1209" s="62" t="str">
        <f t="shared" si="292"/>
        <v/>
      </c>
      <c r="AJ1209" s="62" t="str">
        <f>VLOOKUP(AC1209,'Currency Sheet'!A:C,3,)</f>
        <v>DOLLAR</v>
      </c>
      <c r="AK1209" s="62" t="str">
        <f>VLOOKUP(X1209,'Customer List'!B:D,3,)</f>
        <v>Local</v>
      </c>
    </row>
    <row r="1210" spans="1:37" hidden="1" x14ac:dyDescent="0.25">
      <c r="A1210" s="62">
        <f t="shared" si="286"/>
        <v>1194</v>
      </c>
      <c r="B1210" s="62" t="s">
        <v>824</v>
      </c>
      <c r="C1210" s="62" t="s">
        <v>2877</v>
      </c>
      <c r="D1210" s="6"/>
      <c r="E1210" s="6">
        <v>46165</v>
      </c>
      <c r="F1210" s="63">
        <v>86.8</v>
      </c>
      <c r="G1210" s="64">
        <f t="shared" si="287"/>
        <v>7638.4</v>
      </c>
      <c r="H1210" s="64">
        <f t="shared" si="288"/>
        <v>7638.4</v>
      </c>
      <c r="I1210" s="70">
        <v>135017</v>
      </c>
      <c r="J1210" s="62" t="s">
        <v>2795</v>
      </c>
      <c r="K1210" s="8" t="s">
        <v>2796</v>
      </c>
      <c r="L1210" s="10">
        <v>46567</v>
      </c>
      <c r="M1210" s="62">
        <v>1</v>
      </c>
      <c r="N1210" s="8">
        <v>1</v>
      </c>
      <c r="O1210" s="62">
        <f t="shared" si="293"/>
        <v>0</v>
      </c>
      <c r="P1210" s="70" t="s">
        <v>2914</v>
      </c>
      <c r="Q1210" s="71">
        <v>46168</v>
      </c>
      <c r="R1210" s="6">
        <v>46168</v>
      </c>
      <c r="S1210" s="64">
        <v>11718</v>
      </c>
      <c r="T1210" s="22">
        <v>5</v>
      </c>
      <c r="U1210" s="64">
        <f t="shared" si="289"/>
        <v>585.9</v>
      </c>
      <c r="V1210" s="22">
        <v>0</v>
      </c>
      <c r="W1210" s="22">
        <v>824117</v>
      </c>
      <c r="X1210" s="62" t="s">
        <v>1591</v>
      </c>
      <c r="Y1210" s="62" t="s">
        <v>1391</v>
      </c>
      <c r="Z1210" s="62" t="s">
        <v>1391</v>
      </c>
      <c r="AA1210" s="65">
        <v>4</v>
      </c>
      <c r="AB1210" s="66"/>
      <c r="AC1210" s="1" t="s">
        <v>1842</v>
      </c>
      <c r="AD1210" s="62" t="str">
        <f>VLOOKUP(X1210,'Customer List'!B:C,2,)</f>
        <v>Noida</v>
      </c>
      <c r="AE1210" s="67"/>
      <c r="AF1210" s="6"/>
      <c r="AG1210" s="62" t="str">
        <f t="shared" si="290"/>
        <v/>
      </c>
      <c r="AH1210" s="62" t="str">
        <f t="shared" si="291"/>
        <v>Saturday</v>
      </c>
      <c r="AI1210" s="62" t="str">
        <f t="shared" si="292"/>
        <v/>
      </c>
      <c r="AJ1210" s="62" t="str">
        <f>VLOOKUP(AC1210,'Currency Sheet'!A:C,3,)</f>
        <v>DOLLAR</v>
      </c>
      <c r="AK1210" s="62" t="str">
        <f>VLOOKUP(X1210,'Customer List'!B:D,3,)</f>
        <v>Local</v>
      </c>
    </row>
    <row r="1211" spans="1:37" hidden="1" x14ac:dyDescent="0.25">
      <c r="A1211" s="62">
        <f t="shared" si="286"/>
        <v>1195</v>
      </c>
      <c r="B1211" s="62" t="s">
        <v>824</v>
      </c>
      <c r="C1211" s="62" t="s">
        <v>2877</v>
      </c>
      <c r="D1211" s="6"/>
      <c r="E1211" s="6">
        <v>46165</v>
      </c>
      <c r="F1211" s="63">
        <v>202.5</v>
      </c>
      <c r="G1211" s="64">
        <f t="shared" si="287"/>
        <v>17820</v>
      </c>
      <c r="H1211" s="64">
        <f t="shared" si="288"/>
        <v>17820</v>
      </c>
      <c r="I1211" s="70">
        <v>126331</v>
      </c>
      <c r="J1211" s="62" t="s">
        <v>2797</v>
      </c>
      <c r="K1211" s="8" t="s">
        <v>2798</v>
      </c>
      <c r="L1211" s="10">
        <v>46951</v>
      </c>
      <c r="M1211" s="62">
        <v>1</v>
      </c>
      <c r="N1211" s="8">
        <v>1</v>
      </c>
      <c r="O1211" s="62">
        <f t="shared" si="293"/>
        <v>0</v>
      </c>
      <c r="P1211" s="70" t="s">
        <v>2914</v>
      </c>
      <c r="Q1211" s="71">
        <v>46168</v>
      </c>
      <c r="R1211" s="6">
        <v>46168</v>
      </c>
      <c r="S1211" s="64">
        <v>25515</v>
      </c>
      <c r="T1211" s="22">
        <v>5</v>
      </c>
      <c r="U1211" s="64">
        <f t="shared" si="289"/>
        <v>1275.75</v>
      </c>
      <c r="V1211" s="22">
        <v>0</v>
      </c>
      <c r="W1211" s="22">
        <v>824117</v>
      </c>
      <c r="X1211" s="62" t="s">
        <v>1591</v>
      </c>
      <c r="Y1211" s="62" t="s">
        <v>1391</v>
      </c>
      <c r="Z1211" s="62" t="s">
        <v>1391</v>
      </c>
      <c r="AA1211" s="65">
        <v>4</v>
      </c>
      <c r="AB1211" s="66"/>
      <c r="AC1211" s="1" t="s">
        <v>1842</v>
      </c>
      <c r="AD1211" s="62" t="str">
        <f>VLOOKUP(X1211,'Customer List'!B:C,2,)</f>
        <v>Noida</v>
      </c>
      <c r="AE1211" s="67"/>
      <c r="AF1211" s="6"/>
      <c r="AG1211" s="62" t="str">
        <f t="shared" si="290"/>
        <v/>
      </c>
      <c r="AH1211" s="62" t="str">
        <f t="shared" si="291"/>
        <v>Saturday</v>
      </c>
      <c r="AI1211" s="62" t="str">
        <f t="shared" si="292"/>
        <v/>
      </c>
      <c r="AJ1211" s="62" t="str">
        <f>VLOOKUP(AC1211,'Currency Sheet'!A:C,3,)</f>
        <v>DOLLAR</v>
      </c>
      <c r="AK1211" s="62" t="str">
        <f>VLOOKUP(X1211,'Customer List'!B:D,3,)</f>
        <v>Local</v>
      </c>
    </row>
    <row r="1212" spans="1:37" hidden="1" x14ac:dyDescent="0.25">
      <c r="A1212" s="62">
        <f t="shared" si="286"/>
        <v>1196</v>
      </c>
      <c r="B1212" s="62" t="s">
        <v>824</v>
      </c>
      <c r="C1212" s="62" t="s">
        <v>2877</v>
      </c>
      <c r="D1212" s="6"/>
      <c r="E1212" s="6">
        <v>46165</v>
      </c>
      <c r="F1212" s="63">
        <v>102.9</v>
      </c>
      <c r="G1212" s="64">
        <f t="shared" si="287"/>
        <v>9055.2000000000007</v>
      </c>
      <c r="H1212" s="64">
        <f t="shared" si="288"/>
        <v>9055.2000000000007</v>
      </c>
      <c r="I1212" s="70">
        <v>106313</v>
      </c>
      <c r="J1212" s="62" t="s">
        <v>2799</v>
      </c>
      <c r="K1212" s="8" t="s">
        <v>2800</v>
      </c>
      <c r="L1212" s="10">
        <v>47463</v>
      </c>
      <c r="M1212" s="62">
        <v>1</v>
      </c>
      <c r="N1212" s="8">
        <v>1</v>
      </c>
      <c r="O1212" s="62">
        <f t="shared" si="293"/>
        <v>0</v>
      </c>
      <c r="P1212" s="70" t="s">
        <v>2914</v>
      </c>
      <c r="Q1212" s="71">
        <v>46168</v>
      </c>
      <c r="R1212" s="6">
        <v>46168</v>
      </c>
      <c r="S1212" s="64">
        <v>13891.5</v>
      </c>
      <c r="T1212" s="22">
        <v>5</v>
      </c>
      <c r="U1212" s="64">
        <f t="shared" si="289"/>
        <v>694.57500000000005</v>
      </c>
      <c r="V1212" s="22">
        <v>0</v>
      </c>
      <c r="W1212" s="22">
        <v>824117</v>
      </c>
      <c r="X1212" s="62" t="s">
        <v>1591</v>
      </c>
      <c r="Y1212" s="62" t="s">
        <v>1391</v>
      </c>
      <c r="Z1212" s="62" t="s">
        <v>1391</v>
      </c>
      <c r="AA1212" s="65">
        <v>4</v>
      </c>
      <c r="AB1212" s="66"/>
      <c r="AC1212" s="1" t="s">
        <v>1842</v>
      </c>
      <c r="AD1212" s="62" t="str">
        <f>VLOOKUP(X1212,'Customer List'!B:C,2,)</f>
        <v>Noida</v>
      </c>
      <c r="AE1212" s="67"/>
      <c r="AF1212" s="6"/>
      <c r="AG1212" s="62" t="str">
        <f t="shared" si="290"/>
        <v/>
      </c>
      <c r="AH1212" s="62" t="str">
        <f t="shared" si="291"/>
        <v>Tuesday</v>
      </c>
      <c r="AI1212" s="62" t="str">
        <f t="shared" si="292"/>
        <v/>
      </c>
      <c r="AJ1212" s="62" t="str">
        <f>VLOOKUP(AC1212,'Currency Sheet'!A:C,3,)</f>
        <v>DOLLAR</v>
      </c>
      <c r="AK1212" s="62" t="str">
        <f>VLOOKUP(X1212,'Customer List'!B:D,3,)</f>
        <v>Local</v>
      </c>
    </row>
    <row r="1213" spans="1:37" hidden="1" x14ac:dyDescent="0.25">
      <c r="A1213" s="62">
        <f t="shared" si="286"/>
        <v>1197</v>
      </c>
      <c r="B1213" s="62" t="s">
        <v>824</v>
      </c>
      <c r="C1213" s="62" t="s">
        <v>2877</v>
      </c>
      <c r="D1213" s="6"/>
      <c r="E1213" s="6">
        <v>46165</v>
      </c>
      <c r="F1213" s="63">
        <v>141.4</v>
      </c>
      <c r="G1213" s="64">
        <f t="shared" si="287"/>
        <v>12443.2</v>
      </c>
      <c r="H1213" s="64">
        <f t="shared" si="288"/>
        <v>12443.2</v>
      </c>
      <c r="I1213" s="70">
        <v>126403</v>
      </c>
      <c r="J1213" s="62" t="s">
        <v>1204</v>
      </c>
      <c r="K1213" s="8" t="s">
        <v>1205</v>
      </c>
      <c r="L1213" s="10">
        <v>47812</v>
      </c>
      <c r="M1213" s="62">
        <v>1</v>
      </c>
      <c r="N1213" s="8">
        <v>1</v>
      </c>
      <c r="O1213" s="62">
        <f t="shared" si="293"/>
        <v>0</v>
      </c>
      <c r="P1213" s="70" t="s">
        <v>2914</v>
      </c>
      <c r="Q1213" s="71">
        <v>46168</v>
      </c>
      <c r="R1213" s="6">
        <v>46168</v>
      </c>
      <c r="S1213" s="64">
        <v>19089</v>
      </c>
      <c r="T1213" s="22">
        <v>5</v>
      </c>
      <c r="U1213" s="64">
        <f t="shared" si="289"/>
        <v>954.45</v>
      </c>
      <c r="V1213" s="22">
        <v>0</v>
      </c>
      <c r="W1213" s="22">
        <v>824117</v>
      </c>
      <c r="X1213" s="62" t="s">
        <v>1591</v>
      </c>
      <c r="Y1213" s="62" t="s">
        <v>1391</v>
      </c>
      <c r="Z1213" s="62" t="s">
        <v>1391</v>
      </c>
      <c r="AA1213" s="65">
        <v>4</v>
      </c>
      <c r="AB1213" s="66"/>
      <c r="AC1213" s="1" t="s">
        <v>1842</v>
      </c>
      <c r="AD1213" s="62" t="str">
        <f>VLOOKUP(X1213,'Customer List'!B:C,2,)</f>
        <v>Noida</v>
      </c>
      <c r="AE1213" s="67"/>
      <c r="AF1213" s="6"/>
      <c r="AG1213" s="62" t="str">
        <f t="shared" si="290"/>
        <v/>
      </c>
      <c r="AH1213" s="62" t="str">
        <f t="shared" si="291"/>
        <v>Saturday</v>
      </c>
      <c r="AI1213" s="62" t="str">
        <f t="shared" si="292"/>
        <v/>
      </c>
      <c r="AJ1213" s="62" t="str">
        <f>VLOOKUP(AC1213,'Currency Sheet'!A:C,3,)</f>
        <v>DOLLAR</v>
      </c>
      <c r="AK1213" s="62" t="str">
        <f>VLOOKUP(X1213,'Customer List'!B:D,3,)</f>
        <v>Local</v>
      </c>
    </row>
    <row r="1214" spans="1:37" hidden="1" x14ac:dyDescent="0.25">
      <c r="A1214" s="62">
        <f t="shared" si="286"/>
        <v>1198</v>
      </c>
      <c r="B1214" s="62" t="s">
        <v>824</v>
      </c>
      <c r="C1214" s="62" t="s">
        <v>2877</v>
      </c>
      <c r="D1214" s="6"/>
      <c r="E1214" s="6">
        <v>46165</v>
      </c>
      <c r="F1214" s="63">
        <v>204.75</v>
      </c>
      <c r="G1214" s="64">
        <f t="shared" si="287"/>
        <v>18018</v>
      </c>
      <c r="H1214" s="64">
        <f t="shared" si="288"/>
        <v>18018</v>
      </c>
      <c r="I1214" s="70">
        <v>104440</v>
      </c>
      <c r="J1214" s="62" t="s">
        <v>1187</v>
      </c>
      <c r="K1214" s="8" t="s">
        <v>2801</v>
      </c>
      <c r="L1214" s="10">
        <v>47083</v>
      </c>
      <c r="M1214" s="62">
        <v>1</v>
      </c>
      <c r="N1214" s="8">
        <v>1</v>
      </c>
      <c r="O1214" s="62">
        <f t="shared" si="293"/>
        <v>0</v>
      </c>
      <c r="P1214" s="70" t="s">
        <v>2914</v>
      </c>
      <c r="Q1214" s="71">
        <v>46168</v>
      </c>
      <c r="R1214" s="6">
        <v>46168</v>
      </c>
      <c r="S1214" s="64">
        <v>25798.5</v>
      </c>
      <c r="T1214" s="22">
        <v>5</v>
      </c>
      <c r="U1214" s="64">
        <f t="shared" si="289"/>
        <v>1289.9250000000002</v>
      </c>
      <c r="V1214" s="22">
        <v>0</v>
      </c>
      <c r="W1214" s="22">
        <v>824117</v>
      </c>
      <c r="X1214" s="62" t="s">
        <v>1591</v>
      </c>
      <c r="Y1214" s="62" t="s">
        <v>1391</v>
      </c>
      <c r="Z1214" s="62" t="s">
        <v>1391</v>
      </c>
      <c r="AA1214" s="65">
        <v>4</v>
      </c>
      <c r="AB1214" s="66"/>
      <c r="AC1214" s="1" t="s">
        <v>1842</v>
      </c>
      <c r="AD1214" s="62" t="str">
        <f>VLOOKUP(X1214,'Customer List'!B:C,2,)</f>
        <v>Noida</v>
      </c>
      <c r="AE1214" s="67"/>
      <c r="AF1214" s="6"/>
      <c r="AG1214" s="62" t="str">
        <f t="shared" si="290"/>
        <v/>
      </c>
      <c r="AH1214" s="62" t="str">
        <f t="shared" si="291"/>
        <v>Tuesday</v>
      </c>
      <c r="AI1214" s="62" t="str">
        <f t="shared" si="292"/>
        <v/>
      </c>
      <c r="AJ1214" s="62" t="str">
        <f>VLOOKUP(AC1214,'Currency Sheet'!A:C,3,)</f>
        <v>DOLLAR</v>
      </c>
      <c r="AK1214" s="62" t="str">
        <f>VLOOKUP(X1214,'Customer List'!B:D,3,)</f>
        <v>Local</v>
      </c>
    </row>
    <row r="1215" spans="1:37" hidden="1" x14ac:dyDescent="0.25">
      <c r="A1215" s="62">
        <f t="shared" si="286"/>
        <v>1199</v>
      </c>
      <c r="B1215" s="62" t="s">
        <v>824</v>
      </c>
      <c r="C1215" s="62" t="s">
        <v>2877</v>
      </c>
      <c r="D1215" s="6"/>
      <c r="E1215" s="6">
        <v>46165</v>
      </c>
      <c r="F1215" s="63">
        <v>148.5</v>
      </c>
      <c r="G1215" s="64">
        <f t="shared" si="287"/>
        <v>13068</v>
      </c>
      <c r="H1215" s="64">
        <f t="shared" si="288"/>
        <v>13068</v>
      </c>
      <c r="I1215" s="70">
        <v>104531</v>
      </c>
      <c r="J1215" s="62" t="s">
        <v>924</v>
      </c>
      <c r="K1215" s="8" t="s">
        <v>2802</v>
      </c>
      <c r="L1215" s="10">
        <v>46755</v>
      </c>
      <c r="M1215" s="62">
        <v>1</v>
      </c>
      <c r="N1215" s="8">
        <v>1</v>
      </c>
      <c r="O1215" s="62">
        <f t="shared" si="293"/>
        <v>0</v>
      </c>
      <c r="P1215" s="70" t="s">
        <v>2914</v>
      </c>
      <c r="Q1215" s="71">
        <v>46168</v>
      </c>
      <c r="R1215" s="6">
        <v>46168</v>
      </c>
      <c r="S1215" s="64">
        <v>18711</v>
      </c>
      <c r="T1215" s="22">
        <v>5</v>
      </c>
      <c r="U1215" s="64">
        <f t="shared" si="289"/>
        <v>935.55000000000007</v>
      </c>
      <c r="V1215" s="22">
        <v>0</v>
      </c>
      <c r="W1215" s="22">
        <v>824117</v>
      </c>
      <c r="X1215" s="62" t="s">
        <v>1591</v>
      </c>
      <c r="Y1215" s="62" t="s">
        <v>1391</v>
      </c>
      <c r="Z1215" s="62" t="s">
        <v>1391</v>
      </c>
      <c r="AA1215" s="65">
        <v>4</v>
      </c>
      <c r="AB1215" s="66"/>
      <c r="AC1215" s="1" t="s">
        <v>1842</v>
      </c>
      <c r="AD1215" s="62" t="str">
        <f>VLOOKUP(X1215,'Customer List'!B:C,2,)</f>
        <v>Noida</v>
      </c>
      <c r="AE1215" s="67"/>
      <c r="AF1215" s="6"/>
      <c r="AG1215" s="62" t="str">
        <f t="shared" si="290"/>
        <v/>
      </c>
      <c r="AH1215" s="62" t="str">
        <f t="shared" si="291"/>
        <v>Saturday</v>
      </c>
      <c r="AI1215" s="62" t="str">
        <f t="shared" si="292"/>
        <v/>
      </c>
      <c r="AJ1215" s="62" t="str">
        <f>VLOOKUP(AC1215,'Currency Sheet'!A:C,3,)</f>
        <v>DOLLAR</v>
      </c>
      <c r="AK1215" s="62" t="str">
        <f>VLOOKUP(X1215,'Customer List'!B:D,3,)</f>
        <v>Local</v>
      </c>
    </row>
    <row r="1216" spans="1:37" hidden="1" x14ac:dyDescent="0.25">
      <c r="A1216" s="62">
        <f t="shared" si="286"/>
        <v>1200</v>
      </c>
      <c r="B1216" s="62" t="s">
        <v>824</v>
      </c>
      <c r="C1216" s="62" t="s">
        <v>2877</v>
      </c>
      <c r="D1216" s="6"/>
      <c r="E1216" s="6">
        <v>46165</v>
      </c>
      <c r="F1216" s="63">
        <v>177.1</v>
      </c>
      <c r="G1216" s="64">
        <f t="shared" si="287"/>
        <v>15584.8</v>
      </c>
      <c r="H1216" s="64">
        <f t="shared" si="288"/>
        <v>15584.8</v>
      </c>
      <c r="I1216" s="70">
        <v>103054</v>
      </c>
      <c r="J1216" s="62" t="s">
        <v>2803</v>
      </c>
      <c r="K1216" s="8" t="s">
        <v>2804</v>
      </c>
      <c r="L1216" s="10">
        <v>46981</v>
      </c>
      <c r="M1216" s="62">
        <v>1</v>
      </c>
      <c r="N1216" s="8">
        <v>1</v>
      </c>
      <c r="O1216" s="62">
        <f t="shared" si="293"/>
        <v>0</v>
      </c>
      <c r="P1216" s="70" t="s">
        <v>2914</v>
      </c>
      <c r="Q1216" s="71">
        <v>46168</v>
      </c>
      <c r="R1216" s="6">
        <v>46168</v>
      </c>
      <c r="S1216" s="64">
        <v>23908.5</v>
      </c>
      <c r="T1216" s="22">
        <v>5</v>
      </c>
      <c r="U1216" s="64">
        <f t="shared" si="289"/>
        <v>1195.425</v>
      </c>
      <c r="V1216" s="22">
        <v>0</v>
      </c>
      <c r="W1216" s="22">
        <v>824117</v>
      </c>
      <c r="X1216" s="62" t="s">
        <v>1591</v>
      </c>
      <c r="Y1216" s="62" t="s">
        <v>1391</v>
      </c>
      <c r="Z1216" s="62" t="s">
        <v>1391</v>
      </c>
      <c r="AA1216" s="65">
        <v>4</v>
      </c>
      <c r="AB1216" s="66"/>
      <c r="AC1216" s="1" t="s">
        <v>1842</v>
      </c>
      <c r="AD1216" s="62" t="str">
        <f>VLOOKUP(X1216,'Customer List'!B:C,2,)</f>
        <v>Noida</v>
      </c>
      <c r="AE1216" s="67"/>
      <c r="AF1216" s="6"/>
      <c r="AG1216" s="62" t="str">
        <f t="shared" si="290"/>
        <v/>
      </c>
      <c r="AH1216" s="62" t="str">
        <f t="shared" si="291"/>
        <v>Tuesday</v>
      </c>
      <c r="AI1216" s="62" t="str">
        <f t="shared" si="292"/>
        <v/>
      </c>
      <c r="AJ1216" s="62" t="str">
        <f>VLOOKUP(AC1216,'Currency Sheet'!A:C,3,)</f>
        <v>DOLLAR</v>
      </c>
      <c r="AK1216" s="62" t="str">
        <f>VLOOKUP(X1216,'Customer List'!B:D,3,)</f>
        <v>Local</v>
      </c>
    </row>
    <row r="1217" spans="1:37" hidden="1" x14ac:dyDescent="0.25">
      <c r="A1217" s="62">
        <f t="shared" si="286"/>
        <v>1201</v>
      </c>
      <c r="B1217" s="62" t="s">
        <v>824</v>
      </c>
      <c r="C1217" s="62" t="s">
        <v>2877</v>
      </c>
      <c r="D1217" s="6"/>
      <c r="E1217" s="6">
        <v>46165</v>
      </c>
      <c r="F1217" s="63">
        <v>156.75</v>
      </c>
      <c r="G1217" s="64">
        <f t="shared" si="287"/>
        <v>13794</v>
      </c>
      <c r="H1217" s="64">
        <f t="shared" si="288"/>
        <v>13794</v>
      </c>
      <c r="I1217" s="70">
        <v>100741</v>
      </c>
      <c r="J1217" s="62" t="s">
        <v>915</v>
      </c>
      <c r="K1217" s="8" t="s">
        <v>2805</v>
      </c>
      <c r="L1217" s="10">
        <v>46868</v>
      </c>
      <c r="M1217" s="62">
        <v>1</v>
      </c>
      <c r="N1217" s="8">
        <v>1</v>
      </c>
      <c r="O1217" s="62">
        <f t="shared" si="293"/>
        <v>0</v>
      </c>
      <c r="P1217" s="70" t="s">
        <v>2914</v>
      </c>
      <c r="Q1217" s="71">
        <v>46168</v>
      </c>
      <c r="R1217" s="6">
        <v>46168</v>
      </c>
      <c r="S1217" s="64">
        <v>19750.5</v>
      </c>
      <c r="T1217" s="22">
        <v>5</v>
      </c>
      <c r="U1217" s="64">
        <f t="shared" si="289"/>
        <v>987.52500000000009</v>
      </c>
      <c r="V1217" s="22">
        <v>0</v>
      </c>
      <c r="W1217" s="22">
        <v>824117</v>
      </c>
      <c r="X1217" s="62" t="s">
        <v>1591</v>
      </c>
      <c r="Y1217" s="62" t="s">
        <v>1391</v>
      </c>
      <c r="Z1217" s="62" t="s">
        <v>1391</v>
      </c>
      <c r="AA1217" s="65">
        <v>4</v>
      </c>
      <c r="AB1217" s="66"/>
      <c r="AC1217" s="1" t="s">
        <v>1842</v>
      </c>
      <c r="AD1217" s="62" t="str">
        <f>VLOOKUP(X1217,'Customer List'!B:C,2,)</f>
        <v>Noida</v>
      </c>
      <c r="AE1217" s="67"/>
      <c r="AF1217" s="6"/>
      <c r="AG1217" s="62" t="str">
        <f t="shared" si="290"/>
        <v/>
      </c>
      <c r="AH1217" s="62" t="str">
        <f t="shared" si="291"/>
        <v>Tuesday</v>
      </c>
      <c r="AI1217" s="62" t="str">
        <f t="shared" si="292"/>
        <v/>
      </c>
      <c r="AJ1217" s="62" t="str">
        <f>VLOOKUP(AC1217,'Currency Sheet'!A:C,3,)</f>
        <v>DOLLAR</v>
      </c>
      <c r="AK1217" s="62" t="str">
        <f>VLOOKUP(X1217,'Customer List'!B:D,3,)</f>
        <v>Local</v>
      </c>
    </row>
    <row r="1218" spans="1:37" hidden="1" x14ac:dyDescent="0.25">
      <c r="A1218" s="62">
        <f t="shared" ref="A1218:A1277" si="294">A1217+1</f>
        <v>1202</v>
      </c>
      <c r="B1218" s="62" t="s">
        <v>824</v>
      </c>
      <c r="C1218" s="62" t="s">
        <v>2877</v>
      </c>
      <c r="D1218" s="6"/>
      <c r="E1218" s="6">
        <v>46165</v>
      </c>
      <c r="F1218" s="63">
        <v>156.75</v>
      </c>
      <c r="G1218" s="64">
        <f t="shared" si="287"/>
        <v>13794</v>
      </c>
      <c r="H1218" s="64">
        <f t="shared" si="288"/>
        <v>13794</v>
      </c>
      <c r="I1218" s="70">
        <v>100747</v>
      </c>
      <c r="J1218" s="62" t="s">
        <v>915</v>
      </c>
      <c r="K1218" s="8" t="s">
        <v>1678</v>
      </c>
      <c r="L1218" s="10">
        <v>46969</v>
      </c>
      <c r="M1218" s="62">
        <v>1</v>
      </c>
      <c r="N1218" s="8">
        <v>1</v>
      </c>
      <c r="O1218" s="62">
        <f t="shared" si="293"/>
        <v>0</v>
      </c>
      <c r="P1218" s="70" t="s">
        <v>2914</v>
      </c>
      <c r="Q1218" s="71">
        <v>46168</v>
      </c>
      <c r="R1218" s="6">
        <v>46168</v>
      </c>
      <c r="S1218" s="64">
        <v>19750.5</v>
      </c>
      <c r="T1218" s="22">
        <v>5</v>
      </c>
      <c r="U1218" s="64">
        <f t="shared" si="289"/>
        <v>987.52500000000009</v>
      </c>
      <c r="V1218" s="22">
        <v>0</v>
      </c>
      <c r="W1218" s="22">
        <v>824117</v>
      </c>
      <c r="X1218" s="62" t="s">
        <v>1591</v>
      </c>
      <c r="Y1218" s="62" t="s">
        <v>1391</v>
      </c>
      <c r="Z1218" s="62" t="s">
        <v>1391</v>
      </c>
      <c r="AA1218" s="65">
        <v>4</v>
      </c>
      <c r="AB1218" s="66"/>
      <c r="AC1218" s="1" t="s">
        <v>1842</v>
      </c>
      <c r="AD1218" s="62" t="str">
        <f>VLOOKUP(X1218,'Customer List'!B:C,2,)</f>
        <v>Noida</v>
      </c>
      <c r="AE1218" s="67"/>
      <c r="AF1218" s="6"/>
      <c r="AG1218" s="62" t="str">
        <f t="shared" si="290"/>
        <v/>
      </c>
      <c r="AH1218" s="62" t="str">
        <f t="shared" si="291"/>
        <v>Tuesday</v>
      </c>
      <c r="AI1218" s="62" t="str">
        <f t="shared" si="292"/>
        <v/>
      </c>
      <c r="AJ1218" s="62" t="str">
        <f>VLOOKUP(AC1218,'Currency Sheet'!A:C,3,)</f>
        <v>DOLLAR</v>
      </c>
      <c r="AK1218" s="62" t="str">
        <f>VLOOKUP(X1218,'Customer List'!B:D,3,)</f>
        <v>Local</v>
      </c>
    </row>
    <row r="1219" spans="1:37" hidden="1" x14ac:dyDescent="0.25">
      <c r="A1219" s="62">
        <f t="shared" si="294"/>
        <v>1203</v>
      </c>
      <c r="B1219" s="62" t="s">
        <v>824</v>
      </c>
      <c r="C1219" s="62" t="s">
        <v>2877</v>
      </c>
      <c r="D1219" s="6"/>
      <c r="E1219" s="6">
        <v>46165</v>
      </c>
      <c r="F1219" s="63">
        <v>123.75</v>
      </c>
      <c r="G1219" s="64">
        <f t="shared" si="287"/>
        <v>10890</v>
      </c>
      <c r="H1219" s="64">
        <f t="shared" si="288"/>
        <v>10890</v>
      </c>
      <c r="I1219" s="70">
        <v>100437</v>
      </c>
      <c r="J1219" s="62" t="s">
        <v>911</v>
      </c>
      <c r="K1219" s="8" t="s">
        <v>2806</v>
      </c>
      <c r="L1219" s="10">
        <v>46958</v>
      </c>
      <c r="M1219" s="62">
        <v>1</v>
      </c>
      <c r="N1219" s="8">
        <v>1</v>
      </c>
      <c r="O1219" s="62">
        <f t="shared" si="293"/>
        <v>0</v>
      </c>
      <c r="P1219" s="70" t="s">
        <v>2914</v>
      </c>
      <c r="Q1219" s="71">
        <v>46168</v>
      </c>
      <c r="R1219" s="6">
        <v>46168</v>
      </c>
      <c r="S1219" s="64">
        <v>15592.5</v>
      </c>
      <c r="T1219" s="22">
        <v>5</v>
      </c>
      <c r="U1219" s="64">
        <f t="shared" si="289"/>
        <v>779.625</v>
      </c>
      <c r="V1219" s="22">
        <v>0</v>
      </c>
      <c r="W1219" s="22">
        <v>824117</v>
      </c>
      <c r="X1219" s="62" t="s">
        <v>1591</v>
      </c>
      <c r="Y1219" s="62" t="s">
        <v>1391</v>
      </c>
      <c r="Z1219" s="62" t="s">
        <v>1391</v>
      </c>
      <c r="AA1219" s="65">
        <v>4</v>
      </c>
      <c r="AB1219" s="66"/>
      <c r="AC1219" s="1" t="s">
        <v>1842</v>
      </c>
      <c r="AD1219" s="62" t="str">
        <f>VLOOKUP(X1219,'Customer List'!B:C,2,)</f>
        <v>Noida</v>
      </c>
      <c r="AE1219" s="67"/>
      <c r="AF1219" s="6"/>
      <c r="AG1219" s="62" t="str">
        <f t="shared" si="290"/>
        <v/>
      </c>
      <c r="AH1219" s="62" t="str">
        <f t="shared" si="291"/>
        <v>Tuesday</v>
      </c>
      <c r="AI1219" s="62" t="str">
        <f t="shared" si="292"/>
        <v/>
      </c>
      <c r="AJ1219" s="62" t="str">
        <f>VLOOKUP(AC1219,'Currency Sheet'!A:C,3,)</f>
        <v>DOLLAR</v>
      </c>
      <c r="AK1219" s="62" t="str">
        <f>VLOOKUP(X1219,'Customer List'!B:D,3,)</f>
        <v>Local</v>
      </c>
    </row>
    <row r="1220" spans="1:37" hidden="1" x14ac:dyDescent="0.25">
      <c r="A1220" s="62">
        <f t="shared" si="294"/>
        <v>1204</v>
      </c>
      <c r="B1220" s="62" t="s">
        <v>824</v>
      </c>
      <c r="C1220" s="62" t="s">
        <v>2877</v>
      </c>
      <c r="D1220" s="6"/>
      <c r="E1220" s="6">
        <v>46165</v>
      </c>
      <c r="F1220" s="63">
        <v>204.75</v>
      </c>
      <c r="G1220" s="64">
        <f t="shared" si="287"/>
        <v>18018</v>
      </c>
      <c r="H1220" s="64">
        <f t="shared" si="288"/>
        <v>18018</v>
      </c>
      <c r="I1220" s="70">
        <v>100453</v>
      </c>
      <c r="J1220" s="62" t="s">
        <v>911</v>
      </c>
      <c r="K1220" s="8" t="s">
        <v>2807</v>
      </c>
      <c r="L1220" s="10">
        <v>46831</v>
      </c>
      <c r="M1220" s="62">
        <v>1</v>
      </c>
      <c r="N1220" s="8">
        <v>1</v>
      </c>
      <c r="O1220" s="62">
        <f t="shared" si="293"/>
        <v>0</v>
      </c>
      <c r="P1220" s="70" t="s">
        <v>2914</v>
      </c>
      <c r="Q1220" s="71">
        <v>46168</v>
      </c>
      <c r="R1220" s="6">
        <v>46168</v>
      </c>
      <c r="S1220" s="64">
        <v>25798.5</v>
      </c>
      <c r="T1220" s="22">
        <v>5</v>
      </c>
      <c r="U1220" s="64">
        <f t="shared" si="289"/>
        <v>1289.9250000000002</v>
      </c>
      <c r="V1220" s="22">
        <v>0</v>
      </c>
      <c r="W1220" s="22">
        <v>824117</v>
      </c>
      <c r="X1220" s="62" t="s">
        <v>1591</v>
      </c>
      <c r="Y1220" s="62" t="s">
        <v>1391</v>
      </c>
      <c r="Z1220" s="62" t="s">
        <v>1391</v>
      </c>
      <c r="AA1220" s="65">
        <v>4</v>
      </c>
      <c r="AB1220" s="66"/>
      <c r="AC1220" s="1" t="s">
        <v>1842</v>
      </c>
      <c r="AD1220" s="62" t="str">
        <f>VLOOKUP(X1220,'Customer List'!B:C,2,)</f>
        <v>Noida</v>
      </c>
      <c r="AE1220" s="67"/>
      <c r="AF1220" s="6"/>
      <c r="AG1220" s="62" t="str">
        <f t="shared" si="290"/>
        <v/>
      </c>
      <c r="AH1220" s="62" t="str">
        <f t="shared" si="291"/>
        <v>Tuesday</v>
      </c>
      <c r="AI1220" s="62" t="str">
        <f t="shared" si="292"/>
        <v/>
      </c>
      <c r="AJ1220" s="62" t="str">
        <f>VLOOKUP(AC1220,'Currency Sheet'!A:C,3,)</f>
        <v>DOLLAR</v>
      </c>
      <c r="AK1220" s="62" t="str">
        <f>VLOOKUP(X1220,'Customer List'!B:D,3,)</f>
        <v>Local</v>
      </c>
    </row>
    <row r="1221" spans="1:37" hidden="1" x14ac:dyDescent="0.25">
      <c r="A1221" s="62">
        <f t="shared" si="294"/>
        <v>1205</v>
      </c>
      <c r="B1221" s="62" t="s">
        <v>824</v>
      </c>
      <c r="C1221" s="62" t="s">
        <v>2877</v>
      </c>
      <c r="D1221" s="6"/>
      <c r="E1221" s="6">
        <v>46165</v>
      </c>
      <c r="F1221" s="63">
        <v>69.3</v>
      </c>
      <c r="G1221" s="64">
        <f t="shared" si="287"/>
        <v>6098.4</v>
      </c>
      <c r="H1221" s="64">
        <f t="shared" si="288"/>
        <v>6098.4</v>
      </c>
      <c r="I1221" s="70">
        <v>100406</v>
      </c>
      <c r="J1221" s="62" t="s">
        <v>911</v>
      </c>
      <c r="K1221" s="8" t="s">
        <v>2808</v>
      </c>
      <c r="L1221" s="10">
        <v>48353</v>
      </c>
      <c r="M1221" s="62">
        <v>1</v>
      </c>
      <c r="N1221" s="8">
        <v>1</v>
      </c>
      <c r="O1221" s="62">
        <f t="shared" si="293"/>
        <v>0</v>
      </c>
      <c r="P1221" s="70" t="s">
        <v>2914</v>
      </c>
      <c r="Q1221" s="71">
        <v>46168</v>
      </c>
      <c r="R1221" s="6">
        <v>46168</v>
      </c>
      <c r="S1221" s="64">
        <v>9355.5</v>
      </c>
      <c r="T1221" s="22">
        <v>5</v>
      </c>
      <c r="U1221" s="64">
        <f t="shared" si="289"/>
        <v>467.77500000000003</v>
      </c>
      <c r="V1221" s="22">
        <v>0</v>
      </c>
      <c r="W1221" s="22">
        <v>824117</v>
      </c>
      <c r="X1221" s="62" t="s">
        <v>1591</v>
      </c>
      <c r="Y1221" s="62" t="s">
        <v>1391</v>
      </c>
      <c r="Z1221" s="62" t="s">
        <v>1391</v>
      </c>
      <c r="AA1221" s="65">
        <v>4</v>
      </c>
      <c r="AB1221" s="66"/>
      <c r="AC1221" s="1" t="s">
        <v>1842</v>
      </c>
      <c r="AD1221" s="62" t="str">
        <f>VLOOKUP(X1221,'Customer List'!B:C,2,)</f>
        <v>Noida</v>
      </c>
      <c r="AE1221" s="67"/>
      <c r="AF1221" s="6"/>
      <c r="AG1221" s="62" t="str">
        <f t="shared" si="290"/>
        <v/>
      </c>
      <c r="AH1221" s="62" t="str">
        <f t="shared" si="291"/>
        <v>Tuesday</v>
      </c>
      <c r="AI1221" s="62" t="str">
        <f t="shared" si="292"/>
        <v/>
      </c>
      <c r="AJ1221" s="62" t="str">
        <f>VLOOKUP(AC1221,'Currency Sheet'!A:C,3,)</f>
        <v>DOLLAR</v>
      </c>
      <c r="AK1221" s="62" t="str">
        <f>VLOOKUP(X1221,'Customer List'!B:D,3,)</f>
        <v>Local</v>
      </c>
    </row>
    <row r="1222" spans="1:37" hidden="1" x14ac:dyDescent="0.25">
      <c r="A1222" s="62">
        <f t="shared" si="294"/>
        <v>1206</v>
      </c>
      <c r="B1222" s="62" t="s">
        <v>824</v>
      </c>
      <c r="C1222" s="62" t="s">
        <v>2877</v>
      </c>
      <c r="D1222" s="6"/>
      <c r="E1222" s="6">
        <v>46165</v>
      </c>
      <c r="F1222" s="63">
        <v>86.8</v>
      </c>
      <c r="G1222" s="64">
        <f t="shared" si="287"/>
        <v>7638.4</v>
      </c>
      <c r="H1222" s="64">
        <f t="shared" si="288"/>
        <v>7638.4</v>
      </c>
      <c r="I1222" s="70">
        <v>141413</v>
      </c>
      <c r="J1222" s="62" t="s">
        <v>936</v>
      </c>
      <c r="K1222" s="8" t="s">
        <v>2809</v>
      </c>
      <c r="L1222" s="10">
        <v>47955</v>
      </c>
      <c r="M1222" s="62">
        <v>1</v>
      </c>
      <c r="N1222" s="8">
        <v>1</v>
      </c>
      <c r="O1222" s="62">
        <f t="shared" si="293"/>
        <v>0</v>
      </c>
      <c r="P1222" s="70" t="s">
        <v>2914</v>
      </c>
      <c r="Q1222" s="71">
        <v>46168</v>
      </c>
      <c r="R1222" s="6">
        <v>46168</v>
      </c>
      <c r="S1222" s="64">
        <v>11718</v>
      </c>
      <c r="T1222" s="22">
        <v>5</v>
      </c>
      <c r="U1222" s="64">
        <f t="shared" si="289"/>
        <v>585.9</v>
      </c>
      <c r="V1222" s="22">
        <v>0</v>
      </c>
      <c r="W1222" s="22">
        <v>824117</v>
      </c>
      <c r="X1222" s="62" t="s">
        <v>1591</v>
      </c>
      <c r="Y1222" s="62" t="s">
        <v>1391</v>
      </c>
      <c r="Z1222" s="62" t="s">
        <v>1391</v>
      </c>
      <c r="AA1222" s="65">
        <v>4</v>
      </c>
      <c r="AB1222" s="66"/>
      <c r="AC1222" s="1" t="s">
        <v>1842</v>
      </c>
      <c r="AD1222" s="62" t="str">
        <f>VLOOKUP(X1222,'Customer List'!B:C,2,)</f>
        <v>Noida</v>
      </c>
      <c r="AE1222" s="67"/>
      <c r="AF1222" s="6"/>
      <c r="AG1222" s="62" t="str">
        <f t="shared" si="290"/>
        <v/>
      </c>
      <c r="AH1222" s="62" t="str">
        <f t="shared" si="291"/>
        <v>Saturday</v>
      </c>
      <c r="AI1222" s="62" t="str">
        <f t="shared" si="292"/>
        <v/>
      </c>
      <c r="AJ1222" s="62" t="str">
        <f>VLOOKUP(AC1222,'Currency Sheet'!A:C,3,)</f>
        <v>DOLLAR</v>
      </c>
      <c r="AK1222" s="62" t="str">
        <f>VLOOKUP(X1222,'Customer List'!B:D,3,)</f>
        <v>Local</v>
      </c>
    </row>
    <row r="1223" spans="1:37" hidden="1" x14ac:dyDescent="0.25">
      <c r="A1223" s="62">
        <f t="shared" si="294"/>
        <v>1207</v>
      </c>
      <c r="B1223" s="62" t="s">
        <v>824</v>
      </c>
      <c r="C1223" s="62" t="s">
        <v>2877</v>
      </c>
      <c r="D1223" s="6"/>
      <c r="E1223" s="6">
        <v>46165</v>
      </c>
      <c r="F1223" s="63">
        <v>58.8</v>
      </c>
      <c r="G1223" s="64">
        <f t="shared" si="287"/>
        <v>5174.3999999999996</v>
      </c>
      <c r="H1223" s="64">
        <f t="shared" si="288"/>
        <v>5174.3999999999996</v>
      </c>
      <c r="I1223" s="70">
        <v>505007</v>
      </c>
      <c r="J1223" s="62" t="s">
        <v>2718</v>
      </c>
      <c r="K1223" s="8" t="s">
        <v>2810</v>
      </c>
      <c r="L1223" s="10">
        <v>47605</v>
      </c>
      <c r="M1223" s="62">
        <v>1</v>
      </c>
      <c r="N1223" s="8">
        <v>1</v>
      </c>
      <c r="O1223" s="62">
        <f t="shared" si="293"/>
        <v>0</v>
      </c>
      <c r="P1223" s="70" t="s">
        <v>2914</v>
      </c>
      <c r="Q1223" s="71">
        <v>46168</v>
      </c>
      <c r="R1223" s="6">
        <v>46168</v>
      </c>
      <c r="S1223" s="64">
        <v>7938</v>
      </c>
      <c r="T1223" s="22">
        <v>5</v>
      </c>
      <c r="U1223" s="64">
        <f t="shared" si="289"/>
        <v>396.90000000000003</v>
      </c>
      <c r="V1223" s="22">
        <v>0</v>
      </c>
      <c r="W1223" s="22">
        <v>824117</v>
      </c>
      <c r="X1223" s="62" t="s">
        <v>1591</v>
      </c>
      <c r="Y1223" s="62" t="s">
        <v>1391</v>
      </c>
      <c r="Z1223" s="62" t="s">
        <v>1391</v>
      </c>
      <c r="AA1223" s="65">
        <v>4</v>
      </c>
      <c r="AB1223" s="66"/>
      <c r="AC1223" s="1" t="s">
        <v>1842</v>
      </c>
      <c r="AD1223" s="62" t="str">
        <f>VLOOKUP(X1223,'Customer List'!B:C,2,)</f>
        <v>Noida</v>
      </c>
      <c r="AE1223" s="67"/>
      <c r="AF1223" s="6"/>
      <c r="AG1223" s="62" t="str">
        <f t="shared" si="290"/>
        <v/>
      </c>
      <c r="AH1223" s="62" t="str">
        <f t="shared" si="291"/>
        <v>Saturday</v>
      </c>
      <c r="AI1223" s="62" t="str">
        <f t="shared" si="292"/>
        <v/>
      </c>
      <c r="AJ1223" s="62" t="str">
        <f>VLOOKUP(AC1223,'Currency Sheet'!A:C,3,)</f>
        <v>DOLLAR</v>
      </c>
      <c r="AK1223" s="62" t="str">
        <f>VLOOKUP(X1223,'Customer List'!B:D,3,)</f>
        <v>Local</v>
      </c>
    </row>
    <row r="1224" spans="1:37" hidden="1" x14ac:dyDescent="0.25">
      <c r="A1224" s="62">
        <f t="shared" si="294"/>
        <v>1208</v>
      </c>
      <c r="B1224" s="62" t="s">
        <v>824</v>
      </c>
      <c r="C1224" s="62" t="s">
        <v>2877</v>
      </c>
      <c r="D1224" s="6"/>
      <c r="E1224" s="6">
        <v>46165</v>
      </c>
      <c r="F1224" s="63">
        <v>362.25</v>
      </c>
      <c r="G1224" s="64">
        <f t="shared" si="287"/>
        <v>31878</v>
      </c>
      <c r="H1224" s="64">
        <f t="shared" si="288"/>
        <v>31878</v>
      </c>
      <c r="I1224" s="70">
        <v>480006</v>
      </c>
      <c r="J1224" s="62" t="s">
        <v>1063</v>
      </c>
      <c r="K1224" s="8" t="s">
        <v>1810</v>
      </c>
      <c r="L1224" s="10">
        <v>46561</v>
      </c>
      <c r="M1224" s="62">
        <v>1</v>
      </c>
      <c r="N1224" s="8">
        <v>1</v>
      </c>
      <c r="O1224" s="62">
        <f t="shared" si="293"/>
        <v>0</v>
      </c>
      <c r="P1224" s="70" t="s">
        <v>2914</v>
      </c>
      <c r="Q1224" s="71">
        <v>46168</v>
      </c>
      <c r="R1224" s="6">
        <v>46168</v>
      </c>
      <c r="S1224" s="64">
        <v>45643.5</v>
      </c>
      <c r="T1224" s="22">
        <v>5</v>
      </c>
      <c r="U1224" s="64">
        <f t="shared" si="289"/>
        <v>2282.1750000000002</v>
      </c>
      <c r="V1224" s="22">
        <v>0</v>
      </c>
      <c r="W1224" s="22">
        <v>824117</v>
      </c>
      <c r="X1224" s="62" t="s">
        <v>1591</v>
      </c>
      <c r="Y1224" s="62" t="s">
        <v>1391</v>
      </c>
      <c r="Z1224" s="62" t="s">
        <v>1391</v>
      </c>
      <c r="AA1224" s="65">
        <v>4</v>
      </c>
      <c r="AB1224" s="66"/>
      <c r="AC1224" s="1" t="s">
        <v>1842</v>
      </c>
      <c r="AD1224" s="62" t="str">
        <f>VLOOKUP(X1224,'Customer List'!B:C,2,)</f>
        <v>Noida</v>
      </c>
      <c r="AE1224" s="67"/>
      <c r="AF1224" s="6"/>
      <c r="AG1224" s="62" t="str">
        <f t="shared" si="290"/>
        <v/>
      </c>
      <c r="AH1224" s="62" t="str">
        <f t="shared" si="291"/>
        <v>Tuesday</v>
      </c>
      <c r="AI1224" s="62" t="str">
        <f t="shared" si="292"/>
        <v/>
      </c>
      <c r="AJ1224" s="62" t="str">
        <f>VLOOKUP(AC1224,'Currency Sheet'!A:C,3,)</f>
        <v>DOLLAR</v>
      </c>
      <c r="AK1224" s="62" t="str">
        <f>VLOOKUP(X1224,'Customer List'!B:D,3,)</f>
        <v>Local</v>
      </c>
    </row>
    <row r="1225" spans="1:37" hidden="1" x14ac:dyDescent="0.25">
      <c r="A1225" s="62">
        <f t="shared" si="294"/>
        <v>1209</v>
      </c>
      <c r="B1225" s="62" t="s">
        <v>824</v>
      </c>
      <c r="C1225" s="62" t="s">
        <v>2877</v>
      </c>
      <c r="D1225" s="6"/>
      <c r="E1225" s="6">
        <v>46165</v>
      </c>
      <c r="F1225" s="63">
        <v>152.6</v>
      </c>
      <c r="G1225" s="64">
        <f t="shared" si="287"/>
        <v>13428.8</v>
      </c>
      <c r="H1225" s="64">
        <f t="shared" si="288"/>
        <v>13428.8</v>
      </c>
      <c r="I1225" s="70">
        <v>581902</v>
      </c>
      <c r="J1225" s="62" t="s">
        <v>2811</v>
      </c>
      <c r="K1225" s="8" t="s">
        <v>2812</v>
      </c>
      <c r="L1225" s="10">
        <v>46637</v>
      </c>
      <c r="M1225" s="62">
        <v>1</v>
      </c>
      <c r="N1225" s="8">
        <v>1</v>
      </c>
      <c r="O1225" s="62">
        <f t="shared" si="293"/>
        <v>0</v>
      </c>
      <c r="P1225" s="70" t="s">
        <v>2914</v>
      </c>
      <c r="Q1225" s="71">
        <v>46168</v>
      </c>
      <c r="R1225" s="6">
        <v>46168</v>
      </c>
      <c r="S1225" s="64">
        <v>20601</v>
      </c>
      <c r="T1225" s="22">
        <v>5</v>
      </c>
      <c r="U1225" s="64">
        <f t="shared" si="289"/>
        <v>1030.05</v>
      </c>
      <c r="V1225" s="22">
        <v>0</v>
      </c>
      <c r="W1225" s="22">
        <v>824117</v>
      </c>
      <c r="X1225" s="62" t="s">
        <v>1591</v>
      </c>
      <c r="Y1225" s="62" t="s">
        <v>1391</v>
      </c>
      <c r="Z1225" s="62" t="s">
        <v>1391</v>
      </c>
      <c r="AA1225" s="65">
        <v>80</v>
      </c>
      <c r="AB1225" s="66"/>
      <c r="AC1225" s="1" t="s">
        <v>1842</v>
      </c>
      <c r="AD1225" s="62" t="str">
        <f>VLOOKUP(X1225,'Customer List'!B:C,2,)</f>
        <v>Noida</v>
      </c>
      <c r="AE1225" s="67"/>
      <c r="AF1225" s="6"/>
      <c r="AG1225" s="62" t="str">
        <f t="shared" si="290"/>
        <v/>
      </c>
      <c r="AH1225" s="62" t="str">
        <f t="shared" si="291"/>
        <v>Saturday</v>
      </c>
      <c r="AI1225" s="62" t="str">
        <f t="shared" si="292"/>
        <v/>
      </c>
      <c r="AJ1225" s="62" t="str">
        <f>VLOOKUP(AC1225,'Currency Sheet'!A:C,3,)</f>
        <v>DOLLAR</v>
      </c>
      <c r="AK1225" s="62" t="str">
        <f>VLOOKUP(X1225,'Customer List'!B:D,3,)</f>
        <v>Local</v>
      </c>
    </row>
    <row r="1226" spans="1:37" hidden="1" x14ac:dyDescent="0.25">
      <c r="A1226" s="62">
        <f t="shared" si="294"/>
        <v>1210</v>
      </c>
      <c r="B1226" s="62" t="s">
        <v>824</v>
      </c>
      <c r="C1226" s="62" t="s">
        <v>2877</v>
      </c>
      <c r="D1226" s="6"/>
      <c r="E1226" s="6">
        <v>46165</v>
      </c>
      <c r="F1226" s="63">
        <v>160.30000000000001</v>
      </c>
      <c r="G1226" s="64">
        <f t="shared" si="287"/>
        <v>14106.400000000001</v>
      </c>
      <c r="H1226" s="64">
        <f t="shared" si="288"/>
        <v>14106.400000000001</v>
      </c>
      <c r="I1226" s="70">
        <v>570302</v>
      </c>
      <c r="J1226" s="62" t="s">
        <v>2813</v>
      </c>
      <c r="K1226" s="8" t="s">
        <v>2814</v>
      </c>
      <c r="L1226" s="10">
        <v>46463</v>
      </c>
      <c r="M1226" s="62">
        <v>1</v>
      </c>
      <c r="N1226" s="8">
        <v>1</v>
      </c>
      <c r="O1226" s="62">
        <f t="shared" si="293"/>
        <v>0</v>
      </c>
      <c r="P1226" s="70" t="s">
        <v>2914</v>
      </c>
      <c r="Q1226" s="71">
        <v>46168</v>
      </c>
      <c r="R1226" s="6">
        <v>46168</v>
      </c>
      <c r="S1226" s="64">
        <v>21640.5</v>
      </c>
      <c r="T1226" s="22">
        <v>5</v>
      </c>
      <c r="U1226" s="64">
        <f t="shared" si="289"/>
        <v>1082.0250000000001</v>
      </c>
      <c r="V1226" s="22">
        <v>0</v>
      </c>
      <c r="W1226" s="22">
        <v>824117</v>
      </c>
      <c r="X1226" s="62" t="s">
        <v>1591</v>
      </c>
      <c r="Y1226" s="62" t="s">
        <v>1391</v>
      </c>
      <c r="Z1226" s="62" t="s">
        <v>1391</v>
      </c>
      <c r="AA1226" s="65">
        <v>80</v>
      </c>
      <c r="AB1226" s="66"/>
      <c r="AC1226" s="1" t="s">
        <v>1842</v>
      </c>
      <c r="AD1226" s="62" t="str">
        <f>VLOOKUP(X1226,'Customer List'!B:C,2,)</f>
        <v>Noida</v>
      </c>
      <c r="AE1226" s="67"/>
      <c r="AF1226" s="6"/>
      <c r="AG1226" s="62" t="str">
        <f t="shared" si="290"/>
        <v/>
      </c>
      <c r="AH1226" s="62" t="str">
        <f t="shared" si="291"/>
        <v>Tuesday</v>
      </c>
      <c r="AI1226" s="62" t="str">
        <f t="shared" si="292"/>
        <v/>
      </c>
      <c r="AJ1226" s="62" t="str">
        <f>VLOOKUP(AC1226,'Currency Sheet'!A:C,3,)</f>
        <v>DOLLAR</v>
      </c>
      <c r="AK1226" s="62" t="str">
        <f>VLOOKUP(X1226,'Customer List'!B:D,3,)</f>
        <v>Local</v>
      </c>
    </row>
    <row r="1227" spans="1:37" hidden="1" x14ac:dyDescent="0.25">
      <c r="A1227" s="62">
        <f t="shared" si="294"/>
        <v>1211</v>
      </c>
      <c r="B1227" s="62" t="s">
        <v>824</v>
      </c>
      <c r="C1227" s="62" t="s">
        <v>2877</v>
      </c>
      <c r="D1227" s="6"/>
      <c r="E1227" s="6">
        <v>46165</v>
      </c>
      <c r="F1227" s="63">
        <v>102.9</v>
      </c>
      <c r="G1227" s="64">
        <f t="shared" si="287"/>
        <v>9055.2000000000007</v>
      </c>
      <c r="H1227" s="64">
        <f t="shared" si="288"/>
        <v>9055.2000000000007</v>
      </c>
      <c r="I1227" s="70">
        <v>589102</v>
      </c>
      <c r="J1227" s="62" t="s">
        <v>2815</v>
      </c>
      <c r="K1227" s="8" t="s">
        <v>2816</v>
      </c>
      <c r="L1227" s="10">
        <v>47170</v>
      </c>
      <c r="M1227" s="62">
        <v>1</v>
      </c>
      <c r="N1227" s="8">
        <v>1</v>
      </c>
      <c r="O1227" s="62">
        <f t="shared" si="293"/>
        <v>0</v>
      </c>
      <c r="P1227" s="70" t="s">
        <v>2914</v>
      </c>
      <c r="Q1227" s="71">
        <v>46168</v>
      </c>
      <c r="R1227" s="6">
        <v>46168</v>
      </c>
      <c r="S1227" s="64">
        <v>13891.5</v>
      </c>
      <c r="T1227" s="22">
        <v>5</v>
      </c>
      <c r="U1227" s="64">
        <f t="shared" si="289"/>
        <v>694.57500000000005</v>
      </c>
      <c r="V1227" s="22">
        <v>0</v>
      </c>
      <c r="W1227" s="22">
        <v>824117</v>
      </c>
      <c r="X1227" s="62" t="s">
        <v>1591</v>
      </c>
      <c r="Y1227" s="62" t="s">
        <v>1391</v>
      </c>
      <c r="Z1227" s="62" t="s">
        <v>1391</v>
      </c>
      <c r="AA1227" s="65">
        <v>80</v>
      </c>
      <c r="AB1227" s="66"/>
      <c r="AC1227" s="1" t="s">
        <v>1842</v>
      </c>
      <c r="AD1227" s="62" t="str">
        <f>VLOOKUP(X1227,'Customer List'!B:C,2,)</f>
        <v>Noida</v>
      </c>
      <c r="AE1227" s="67"/>
      <c r="AF1227" s="6"/>
      <c r="AG1227" s="62" t="str">
        <f t="shared" si="290"/>
        <v/>
      </c>
      <c r="AH1227" s="62" t="str">
        <f t="shared" si="291"/>
        <v>Tuesday</v>
      </c>
      <c r="AI1227" s="62" t="str">
        <f t="shared" si="292"/>
        <v/>
      </c>
      <c r="AJ1227" s="62" t="str">
        <f>VLOOKUP(AC1227,'Currency Sheet'!A:C,3,)</f>
        <v>DOLLAR</v>
      </c>
      <c r="AK1227" s="62" t="str">
        <f>VLOOKUP(X1227,'Customer List'!B:D,3,)</f>
        <v>Local</v>
      </c>
    </row>
    <row r="1228" spans="1:37" hidden="1" x14ac:dyDescent="0.25">
      <c r="A1228" s="62">
        <f t="shared" si="294"/>
        <v>1212</v>
      </c>
      <c r="B1228" s="62" t="s">
        <v>824</v>
      </c>
      <c r="C1228" s="62" t="s">
        <v>2877</v>
      </c>
      <c r="D1228" s="6"/>
      <c r="E1228" s="6">
        <v>46165</v>
      </c>
      <c r="F1228" s="63">
        <v>78.400000000000006</v>
      </c>
      <c r="G1228" s="64">
        <f t="shared" si="287"/>
        <v>6899.2000000000007</v>
      </c>
      <c r="H1228" s="64">
        <f t="shared" si="288"/>
        <v>6899.2000000000007</v>
      </c>
      <c r="I1228" s="70">
        <v>301402</v>
      </c>
      <c r="J1228" s="62" t="s">
        <v>2817</v>
      </c>
      <c r="K1228" s="8" t="s">
        <v>2818</v>
      </c>
      <c r="L1228" s="10">
        <v>48497</v>
      </c>
      <c r="M1228" s="62">
        <v>1</v>
      </c>
      <c r="N1228" s="8">
        <v>1</v>
      </c>
      <c r="O1228" s="62">
        <f t="shared" si="293"/>
        <v>0</v>
      </c>
      <c r="P1228" s="70" t="s">
        <v>2918</v>
      </c>
      <c r="Q1228" s="71">
        <v>46168</v>
      </c>
      <c r="R1228" s="6">
        <v>46168</v>
      </c>
      <c r="S1228" s="64">
        <v>0</v>
      </c>
      <c r="T1228" s="22">
        <v>5</v>
      </c>
      <c r="U1228" s="64">
        <f t="shared" si="289"/>
        <v>0</v>
      </c>
      <c r="V1228" s="22">
        <v>0</v>
      </c>
      <c r="W1228" s="22">
        <v>0</v>
      </c>
      <c r="X1228" s="62" t="s">
        <v>792</v>
      </c>
      <c r="Y1228" s="62" t="s">
        <v>1120</v>
      </c>
      <c r="Z1228" s="62" t="s">
        <v>1863</v>
      </c>
      <c r="AA1228" s="65">
        <v>4</v>
      </c>
      <c r="AB1228" s="66" t="s">
        <v>2919</v>
      </c>
      <c r="AC1228" s="1" t="s">
        <v>1842</v>
      </c>
      <c r="AD1228" s="62" t="str">
        <f>VLOOKUP(X1228,'Customer List'!B:C,2,)</f>
        <v>Delhi</v>
      </c>
      <c r="AE1228" s="67"/>
      <c r="AF1228" s="6"/>
      <c r="AG1228" s="62" t="str">
        <f t="shared" si="290"/>
        <v/>
      </c>
      <c r="AH1228" s="62" t="str">
        <f t="shared" si="291"/>
        <v>Saturday</v>
      </c>
      <c r="AI1228" s="62" t="str">
        <f t="shared" si="292"/>
        <v/>
      </c>
      <c r="AJ1228" s="62" t="str">
        <f>VLOOKUP(AC1228,'Currency Sheet'!A:C,3,)</f>
        <v>DOLLAR</v>
      </c>
      <c r="AK1228" s="62" t="str">
        <f>VLOOKUP(X1228,'Customer List'!B:D,3,)</f>
        <v>Local</v>
      </c>
    </row>
    <row r="1229" spans="1:37" hidden="1" x14ac:dyDescent="0.25">
      <c r="A1229" s="62">
        <f t="shared" si="294"/>
        <v>1213</v>
      </c>
      <c r="B1229" s="62" t="s">
        <v>824</v>
      </c>
      <c r="C1229" s="62" t="s">
        <v>2877</v>
      </c>
      <c r="D1229" s="6"/>
      <c r="E1229" s="6">
        <v>46165</v>
      </c>
      <c r="F1229" s="63">
        <v>30.8</v>
      </c>
      <c r="G1229" s="64">
        <f t="shared" si="287"/>
        <v>2710.4</v>
      </c>
      <c r="H1229" s="64">
        <f t="shared" si="288"/>
        <v>2710.4</v>
      </c>
      <c r="I1229" s="70">
        <v>301309</v>
      </c>
      <c r="J1229" s="62" t="s">
        <v>1512</v>
      </c>
      <c r="K1229" s="8" t="s">
        <v>2819</v>
      </c>
      <c r="L1229" s="10">
        <v>47471</v>
      </c>
      <c r="M1229" s="62">
        <v>1</v>
      </c>
      <c r="N1229" s="8">
        <v>1</v>
      </c>
      <c r="O1229" s="62">
        <f t="shared" si="293"/>
        <v>0</v>
      </c>
      <c r="P1229" s="70">
        <v>370</v>
      </c>
      <c r="Q1229" s="71">
        <v>46167</v>
      </c>
      <c r="R1229" s="6">
        <v>46167</v>
      </c>
      <c r="S1229" s="64">
        <v>4433</v>
      </c>
      <c r="T1229" s="22">
        <v>5</v>
      </c>
      <c r="U1229" s="64">
        <f t="shared" si="289"/>
        <v>221.65</v>
      </c>
      <c r="V1229" s="22">
        <v>0.14000000000000001</v>
      </c>
      <c r="W1229" s="22">
        <v>41892</v>
      </c>
      <c r="X1229" s="62" t="s">
        <v>94</v>
      </c>
      <c r="Y1229" s="62" t="s">
        <v>1120</v>
      </c>
      <c r="Z1229" s="62" t="s">
        <v>1863</v>
      </c>
      <c r="AA1229" s="65">
        <v>4</v>
      </c>
      <c r="AB1229" s="66"/>
      <c r="AC1229" s="1" t="s">
        <v>1842</v>
      </c>
      <c r="AD1229" s="62" t="str">
        <f>VLOOKUP(X1229,'Customer List'!B:C,2,)</f>
        <v>Delhi</v>
      </c>
      <c r="AE1229" s="67"/>
      <c r="AF1229" s="6"/>
      <c r="AG1229" s="62" t="str">
        <f t="shared" si="290"/>
        <v/>
      </c>
      <c r="AH1229" s="62" t="str">
        <f t="shared" si="291"/>
        <v>Monday</v>
      </c>
      <c r="AI1229" s="62" t="str">
        <f t="shared" si="292"/>
        <v/>
      </c>
      <c r="AJ1229" s="62" t="str">
        <f>VLOOKUP(AC1229,'Currency Sheet'!A:C,3,)</f>
        <v>DOLLAR</v>
      </c>
      <c r="AK1229" s="62" t="str">
        <f>VLOOKUP(X1229,'Customer List'!B:D,3,)</f>
        <v>Local</v>
      </c>
    </row>
    <row r="1230" spans="1:37" hidden="1" x14ac:dyDescent="0.25">
      <c r="A1230" s="62">
        <f t="shared" si="294"/>
        <v>1214</v>
      </c>
      <c r="B1230" s="62" t="s">
        <v>824</v>
      </c>
      <c r="C1230" s="62" t="s">
        <v>2877</v>
      </c>
      <c r="D1230" s="6"/>
      <c r="E1230" s="6">
        <v>46165</v>
      </c>
      <c r="F1230" s="63">
        <v>98.7</v>
      </c>
      <c r="G1230" s="64">
        <f t="shared" si="287"/>
        <v>8685.6</v>
      </c>
      <c r="H1230" s="64">
        <f t="shared" si="288"/>
        <v>8685.6</v>
      </c>
      <c r="I1230" s="70">
        <v>333617</v>
      </c>
      <c r="J1230" s="62" t="s">
        <v>2820</v>
      </c>
      <c r="K1230" s="8" t="s">
        <v>2821</v>
      </c>
      <c r="L1230" s="10">
        <v>47363</v>
      </c>
      <c r="M1230" s="62">
        <v>1</v>
      </c>
      <c r="N1230" s="8">
        <v>1</v>
      </c>
      <c r="O1230" s="62">
        <f t="shared" si="293"/>
        <v>0</v>
      </c>
      <c r="P1230" s="70">
        <v>370</v>
      </c>
      <c r="Q1230" s="71">
        <v>46167</v>
      </c>
      <c r="R1230" s="6">
        <v>46167</v>
      </c>
      <c r="S1230" s="64">
        <v>14205.75</v>
      </c>
      <c r="T1230" s="22">
        <v>5</v>
      </c>
      <c r="U1230" s="64">
        <f t="shared" si="289"/>
        <v>710.28750000000002</v>
      </c>
      <c r="V1230" s="22">
        <v>0</v>
      </c>
      <c r="W1230" s="22">
        <v>41892</v>
      </c>
      <c r="X1230" s="62" t="s">
        <v>94</v>
      </c>
      <c r="Y1230" s="62" t="s">
        <v>1120</v>
      </c>
      <c r="Z1230" s="62" t="s">
        <v>1863</v>
      </c>
      <c r="AA1230" s="65">
        <v>4</v>
      </c>
      <c r="AB1230" s="66"/>
      <c r="AC1230" s="1" t="s">
        <v>1842</v>
      </c>
      <c r="AD1230" s="62" t="str">
        <f>VLOOKUP(X1230,'Customer List'!B:C,2,)</f>
        <v>Delhi</v>
      </c>
      <c r="AE1230" s="67"/>
      <c r="AF1230" s="6"/>
      <c r="AG1230" s="62" t="str">
        <f t="shared" si="290"/>
        <v/>
      </c>
      <c r="AH1230" s="62" t="str">
        <f t="shared" si="291"/>
        <v>Monday</v>
      </c>
      <c r="AI1230" s="62" t="str">
        <f t="shared" si="292"/>
        <v/>
      </c>
      <c r="AJ1230" s="62" t="str">
        <f>VLOOKUP(AC1230,'Currency Sheet'!A:C,3,)</f>
        <v>DOLLAR</v>
      </c>
      <c r="AK1230" s="62" t="str">
        <f>VLOOKUP(X1230,'Customer List'!B:D,3,)</f>
        <v>Local</v>
      </c>
    </row>
    <row r="1231" spans="1:37" hidden="1" x14ac:dyDescent="0.25">
      <c r="A1231" s="62">
        <f t="shared" si="294"/>
        <v>1215</v>
      </c>
      <c r="B1231" s="62" t="s">
        <v>824</v>
      </c>
      <c r="C1231" s="62" t="s">
        <v>2877</v>
      </c>
      <c r="D1231" s="6"/>
      <c r="E1231" s="6">
        <v>46165</v>
      </c>
      <c r="F1231" s="63">
        <v>85.4</v>
      </c>
      <c r="G1231" s="64">
        <f t="shared" si="287"/>
        <v>7515.2000000000007</v>
      </c>
      <c r="H1231" s="64">
        <f t="shared" si="288"/>
        <v>7515.2000000000007</v>
      </c>
      <c r="I1231" s="70">
        <v>327007</v>
      </c>
      <c r="J1231" s="62" t="s">
        <v>752</v>
      </c>
      <c r="K1231" s="8" t="s">
        <v>2822</v>
      </c>
      <c r="L1231" s="10">
        <v>47884</v>
      </c>
      <c r="M1231" s="62">
        <v>1</v>
      </c>
      <c r="N1231" s="8">
        <v>1</v>
      </c>
      <c r="O1231" s="62">
        <f t="shared" si="293"/>
        <v>0</v>
      </c>
      <c r="P1231" s="70">
        <v>370</v>
      </c>
      <c r="Q1231" s="71">
        <v>46167</v>
      </c>
      <c r="R1231" s="6">
        <v>46167</v>
      </c>
      <c r="S1231" s="64">
        <v>12291.5</v>
      </c>
      <c r="T1231" s="22">
        <v>5</v>
      </c>
      <c r="U1231" s="64">
        <f t="shared" si="289"/>
        <v>614.57500000000005</v>
      </c>
      <c r="V1231" s="22">
        <v>0</v>
      </c>
      <c r="W1231" s="22">
        <v>41892</v>
      </c>
      <c r="X1231" s="62" t="s">
        <v>94</v>
      </c>
      <c r="Y1231" s="62" t="s">
        <v>1120</v>
      </c>
      <c r="Z1231" s="62" t="s">
        <v>1863</v>
      </c>
      <c r="AA1231" s="65">
        <v>4</v>
      </c>
      <c r="AB1231" s="66"/>
      <c r="AC1231" s="1" t="s">
        <v>1842</v>
      </c>
      <c r="AD1231" s="62" t="str">
        <f>VLOOKUP(X1231,'Customer List'!B:C,2,)</f>
        <v>Delhi</v>
      </c>
      <c r="AE1231" s="67"/>
      <c r="AF1231" s="6"/>
      <c r="AG1231" s="62" t="str">
        <f t="shared" si="290"/>
        <v/>
      </c>
      <c r="AH1231" s="62" t="str">
        <f t="shared" si="291"/>
        <v>Friday</v>
      </c>
      <c r="AI1231" s="62" t="str">
        <f t="shared" si="292"/>
        <v/>
      </c>
      <c r="AJ1231" s="62" t="str">
        <f>VLOOKUP(AC1231,'Currency Sheet'!A:C,3,)</f>
        <v>DOLLAR</v>
      </c>
      <c r="AK1231" s="62" t="str">
        <f>VLOOKUP(X1231,'Customer List'!B:D,3,)</f>
        <v>Local</v>
      </c>
    </row>
    <row r="1232" spans="1:37" hidden="1" x14ac:dyDescent="0.25">
      <c r="A1232" s="62">
        <f t="shared" si="294"/>
        <v>1216</v>
      </c>
      <c r="B1232" s="62" t="s">
        <v>824</v>
      </c>
      <c r="C1232" s="62" t="s">
        <v>2877</v>
      </c>
      <c r="D1232" s="6"/>
      <c r="E1232" s="6">
        <v>46165</v>
      </c>
      <c r="F1232" s="63">
        <v>62.3</v>
      </c>
      <c r="G1232" s="64">
        <f t="shared" ref="G1232:G1270" si="295">IF(AJ1232="DOLLAR",F1232*88,F1232)</f>
        <v>5482.4</v>
      </c>
      <c r="H1232" s="64">
        <f t="shared" ref="H1232:H1270" si="296">G1232*M1232</f>
        <v>5482.4</v>
      </c>
      <c r="I1232" s="70">
        <v>367115</v>
      </c>
      <c r="J1232" s="62" t="s">
        <v>745</v>
      </c>
      <c r="K1232" s="8" t="s">
        <v>2823</v>
      </c>
      <c r="L1232" s="10">
        <v>47086</v>
      </c>
      <c r="M1232" s="62">
        <v>1</v>
      </c>
      <c r="N1232" s="8">
        <v>1</v>
      </c>
      <c r="O1232" s="62">
        <f t="shared" si="293"/>
        <v>0</v>
      </c>
      <c r="P1232" s="70">
        <v>370</v>
      </c>
      <c r="Q1232" s="71">
        <v>46167</v>
      </c>
      <c r="R1232" s="6">
        <v>46167</v>
      </c>
      <c r="S1232" s="64">
        <v>8966.75</v>
      </c>
      <c r="T1232" s="22">
        <v>5</v>
      </c>
      <c r="U1232" s="64">
        <f t="shared" ref="U1232:U1266" si="297">S1232*T1232%</f>
        <v>448.33750000000003</v>
      </c>
      <c r="V1232" s="22">
        <v>0</v>
      </c>
      <c r="W1232" s="22">
        <v>41892</v>
      </c>
      <c r="X1232" s="62" t="s">
        <v>94</v>
      </c>
      <c r="Y1232" s="62" t="s">
        <v>1120</v>
      </c>
      <c r="Z1232" s="62" t="s">
        <v>1863</v>
      </c>
      <c r="AA1232" s="65">
        <v>4</v>
      </c>
      <c r="AB1232" s="66"/>
      <c r="AC1232" s="1" t="s">
        <v>1842</v>
      </c>
      <c r="AD1232" s="62" t="str">
        <f>VLOOKUP(X1232,'Customer List'!B:C,2,)</f>
        <v>Delhi</v>
      </c>
      <c r="AE1232" s="67"/>
      <c r="AF1232" s="6"/>
      <c r="AG1232" s="62" t="str">
        <f t="shared" ref="AG1232:AG1266" si="298">IF(AF1232="", "", AF1232-R1232)</f>
        <v/>
      </c>
      <c r="AH1232" s="62" t="str">
        <f t="shared" ref="AH1232:AH1266" si="299">IF(S1232="", "", TEXT(S1232, "dddd"))</f>
        <v>Friday</v>
      </c>
      <c r="AI1232" s="62" t="str">
        <f t="shared" ref="AI1232:AI1266" si="300">IF(AF1232="", "", TEXT(AF1232, "dddd"))</f>
        <v/>
      </c>
      <c r="AJ1232" s="62" t="str">
        <f>VLOOKUP(AC1232,'Currency Sheet'!A:C,3,)</f>
        <v>DOLLAR</v>
      </c>
      <c r="AK1232" s="62" t="str">
        <f>VLOOKUP(X1232,'Customer List'!B:D,3,)</f>
        <v>Local</v>
      </c>
    </row>
    <row r="1233" spans="1:37" hidden="1" x14ac:dyDescent="0.25">
      <c r="A1233" s="62">
        <f t="shared" si="294"/>
        <v>1217</v>
      </c>
      <c r="B1233" s="62" t="s">
        <v>824</v>
      </c>
      <c r="C1233" s="62" t="s">
        <v>2877</v>
      </c>
      <c r="D1233" s="6"/>
      <c r="E1233" s="6">
        <v>46165</v>
      </c>
      <c r="F1233" s="63">
        <v>144.19999999999999</v>
      </c>
      <c r="G1233" s="64">
        <f t="shared" si="295"/>
        <v>12689.599999999999</v>
      </c>
      <c r="H1233" s="64">
        <f t="shared" si="296"/>
        <v>12689.599999999999</v>
      </c>
      <c r="I1233" s="70">
        <v>574804</v>
      </c>
      <c r="J1233" s="62" t="s">
        <v>2824</v>
      </c>
      <c r="K1233" s="8" t="s">
        <v>2825</v>
      </c>
      <c r="L1233" s="10">
        <v>46890</v>
      </c>
      <c r="M1233" s="62">
        <v>1</v>
      </c>
      <c r="N1233" s="8">
        <v>1</v>
      </c>
      <c r="O1233" s="62">
        <f t="shared" si="293"/>
        <v>0</v>
      </c>
      <c r="P1233" s="70">
        <v>391</v>
      </c>
      <c r="Q1233" s="71">
        <v>46167</v>
      </c>
      <c r="R1233" s="6">
        <v>46168</v>
      </c>
      <c r="S1233" s="64">
        <v>23308.9</v>
      </c>
      <c r="T1233" s="22">
        <v>5</v>
      </c>
      <c r="U1233" s="64">
        <f t="shared" si="297"/>
        <v>1165.4450000000002</v>
      </c>
      <c r="V1233" s="22">
        <v>1600</v>
      </c>
      <c r="W1233" s="22">
        <v>26154</v>
      </c>
      <c r="X1233" s="62" t="s">
        <v>137</v>
      </c>
      <c r="Y1233" s="62">
        <v>58165995274</v>
      </c>
      <c r="Z1233" s="62"/>
      <c r="AA1233" s="65">
        <v>-20</v>
      </c>
      <c r="AB1233" s="66"/>
      <c r="AC1233" s="1" t="s">
        <v>1842</v>
      </c>
      <c r="AD1233" s="62" t="str">
        <f>VLOOKUP(X1233,'Customer List'!B:C,2,)</f>
        <v>Banglore</v>
      </c>
      <c r="AE1233" s="67"/>
      <c r="AF1233" s="6"/>
      <c r="AG1233" s="62" t="str">
        <f t="shared" si="298"/>
        <v/>
      </c>
      <c r="AH1233" s="62" t="str">
        <f t="shared" si="299"/>
        <v>Thursday</v>
      </c>
      <c r="AI1233" s="62" t="str">
        <f t="shared" si="300"/>
        <v/>
      </c>
      <c r="AJ1233" s="62" t="str">
        <f>VLOOKUP(AC1233,'Currency Sheet'!A:C,3,)</f>
        <v>DOLLAR</v>
      </c>
      <c r="AK1233" s="62" t="str">
        <f>VLOOKUP(X1233,'Customer List'!B:D,3,)</f>
        <v>OutStation</v>
      </c>
    </row>
    <row r="1234" spans="1:37" hidden="1" x14ac:dyDescent="0.25">
      <c r="A1234" s="62">
        <f t="shared" si="294"/>
        <v>1218</v>
      </c>
      <c r="B1234" s="62" t="s">
        <v>824</v>
      </c>
      <c r="C1234" s="62" t="s">
        <v>2877</v>
      </c>
      <c r="D1234" s="6"/>
      <c r="E1234" s="6">
        <v>46165</v>
      </c>
      <c r="F1234" s="63">
        <v>86.8</v>
      </c>
      <c r="G1234" s="64">
        <f t="shared" si="295"/>
        <v>7638.4</v>
      </c>
      <c r="H1234" s="64">
        <f t="shared" si="296"/>
        <v>7638.4</v>
      </c>
      <c r="I1234" s="70">
        <v>128009</v>
      </c>
      <c r="J1234" s="62" t="s">
        <v>748</v>
      </c>
      <c r="K1234" s="8" t="s">
        <v>2826</v>
      </c>
      <c r="L1234" s="10">
        <v>47941</v>
      </c>
      <c r="M1234" s="62">
        <v>1</v>
      </c>
      <c r="N1234" s="8">
        <v>1</v>
      </c>
      <c r="O1234" s="62">
        <f t="shared" si="293"/>
        <v>0</v>
      </c>
      <c r="P1234" s="70">
        <v>379</v>
      </c>
      <c r="Q1234" s="71">
        <v>46167</v>
      </c>
      <c r="R1234" s="6">
        <v>46168</v>
      </c>
      <c r="S1234" s="64">
        <v>13070</v>
      </c>
      <c r="T1234" s="22">
        <v>5</v>
      </c>
      <c r="U1234" s="64">
        <f t="shared" si="297"/>
        <v>653.5</v>
      </c>
      <c r="V1234" s="22">
        <v>0.2</v>
      </c>
      <c r="W1234" s="22">
        <v>285197</v>
      </c>
      <c r="X1234" s="62" t="s">
        <v>2873</v>
      </c>
      <c r="Y1234" s="62">
        <v>58166002392</v>
      </c>
      <c r="Z1234" s="62"/>
      <c r="AA1234" s="65">
        <v>4</v>
      </c>
      <c r="AB1234" s="66"/>
      <c r="AC1234" s="1" t="s">
        <v>1842</v>
      </c>
      <c r="AD1234" s="62" t="str">
        <f>VLOOKUP(X1234,'Customer List'!B:C,2,)</f>
        <v>Kolkata</v>
      </c>
      <c r="AE1234" s="67"/>
      <c r="AF1234" s="6"/>
      <c r="AG1234" s="62" t="str">
        <f t="shared" si="298"/>
        <v/>
      </c>
      <c r="AH1234" s="62" t="str">
        <f t="shared" si="299"/>
        <v>Sunday</v>
      </c>
      <c r="AI1234" s="62" t="str">
        <f t="shared" si="300"/>
        <v/>
      </c>
      <c r="AJ1234" s="62" t="str">
        <f>VLOOKUP(AC1234,'Currency Sheet'!A:C,3,)</f>
        <v>DOLLAR</v>
      </c>
      <c r="AK1234" s="62" t="str">
        <f>VLOOKUP(X1234,'Customer List'!B:D,3,)</f>
        <v>OutStation</v>
      </c>
    </row>
    <row r="1235" spans="1:37" hidden="1" x14ac:dyDescent="0.25">
      <c r="A1235" s="62">
        <f t="shared" si="294"/>
        <v>1219</v>
      </c>
      <c r="B1235" s="62" t="s">
        <v>824</v>
      </c>
      <c r="C1235" s="62" t="s">
        <v>2877</v>
      </c>
      <c r="D1235" s="6"/>
      <c r="E1235" s="6">
        <v>46165</v>
      </c>
      <c r="F1235" s="63">
        <v>41.3</v>
      </c>
      <c r="G1235" s="64">
        <f t="shared" si="295"/>
        <v>3634.3999999999996</v>
      </c>
      <c r="H1235" s="64">
        <f t="shared" si="296"/>
        <v>3634.3999999999996</v>
      </c>
      <c r="I1235" s="70">
        <v>123105</v>
      </c>
      <c r="J1235" s="62" t="s">
        <v>1487</v>
      </c>
      <c r="K1235" s="8" t="s">
        <v>2827</v>
      </c>
      <c r="L1235" s="10">
        <v>47438</v>
      </c>
      <c r="M1235" s="62">
        <v>1</v>
      </c>
      <c r="N1235" s="8">
        <v>1</v>
      </c>
      <c r="O1235" s="62">
        <f t="shared" si="293"/>
        <v>0</v>
      </c>
      <c r="P1235" s="70">
        <v>379</v>
      </c>
      <c r="Q1235" s="71">
        <v>46167</v>
      </c>
      <c r="R1235" s="6">
        <v>46168</v>
      </c>
      <c r="S1235" s="64">
        <v>6219</v>
      </c>
      <c r="T1235" s="22">
        <v>5</v>
      </c>
      <c r="U1235" s="64">
        <f t="shared" si="297"/>
        <v>310.95000000000005</v>
      </c>
      <c r="V1235" s="22">
        <v>0</v>
      </c>
      <c r="W1235" s="22">
        <v>285197</v>
      </c>
      <c r="X1235" s="62" t="s">
        <v>2873</v>
      </c>
      <c r="Y1235" s="62">
        <v>58166002392</v>
      </c>
      <c r="Z1235" s="62"/>
      <c r="AA1235" s="65">
        <v>4</v>
      </c>
      <c r="AB1235" s="66"/>
      <c r="AC1235" s="1" t="s">
        <v>1842</v>
      </c>
      <c r="AD1235" s="62" t="str">
        <f>VLOOKUP(X1235,'Customer List'!B:C,2,)</f>
        <v>Kolkata</v>
      </c>
      <c r="AE1235" s="67"/>
      <c r="AF1235" s="6"/>
      <c r="AG1235" s="62" t="str">
        <f t="shared" si="298"/>
        <v/>
      </c>
      <c r="AH1235" s="62" t="str">
        <f t="shared" si="299"/>
        <v>Tuesday</v>
      </c>
      <c r="AI1235" s="62" t="str">
        <f t="shared" si="300"/>
        <v/>
      </c>
      <c r="AJ1235" s="62" t="str">
        <f>VLOOKUP(AC1235,'Currency Sheet'!A:C,3,)</f>
        <v>DOLLAR</v>
      </c>
      <c r="AK1235" s="62" t="str">
        <f>VLOOKUP(X1235,'Customer List'!B:D,3,)</f>
        <v>OutStation</v>
      </c>
    </row>
    <row r="1236" spans="1:37" hidden="1" x14ac:dyDescent="0.25">
      <c r="A1236" s="62">
        <f t="shared" si="294"/>
        <v>1220</v>
      </c>
      <c r="B1236" s="62" t="s">
        <v>824</v>
      </c>
      <c r="C1236" s="62" t="s">
        <v>2877</v>
      </c>
      <c r="D1236" s="6"/>
      <c r="E1236" s="6">
        <v>46165</v>
      </c>
      <c r="F1236" s="63">
        <v>259</v>
      </c>
      <c r="G1236" s="64">
        <f t="shared" si="295"/>
        <v>22792</v>
      </c>
      <c r="H1236" s="64">
        <f t="shared" si="296"/>
        <v>22792</v>
      </c>
      <c r="I1236" s="70">
        <v>126406</v>
      </c>
      <c r="J1236" s="62" t="s">
        <v>1204</v>
      </c>
      <c r="K1236" s="8" t="s">
        <v>2313</v>
      </c>
      <c r="L1236" s="10">
        <v>46826</v>
      </c>
      <c r="M1236" s="62">
        <v>1</v>
      </c>
      <c r="N1236" s="8">
        <v>1</v>
      </c>
      <c r="O1236" s="62">
        <f t="shared" si="293"/>
        <v>0</v>
      </c>
      <c r="P1236" s="70">
        <v>379</v>
      </c>
      <c r="Q1236" s="71">
        <v>46167</v>
      </c>
      <c r="R1236" s="6">
        <v>46168</v>
      </c>
      <c r="S1236" s="64">
        <v>38998</v>
      </c>
      <c r="T1236" s="22">
        <v>5</v>
      </c>
      <c r="U1236" s="64">
        <f t="shared" si="297"/>
        <v>1949.9</v>
      </c>
      <c r="V1236" s="22">
        <v>0</v>
      </c>
      <c r="W1236" s="22">
        <v>285197</v>
      </c>
      <c r="X1236" s="62" t="s">
        <v>2873</v>
      </c>
      <c r="Y1236" s="62">
        <v>58166002392</v>
      </c>
      <c r="Z1236" s="62"/>
      <c r="AA1236" s="65">
        <v>4</v>
      </c>
      <c r="AB1236" s="66"/>
      <c r="AC1236" s="1" t="s">
        <v>1842</v>
      </c>
      <c r="AD1236" s="62" t="str">
        <f>VLOOKUP(X1236,'Customer List'!B:C,2,)</f>
        <v>Kolkata</v>
      </c>
      <c r="AE1236" s="67"/>
      <c r="AF1236" s="6"/>
      <c r="AG1236" s="62" t="str">
        <f t="shared" si="298"/>
        <v/>
      </c>
      <c r="AH1236" s="62" t="str">
        <f t="shared" si="299"/>
        <v>Sunday</v>
      </c>
      <c r="AI1236" s="62" t="str">
        <f t="shared" si="300"/>
        <v/>
      </c>
      <c r="AJ1236" s="62" t="str">
        <f>VLOOKUP(AC1236,'Currency Sheet'!A:C,3,)</f>
        <v>DOLLAR</v>
      </c>
      <c r="AK1236" s="62" t="str">
        <f>VLOOKUP(X1236,'Customer List'!B:D,3,)</f>
        <v>OutStation</v>
      </c>
    </row>
    <row r="1237" spans="1:37" hidden="1" x14ac:dyDescent="0.25">
      <c r="A1237" s="62">
        <f t="shared" si="294"/>
        <v>1221</v>
      </c>
      <c r="B1237" s="62" t="s">
        <v>824</v>
      </c>
      <c r="C1237" s="62" t="s">
        <v>2877</v>
      </c>
      <c r="D1237" s="6"/>
      <c r="E1237" s="6">
        <v>46165</v>
      </c>
      <c r="F1237" s="63">
        <v>176.4</v>
      </c>
      <c r="G1237" s="64">
        <f t="shared" si="295"/>
        <v>15523.2</v>
      </c>
      <c r="H1237" s="64">
        <f t="shared" si="296"/>
        <v>15523.2</v>
      </c>
      <c r="I1237" s="70">
        <v>505804</v>
      </c>
      <c r="J1237" s="62" t="s">
        <v>783</v>
      </c>
      <c r="K1237" s="8" t="s">
        <v>2828</v>
      </c>
      <c r="L1237" s="10">
        <v>47522</v>
      </c>
      <c r="M1237" s="62">
        <v>1</v>
      </c>
      <c r="N1237" s="8">
        <v>1</v>
      </c>
      <c r="O1237" s="62">
        <f t="shared" si="293"/>
        <v>0</v>
      </c>
      <c r="P1237" s="70">
        <v>379</v>
      </c>
      <c r="Q1237" s="71">
        <v>46167</v>
      </c>
      <c r="R1237" s="6">
        <v>46168</v>
      </c>
      <c r="S1237" s="64">
        <v>26561</v>
      </c>
      <c r="T1237" s="22">
        <v>5</v>
      </c>
      <c r="U1237" s="64">
        <f t="shared" si="297"/>
        <v>1328.0500000000002</v>
      </c>
      <c r="V1237" s="22">
        <v>0</v>
      </c>
      <c r="W1237" s="22">
        <v>285197</v>
      </c>
      <c r="X1237" s="62" t="s">
        <v>2873</v>
      </c>
      <c r="Y1237" s="62">
        <v>58166002392</v>
      </c>
      <c r="Z1237" s="62"/>
      <c r="AA1237" s="65">
        <v>4</v>
      </c>
      <c r="AB1237" s="66"/>
      <c r="AC1237" s="1" t="s">
        <v>1842</v>
      </c>
      <c r="AD1237" s="62" t="str">
        <f>VLOOKUP(X1237,'Customer List'!B:C,2,)</f>
        <v>Kolkata</v>
      </c>
      <c r="AE1237" s="67"/>
      <c r="AF1237" s="6"/>
      <c r="AG1237" s="62" t="str">
        <f t="shared" si="298"/>
        <v/>
      </c>
      <c r="AH1237" s="62" t="str">
        <f t="shared" si="299"/>
        <v>Tuesday</v>
      </c>
      <c r="AI1237" s="62" t="str">
        <f t="shared" si="300"/>
        <v/>
      </c>
      <c r="AJ1237" s="62" t="str">
        <f>VLOOKUP(AC1237,'Currency Sheet'!A:C,3,)</f>
        <v>DOLLAR</v>
      </c>
      <c r="AK1237" s="62" t="str">
        <f>VLOOKUP(X1237,'Customer List'!B:D,3,)</f>
        <v>OutStation</v>
      </c>
    </row>
    <row r="1238" spans="1:37" hidden="1" x14ac:dyDescent="0.25">
      <c r="A1238" s="62">
        <f t="shared" si="294"/>
        <v>1222</v>
      </c>
      <c r="B1238" s="62" t="s">
        <v>824</v>
      </c>
      <c r="C1238" s="62" t="s">
        <v>2877</v>
      </c>
      <c r="D1238" s="6"/>
      <c r="E1238" s="6">
        <v>46165</v>
      </c>
      <c r="F1238" s="63">
        <v>234.5</v>
      </c>
      <c r="G1238" s="64">
        <f t="shared" si="295"/>
        <v>20636</v>
      </c>
      <c r="H1238" s="64">
        <f t="shared" si="296"/>
        <v>20636</v>
      </c>
      <c r="I1238" s="70">
        <v>150904</v>
      </c>
      <c r="J1238" s="62" t="s">
        <v>2829</v>
      </c>
      <c r="K1238" s="8" t="s">
        <v>2830</v>
      </c>
      <c r="L1238" s="10">
        <v>46871</v>
      </c>
      <c r="M1238" s="62">
        <v>1</v>
      </c>
      <c r="N1238" s="8">
        <v>1</v>
      </c>
      <c r="O1238" s="62">
        <f t="shared" si="293"/>
        <v>0</v>
      </c>
      <c r="P1238" s="70">
        <v>379</v>
      </c>
      <c r="Q1238" s="71">
        <v>46167</v>
      </c>
      <c r="R1238" s="6">
        <v>46168</v>
      </c>
      <c r="S1238" s="64">
        <v>35309</v>
      </c>
      <c r="T1238" s="22">
        <v>5</v>
      </c>
      <c r="U1238" s="64">
        <f t="shared" si="297"/>
        <v>1765.45</v>
      </c>
      <c r="V1238" s="22">
        <v>0</v>
      </c>
      <c r="W1238" s="22">
        <v>285197</v>
      </c>
      <c r="X1238" s="62" t="s">
        <v>2873</v>
      </c>
      <c r="Y1238" s="62">
        <v>58166002392</v>
      </c>
      <c r="Z1238" s="62"/>
      <c r="AA1238" s="65">
        <v>4</v>
      </c>
      <c r="AB1238" s="66"/>
      <c r="AC1238" s="1" t="s">
        <v>1842</v>
      </c>
      <c r="AD1238" s="62" t="str">
        <f>VLOOKUP(X1238,'Customer List'!B:C,2,)</f>
        <v>Kolkata</v>
      </c>
      <c r="AE1238" s="67"/>
      <c r="AF1238" s="6"/>
      <c r="AG1238" s="62" t="str">
        <f t="shared" si="298"/>
        <v/>
      </c>
      <c r="AH1238" s="62" t="str">
        <f t="shared" si="299"/>
        <v>Sunday</v>
      </c>
      <c r="AI1238" s="62" t="str">
        <f t="shared" si="300"/>
        <v/>
      </c>
      <c r="AJ1238" s="62" t="str">
        <f>VLOOKUP(AC1238,'Currency Sheet'!A:C,3,)</f>
        <v>DOLLAR</v>
      </c>
      <c r="AK1238" s="62" t="str">
        <f>VLOOKUP(X1238,'Customer List'!B:D,3,)</f>
        <v>OutStation</v>
      </c>
    </row>
    <row r="1239" spans="1:37" hidden="1" x14ac:dyDescent="0.25">
      <c r="A1239" s="62">
        <f t="shared" si="294"/>
        <v>1223</v>
      </c>
      <c r="B1239" s="62" t="s">
        <v>824</v>
      </c>
      <c r="C1239" s="62" t="s">
        <v>2877</v>
      </c>
      <c r="D1239" s="6"/>
      <c r="E1239" s="6">
        <v>46165</v>
      </c>
      <c r="F1239" s="63">
        <v>207.2</v>
      </c>
      <c r="G1239" s="64">
        <f t="shared" si="295"/>
        <v>18233.599999999999</v>
      </c>
      <c r="H1239" s="64">
        <f t="shared" si="296"/>
        <v>18233.599999999999</v>
      </c>
      <c r="I1239" s="70">
        <v>506916</v>
      </c>
      <c r="J1239" s="62" t="s">
        <v>784</v>
      </c>
      <c r="K1239" s="8" t="s">
        <v>2831</v>
      </c>
      <c r="L1239" s="10">
        <v>47646</v>
      </c>
      <c r="M1239" s="62">
        <v>1</v>
      </c>
      <c r="N1239" s="8">
        <v>1</v>
      </c>
      <c r="O1239" s="62">
        <f t="shared" si="293"/>
        <v>0</v>
      </c>
      <c r="P1239" s="70">
        <v>379</v>
      </c>
      <c r="Q1239" s="71">
        <v>46167</v>
      </c>
      <c r="R1239" s="6">
        <v>46168</v>
      </c>
      <c r="S1239" s="64">
        <v>31198</v>
      </c>
      <c r="T1239" s="22">
        <v>5</v>
      </c>
      <c r="U1239" s="64">
        <f t="shared" si="297"/>
        <v>1559.9</v>
      </c>
      <c r="V1239" s="22">
        <v>0</v>
      </c>
      <c r="W1239" s="22">
        <v>285197</v>
      </c>
      <c r="X1239" s="62" t="s">
        <v>2873</v>
      </c>
      <c r="Y1239" s="62">
        <v>58166002392</v>
      </c>
      <c r="Z1239" s="62"/>
      <c r="AA1239" s="65">
        <v>4</v>
      </c>
      <c r="AB1239" s="66"/>
      <c r="AC1239" s="1" t="s">
        <v>1842</v>
      </c>
      <c r="AD1239" s="62" t="str">
        <f>VLOOKUP(X1239,'Customer List'!B:C,2,)</f>
        <v>Kolkata</v>
      </c>
      <c r="AE1239" s="67"/>
      <c r="AF1239" s="6"/>
      <c r="AG1239" s="62" t="str">
        <f t="shared" si="298"/>
        <v/>
      </c>
      <c r="AH1239" s="62" t="str">
        <f t="shared" si="299"/>
        <v>Friday</v>
      </c>
      <c r="AI1239" s="62" t="str">
        <f t="shared" si="300"/>
        <v/>
      </c>
      <c r="AJ1239" s="62" t="str">
        <f>VLOOKUP(AC1239,'Currency Sheet'!A:C,3,)</f>
        <v>DOLLAR</v>
      </c>
      <c r="AK1239" s="62" t="str">
        <f>VLOOKUP(X1239,'Customer List'!B:D,3,)</f>
        <v>OutStation</v>
      </c>
    </row>
    <row r="1240" spans="1:37" hidden="1" x14ac:dyDescent="0.25">
      <c r="A1240" s="62">
        <f t="shared" si="294"/>
        <v>1224</v>
      </c>
      <c r="B1240" s="62" t="s">
        <v>824</v>
      </c>
      <c r="C1240" s="62" t="s">
        <v>2877</v>
      </c>
      <c r="D1240" s="6"/>
      <c r="E1240" s="6">
        <v>46165</v>
      </c>
      <c r="F1240" s="63">
        <v>181.5</v>
      </c>
      <c r="G1240" s="64">
        <f t="shared" si="295"/>
        <v>15972</v>
      </c>
      <c r="H1240" s="64">
        <f t="shared" si="296"/>
        <v>15972</v>
      </c>
      <c r="I1240" s="70">
        <v>644817</v>
      </c>
      <c r="J1240" s="62" t="s">
        <v>1577</v>
      </c>
      <c r="K1240" s="8" t="s">
        <v>2832</v>
      </c>
      <c r="L1240" s="10">
        <v>46878</v>
      </c>
      <c r="M1240" s="62">
        <v>1</v>
      </c>
      <c r="N1240" s="8">
        <v>1</v>
      </c>
      <c r="O1240" s="62">
        <f t="shared" si="293"/>
        <v>0</v>
      </c>
      <c r="P1240" s="70">
        <v>379</v>
      </c>
      <c r="Q1240" s="71">
        <v>46167</v>
      </c>
      <c r="R1240" s="6">
        <v>46168</v>
      </c>
      <c r="S1240" s="64">
        <v>25507</v>
      </c>
      <c r="T1240" s="22">
        <v>5</v>
      </c>
      <c r="U1240" s="64">
        <f t="shared" si="297"/>
        <v>1275.3500000000001</v>
      </c>
      <c r="V1240" s="22">
        <v>0</v>
      </c>
      <c r="W1240" s="22">
        <v>285197</v>
      </c>
      <c r="X1240" s="62" t="s">
        <v>2873</v>
      </c>
      <c r="Y1240" s="62">
        <v>58166002392</v>
      </c>
      <c r="Z1240" s="62"/>
      <c r="AA1240" s="65">
        <v>4</v>
      </c>
      <c r="AB1240" s="66"/>
      <c r="AC1240" s="1" t="s">
        <v>1842</v>
      </c>
      <c r="AD1240" s="62" t="str">
        <f>VLOOKUP(X1240,'Customer List'!B:C,2,)</f>
        <v>Kolkata</v>
      </c>
      <c r="AE1240" s="67"/>
      <c r="AF1240" s="6"/>
      <c r="AG1240" s="62" t="str">
        <f t="shared" si="298"/>
        <v/>
      </c>
      <c r="AH1240" s="62" t="str">
        <f t="shared" si="299"/>
        <v>Friday</v>
      </c>
      <c r="AI1240" s="62" t="str">
        <f t="shared" si="300"/>
        <v/>
      </c>
      <c r="AJ1240" s="62" t="str">
        <f>VLOOKUP(AC1240,'Currency Sheet'!A:C,3,)</f>
        <v>DOLLAR</v>
      </c>
      <c r="AK1240" s="62" t="str">
        <f>VLOOKUP(X1240,'Customer List'!B:D,3,)</f>
        <v>OutStation</v>
      </c>
    </row>
    <row r="1241" spans="1:37" hidden="1" x14ac:dyDescent="0.25">
      <c r="A1241" s="62">
        <f t="shared" si="294"/>
        <v>1225</v>
      </c>
      <c r="B1241" s="62" t="s">
        <v>824</v>
      </c>
      <c r="C1241" s="62" t="s">
        <v>2877</v>
      </c>
      <c r="D1241" s="6"/>
      <c r="E1241" s="6">
        <v>46165</v>
      </c>
      <c r="F1241" s="63">
        <v>242.9</v>
      </c>
      <c r="G1241" s="64">
        <f t="shared" si="295"/>
        <v>21375.200000000001</v>
      </c>
      <c r="H1241" s="64">
        <f t="shared" si="296"/>
        <v>21375.200000000001</v>
      </c>
      <c r="I1241" s="70">
        <v>678008</v>
      </c>
      <c r="J1241" s="62" t="s">
        <v>2833</v>
      </c>
      <c r="K1241" s="8" t="s">
        <v>2834</v>
      </c>
      <c r="L1241" s="10">
        <v>47751</v>
      </c>
      <c r="M1241" s="62">
        <v>1</v>
      </c>
      <c r="N1241" s="8">
        <v>1</v>
      </c>
      <c r="O1241" s="62">
        <f t="shared" si="293"/>
        <v>0</v>
      </c>
      <c r="P1241" s="70">
        <v>379</v>
      </c>
      <c r="Q1241" s="71">
        <v>46167</v>
      </c>
      <c r="R1241" s="6">
        <v>46168</v>
      </c>
      <c r="S1241" s="64">
        <v>36574</v>
      </c>
      <c r="T1241" s="22">
        <v>5</v>
      </c>
      <c r="U1241" s="64">
        <f t="shared" si="297"/>
        <v>1828.7</v>
      </c>
      <c r="V1241" s="22">
        <v>0</v>
      </c>
      <c r="W1241" s="22">
        <v>285197</v>
      </c>
      <c r="X1241" s="62" t="s">
        <v>2873</v>
      </c>
      <c r="Y1241" s="62">
        <v>58166002392</v>
      </c>
      <c r="Z1241" s="62"/>
      <c r="AA1241" s="65">
        <v>4</v>
      </c>
      <c r="AB1241" s="66"/>
      <c r="AC1241" s="1" t="s">
        <v>1842</v>
      </c>
      <c r="AD1241" s="62" t="str">
        <f>VLOOKUP(X1241,'Customer List'!B:C,2,)</f>
        <v>Kolkata</v>
      </c>
      <c r="AE1241" s="67"/>
      <c r="AF1241" s="6"/>
      <c r="AG1241" s="62" t="str">
        <f t="shared" si="298"/>
        <v/>
      </c>
      <c r="AH1241" s="62" t="str">
        <f t="shared" si="299"/>
        <v>Friday</v>
      </c>
      <c r="AI1241" s="62" t="str">
        <f t="shared" si="300"/>
        <v/>
      </c>
      <c r="AJ1241" s="62" t="str">
        <f>VLOOKUP(AC1241,'Currency Sheet'!A:C,3,)</f>
        <v>DOLLAR</v>
      </c>
      <c r="AK1241" s="62" t="str">
        <f>VLOOKUP(X1241,'Customer List'!B:D,3,)</f>
        <v>OutStation</v>
      </c>
    </row>
    <row r="1242" spans="1:37" hidden="1" x14ac:dyDescent="0.25">
      <c r="A1242" s="62">
        <f t="shared" si="294"/>
        <v>1226</v>
      </c>
      <c r="B1242" s="62" t="s">
        <v>824</v>
      </c>
      <c r="C1242" s="62" t="s">
        <v>2877</v>
      </c>
      <c r="D1242" s="6"/>
      <c r="E1242" s="6">
        <v>46165</v>
      </c>
      <c r="F1242" s="63">
        <v>23.1</v>
      </c>
      <c r="G1242" s="64">
        <f t="shared" si="295"/>
        <v>2032.8000000000002</v>
      </c>
      <c r="H1242" s="64">
        <f t="shared" si="296"/>
        <v>2032.8000000000002</v>
      </c>
      <c r="I1242" s="70">
        <v>103111</v>
      </c>
      <c r="J1242" s="62" t="s">
        <v>921</v>
      </c>
      <c r="K1242" s="8" t="s">
        <v>2835</v>
      </c>
      <c r="L1242" s="10">
        <v>47505</v>
      </c>
      <c r="M1242" s="62">
        <v>1</v>
      </c>
      <c r="N1242" s="8">
        <v>1</v>
      </c>
      <c r="O1242" s="62">
        <f t="shared" si="293"/>
        <v>0</v>
      </c>
      <c r="P1242" s="70">
        <v>379</v>
      </c>
      <c r="Q1242" s="71">
        <v>46167</v>
      </c>
      <c r="R1242" s="6">
        <v>46168</v>
      </c>
      <c r="S1242" s="64">
        <v>3478</v>
      </c>
      <c r="T1242" s="22">
        <v>5</v>
      </c>
      <c r="U1242" s="64">
        <f t="shared" si="297"/>
        <v>173.9</v>
      </c>
      <c r="V1242" s="22">
        <v>0</v>
      </c>
      <c r="W1242" s="22">
        <v>285197</v>
      </c>
      <c r="X1242" s="62" t="s">
        <v>2873</v>
      </c>
      <c r="Y1242" s="62">
        <v>58166002392</v>
      </c>
      <c r="Z1242" s="62"/>
      <c r="AA1242" s="65">
        <v>4</v>
      </c>
      <c r="AB1242" s="66"/>
      <c r="AC1242" s="1" t="s">
        <v>1842</v>
      </c>
      <c r="AD1242" s="62" t="str">
        <f>VLOOKUP(X1242,'Customer List'!B:C,2,)</f>
        <v>Kolkata</v>
      </c>
      <c r="AE1242" s="67"/>
      <c r="AF1242" s="6"/>
      <c r="AG1242" s="62" t="str">
        <f t="shared" si="298"/>
        <v/>
      </c>
      <c r="AH1242" s="62" t="str">
        <f t="shared" si="299"/>
        <v>Friday</v>
      </c>
      <c r="AI1242" s="62" t="str">
        <f t="shared" si="300"/>
        <v/>
      </c>
      <c r="AJ1242" s="62" t="str">
        <f>VLOOKUP(AC1242,'Currency Sheet'!A:C,3,)</f>
        <v>DOLLAR</v>
      </c>
      <c r="AK1242" s="62" t="str">
        <f>VLOOKUP(X1242,'Customer List'!B:D,3,)</f>
        <v>OutStation</v>
      </c>
    </row>
    <row r="1243" spans="1:37" hidden="1" x14ac:dyDescent="0.25">
      <c r="A1243" s="62">
        <f t="shared" si="294"/>
        <v>1227</v>
      </c>
      <c r="B1243" s="62" t="s">
        <v>824</v>
      </c>
      <c r="C1243" s="62" t="s">
        <v>2877</v>
      </c>
      <c r="D1243" s="6"/>
      <c r="E1243" s="6">
        <v>46165</v>
      </c>
      <c r="F1243" s="63">
        <v>25.2</v>
      </c>
      <c r="G1243" s="64">
        <f t="shared" si="295"/>
        <v>2217.6</v>
      </c>
      <c r="H1243" s="64">
        <f t="shared" si="296"/>
        <v>2217.6</v>
      </c>
      <c r="I1243" s="70">
        <v>100203</v>
      </c>
      <c r="J1243" s="62" t="s">
        <v>759</v>
      </c>
      <c r="K1243" s="8" t="s">
        <v>2836</v>
      </c>
      <c r="L1243" s="10">
        <v>48378</v>
      </c>
      <c r="M1243" s="62">
        <v>1</v>
      </c>
      <c r="N1243" s="8">
        <v>1</v>
      </c>
      <c r="O1243" s="62">
        <f t="shared" si="293"/>
        <v>0</v>
      </c>
      <c r="P1243" s="70">
        <v>379</v>
      </c>
      <c r="Q1243" s="71">
        <v>46167</v>
      </c>
      <c r="R1243" s="6">
        <v>46168</v>
      </c>
      <c r="S1243" s="64">
        <v>3794</v>
      </c>
      <c r="T1243" s="22">
        <v>5</v>
      </c>
      <c r="U1243" s="64">
        <f t="shared" si="297"/>
        <v>189.70000000000002</v>
      </c>
      <c r="V1243" s="22">
        <v>0</v>
      </c>
      <c r="W1243" s="22">
        <v>285197</v>
      </c>
      <c r="X1243" s="62" t="s">
        <v>2873</v>
      </c>
      <c r="Y1243" s="62">
        <v>58166002392</v>
      </c>
      <c r="Z1243" s="62"/>
      <c r="AA1243" s="65">
        <v>4</v>
      </c>
      <c r="AB1243" s="66"/>
      <c r="AC1243" s="1" t="s">
        <v>1842</v>
      </c>
      <c r="AD1243" s="62" t="str">
        <f>VLOOKUP(X1243,'Customer List'!B:C,2,)</f>
        <v>Kolkata</v>
      </c>
      <c r="AE1243" s="67"/>
      <c r="AF1243" s="6"/>
      <c r="AG1243" s="62" t="str">
        <f t="shared" si="298"/>
        <v/>
      </c>
      <c r="AH1243" s="62" t="str">
        <f t="shared" si="299"/>
        <v>Saturday</v>
      </c>
      <c r="AI1243" s="62" t="str">
        <f t="shared" si="300"/>
        <v/>
      </c>
      <c r="AJ1243" s="62" t="str">
        <f>VLOOKUP(AC1243,'Currency Sheet'!A:C,3,)</f>
        <v>DOLLAR</v>
      </c>
      <c r="AK1243" s="62" t="str">
        <f>VLOOKUP(X1243,'Customer List'!B:D,3,)</f>
        <v>OutStation</v>
      </c>
    </row>
    <row r="1244" spans="1:37" hidden="1" x14ac:dyDescent="0.25">
      <c r="A1244" s="62">
        <f t="shared" si="294"/>
        <v>1228</v>
      </c>
      <c r="B1244" s="62" t="s">
        <v>824</v>
      </c>
      <c r="C1244" s="62" t="s">
        <v>2877</v>
      </c>
      <c r="D1244" s="6"/>
      <c r="E1244" s="6">
        <v>46165</v>
      </c>
      <c r="F1244" s="63">
        <v>74.2</v>
      </c>
      <c r="G1244" s="64">
        <f t="shared" si="295"/>
        <v>6529.6</v>
      </c>
      <c r="H1244" s="64">
        <f t="shared" si="296"/>
        <v>6529.6</v>
      </c>
      <c r="I1244" s="70">
        <v>100431</v>
      </c>
      <c r="J1244" s="62" t="s">
        <v>911</v>
      </c>
      <c r="K1244" s="8" t="s">
        <v>2837</v>
      </c>
      <c r="L1244" s="10">
        <v>46674</v>
      </c>
      <c r="M1244" s="62">
        <v>1</v>
      </c>
      <c r="N1244" s="8">
        <v>1</v>
      </c>
      <c r="O1244" s="62">
        <f t="shared" si="293"/>
        <v>0</v>
      </c>
      <c r="P1244" s="70">
        <v>379</v>
      </c>
      <c r="Q1244" s="71">
        <v>46167</v>
      </c>
      <c r="R1244" s="6">
        <v>46168</v>
      </c>
      <c r="S1244" s="64">
        <v>11172</v>
      </c>
      <c r="T1244" s="22">
        <v>5</v>
      </c>
      <c r="U1244" s="64">
        <f t="shared" si="297"/>
        <v>558.6</v>
      </c>
      <c r="V1244" s="22">
        <v>0</v>
      </c>
      <c r="W1244" s="22">
        <v>285197</v>
      </c>
      <c r="X1244" s="62" t="s">
        <v>2873</v>
      </c>
      <c r="Y1244" s="62">
        <v>58166002392</v>
      </c>
      <c r="Z1244" s="62"/>
      <c r="AA1244" s="65">
        <v>4</v>
      </c>
      <c r="AB1244" s="66"/>
      <c r="AC1244" s="1" t="s">
        <v>1842</v>
      </c>
      <c r="AD1244" s="62" t="str">
        <f>VLOOKUP(X1244,'Customer List'!B:C,2,)</f>
        <v>Kolkata</v>
      </c>
      <c r="AE1244" s="67"/>
      <c r="AF1244" s="6"/>
      <c r="AG1244" s="62" t="str">
        <f t="shared" si="298"/>
        <v/>
      </c>
      <c r="AH1244" s="62" t="str">
        <f t="shared" si="299"/>
        <v>Saturday</v>
      </c>
      <c r="AI1244" s="62" t="str">
        <f t="shared" si="300"/>
        <v/>
      </c>
      <c r="AJ1244" s="62" t="str">
        <f>VLOOKUP(AC1244,'Currency Sheet'!A:C,3,)</f>
        <v>DOLLAR</v>
      </c>
      <c r="AK1244" s="62" t="str">
        <f>VLOOKUP(X1244,'Customer List'!B:D,3,)</f>
        <v>OutStation</v>
      </c>
    </row>
    <row r="1245" spans="1:37" hidden="1" x14ac:dyDescent="0.25">
      <c r="A1245" s="62">
        <f t="shared" si="294"/>
        <v>1229</v>
      </c>
      <c r="B1245" s="62" t="s">
        <v>824</v>
      </c>
      <c r="C1245" s="62" t="s">
        <v>2877</v>
      </c>
      <c r="D1245" s="6"/>
      <c r="E1245" s="6">
        <v>46165</v>
      </c>
      <c r="F1245" s="63">
        <v>189.75</v>
      </c>
      <c r="G1245" s="64">
        <f t="shared" si="295"/>
        <v>16698</v>
      </c>
      <c r="H1245" s="64">
        <f t="shared" si="296"/>
        <v>16698</v>
      </c>
      <c r="I1245" s="70">
        <v>126419</v>
      </c>
      <c r="J1245" s="62" t="s">
        <v>1204</v>
      </c>
      <c r="K1245" s="8" t="s">
        <v>2838</v>
      </c>
      <c r="L1245" s="10">
        <v>46847</v>
      </c>
      <c r="M1245" s="62">
        <v>1</v>
      </c>
      <c r="N1245" s="8">
        <v>1</v>
      </c>
      <c r="O1245" s="62">
        <f t="shared" si="293"/>
        <v>0</v>
      </c>
      <c r="P1245" s="70">
        <v>379</v>
      </c>
      <c r="Q1245" s="71">
        <v>46167</v>
      </c>
      <c r="R1245" s="6">
        <v>46168</v>
      </c>
      <c r="S1245" s="64">
        <v>26666</v>
      </c>
      <c r="T1245" s="22">
        <v>5</v>
      </c>
      <c r="U1245" s="64">
        <f t="shared" si="297"/>
        <v>1333.3000000000002</v>
      </c>
      <c r="V1245" s="22">
        <v>0</v>
      </c>
      <c r="W1245" s="22">
        <v>285197</v>
      </c>
      <c r="X1245" s="62" t="s">
        <v>2873</v>
      </c>
      <c r="Y1245" s="62">
        <v>58166002392</v>
      </c>
      <c r="Z1245" s="62"/>
      <c r="AA1245" s="65">
        <v>4</v>
      </c>
      <c r="AB1245" s="66"/>
      <c r="AC1245" s="1" t="s">
        <v>1842</v>
      </c>
      <c r="AD1245" s="62" t="str">
        <f>VLOOKUP(X1245,'Customer List'!B:C,2,)</f>
        <v>Kolkata</v>
      </c>
      <c r="AE1245" s="67"/>
      <c r="AF1245" s="6"/>
      <c r="AG1245" s="62" t="str">
        <f t="shared" si="298"/>
        <v/>
      </c>
      <c r="AH1245" s="62" t="str">
        <f t="shared" si="299"/>
        <v>Tuesday</v>
      </c>
      <c r="AI1245" s="62" t="str">
        <f t="shared" si="300"/>
        <v/>
      </c>
      <c r="AJ1245" s="62" t="str">
        <f>VLOOKUP(AC1245,'Currency Sheet'!A:C,3,)</f>
        <v>DOLLAR</v>
      </c>
      <c r="AK1245" s="62" t="str">
        <f>VLOOKUP(X1245,'Customer List'!B:D,3,)</f>
        <v>OutStation</v>
      </c>
    </row>
    <row r="1246" spans="1:37" hidden="1" x14ac:dyDescent="0.25">
      <c r="A1246" s="62">
        <f t="shared" si="294"/>
        <v>1230</v>
      </c>
      <c r="B1246" s="62" t="s">
        <v>824</v>
      </c>
      <c r="C1246" s="62" t="s">
        <v>2877</v>
      </c>
      <c r="D1246" s="6"/>
      <c r="E1246" s="6">
        <v>46165</v>
      </c>
      <c r="F1246" s="63">
        <v>86.8</v>
      </c>
      <c r="G1246" s="64">
        <f t="shared" si="295"/>
        <v>7638.4</v>
      </c>
      <c r="H1246" s="64">
        <f t="shared" si="296"/>
        <v>7638.4</v>
      </c>
      <c r="I1246" s="70">
        <v>506911</v>
      </c>
      <c r="J1246" s="62" t="s">
        <v>784</v>
      </c>
      <c r="K1246" s="8" t="s">
        <v>2839</v>
      </c>
      <c r="L1246" s="10">
        <v>47647</v>
      </c>
      <c r="M1246" s="62">
        <v>1</v>
      </c>
      <c r="N1246" s="8">
        <v>1</v>
      </c>
      <c r="O1246" s="62">
        <f t="shared" si="293"/>
        <v>0</v>
      </c>
      <c r="P1246" s="70">
        <v>379</v>
      </c>
      <c r="Q1246" s="71">
        <v>46167</v>
      </c>
      <c r="R1246" s="6">
        <v>46168</v>
      </c>
      <c r="S1246" s="64">
        <v>13070</v>
      </c>
      <c r="T1246" s="22">
        <v>5</v>
      </c>
      <c r="U1246" s="64">
        <f t="shared" si="297"/>
        <v>653.5</v>
      </c>
      <c r="V1246" s="22">
        <v>0</v>
      </c>
      <c r="W1246" s="22">
        <v>285197</v>
      </c>
      <c r="X1246" s="62" t="s">
        <v>2873</v>
      </c>
      <c r="Y1246" s="62">
        <v>58166002392</v>
      </c>
      <c r="Z1246" s="62"/>
      <c r="AA1246" s="65">
        <v>4</v>
      </c>
      <c r="AB1246" s="66"/>
      <c r="AC1246" s="1" t="s">
        <v>1842</v>
      </c>
      <c r="AD1246" s="62" t="str">
        <f>VLOOKUP(X1246,'Customer List'!B:C,2,)</f>
        <v>Kolkata</v>
      </c>
      <c r="AE1246" s="67"/>
      <c r="AF1246" s="6"/>
      <c r="AG1246" s="62" t="str">
        <f t="shared" si="298"/>
        <v/>
      </c>
      <c r="AH1246" s="62" t="str">
        <f t="shared" si="299"/>
        <v>Sunday</v>
      </c>
      <c r="AI1246" s="62" t="str">
        <f t="shared" si="300"/>
        <v/>
      </c>
      <c r="AJ1246" s="62" t="str">
        <f>VLOOKUP(AC1246,'Currency Sheet'!A:C,3,)</f>
        <v>DOLLAR</v>
      </c>
      <c r="AK1246" s="62" t="str">
        <f>VLOOKUP(X1246,'Customer List'!B:D,3,)</f>
        <v>OutStation</v>
      </c>
    </row>
    <row r="1247" spans="1:37" hidden="1" x14ac:dyDescent="0.25">
      <c r="A1247" s="62">
        <f t="shared" si="294"/>
        <v>1231</v>
      </c>
      <c r="B1247" s="62" t="s">
        <v>824</v>
      </c>
      <c r="C1247" s="62" t="s">
        <v>2877</v>
      </c>
      <c r="D1247" s="6"/>
      <c r="E1247" s="6">
        <v>46165</v>
      </c>
      <c r="F1247" s="63">
        <v>201.6</v>
      </c>
      <c r="G1247" s="64">
        <f t="shared" si="295"/>
        <v>17740.8</v>
      </c>
      <c r="H1247" s="64">
        <f t="shared" si="296"/>
        <v>17740.8</v>
      </c>
      <c r="I1247" s="70">
        <v>313206</v>
      </c>
      <c r="J1247" s="62" t="s">
        <v>1240</v>
      </c>
      <c r="K1247" s="8" t="s">
        <v>2840</v>
      </c>
      <c r="L1247" s="10">
        <v>47689</v>
      </c>
      <c r="M1247" s="62">
        <v>1</v>
      </c>
      <c r="N1247" s="8">
        <v>1</v>
      </c>
      <c r="O1247" s="62">
        <f t="shared" si="293"/>
        <v>0</v>
      </c>
      <c r="P1247" s="70">
        <v>382</v>
      </c>
      <c r="Q1247" s="71">
        <v>46167</v>
      </c>
      <c r="R1247" s="6">
        <v>46168</v>
      </c>
      <c r="S1247" s="64">
        <v>31248</v>
      </c>
      <c r="T1247" s="22">
        <v>5</v>
      </c>
      <c r="U1247" s="64">
        <f t="shared" si="297"/>
        <v>1562.4</v>
      </c>
      <c r="V1247" s="22">
        <v>-0.4</v>
      </c>
      <c r="W1247" s="22">
        <v>32810</v>
      </c>
      <c r="X1247" s="62" t="s">
        <v>51</v>
      </c>
      <c r="Y1247" s="62">
        <v>58165995613</v>
      </c>
      <c r="Z1247" s="62"/>
      <c r="AA1247" s="65">
        <v>4</v>
      </c>
      <c r="AB1247" s="66"/>
      <c r="AC1247" s="1" t="s">
        <v>1842</v>
      </c>
      <c r="AD1247" s="62" t="str">
        <f>VLOOKUP(X1247,'Customer List'!B:C,2,)</f>
        <v>Hyderabad</v>
      </c>
      <c r="AE1247" s="67"/>
      <c r="AF1247" s="6"/>
      <c r="AG1247" s="62" t="str">
        <f t="shared" si="298"/>
        <v/>
      </c>
      <c r="AH1247" s="62" t="str">
        <f t="shared" si="299"/>
        <v>Saturday</v>
      </c>
      <c r="AI1247" s="62" t="str">
        <f t="shared" si="300"/>
        <v/>
      </c>
      <c r="AJ1247" s="62" t="str">
        <f>VLOOKUP(AC1247,'Currency Sheet'!A:C,3,)</f>
        <v>DOLLAR</v>
      </c>
      <c r="AK1247" s="62" t="str">
        <f>VLOOKUP(X1247,'Customer List'!B:D,3,)</f>
        <v>OutStation</v>
      </c>
    </row>
    <row r="1248" spans="1:37" hidden="1" x14ac:dyDescent="0.25">
      <c r="A1248" s="62">
        <f t="shared" si="294"/>
        <v>1232</v>
      </c>
      <c r="B1248" s="62" t="s">
        <v>824</v>
      </c>
      <c r="C1248" s="62" t="s">
        <v>2877</v>
      </c>
      <c r="D1248" s="6"/>
      <c r="E1248" s="6">
        <v>46165</v>
      </c>
      <c r="F1248" s="63">
        <v>21</v>
      </c>
      <c r="G1248" s="64">
        <f t="shared" si="295"/>
        <v>1848</v>
      </c>
      <c r="H1248" s="64">
        <f t="shared" si="296"/>
        <v>3696</v>
      </c>
      <c r="I1248" s="70">
        <v>420403</v>
      </c>
      <c r="J1248" s="62" t="s">
        <v>1556</v>
      </c>
      <c r="K1248" s="8" t="s">
        <v>2841</v>
      </c>
      <c r="L1248" s="10">
        <v>46600</v>
      </c>
      <c r="M1248" s="62">
        <v>2</v>
      </c>
      <c r="N1248" s="8">
        <v>2</v>
      </c>
      <c r="O1248" s="62">
        <f t="shared" si="293"/>
        <v>0</v>
      </c>
      <c r="P1248" s="70">
        <v>377</v>
      </c>
      <c r="Q1248" s="71">
        <v>46167</v>
      </c>
      <c r="R1248" s="6">
        <v>46168</v>
      </c>
      <c r="S1248" s="64">
        <v>6696</v>
      </c>
      <c r="T1248" s="22">
        <v>5</v>
      </c>
      <c r="U1248" s="64">
        <f t="shared" si="297"/>
        <v>334.8</v>
      </c>
      <c r="V1248" s="22">
        <v>0.2</v>
      </c>
      <c r="W1248" s="22">
        <v>7031</v>
      </c>
      <c r="X1248" s="62" t="s">
        <v>2874</v>
      </c>
      <c r="Y1248" s="62">
        <v>58165997606</v>
      </c>
      <c r="Z1248" s="62"/>
      <c r="AA1248" s="65">
        <v>4</v>
      </c>
      <c r="AB1248" s="66"/>
      <c r="AC1248" s="1" t="s">
        <v>1842</v>
      </c>
      <c r="AD1248" s="62" t="str">
        <f>VLOOKUP(X1248,'Customer List'!B:C,2,)</f>
        <v>Banglore</v>
      </c>
      <c r="AE1248" s="67"/>
      <c r="AF1248" s="6"/>
      <c r="AG1248" s="62" t="str">
        <f t="shared" si="298"/>
        <v/>
      </c>
      <c r="AH1248" s="62" t="str">
        <f t="shared" si="299"/>
        <v>Wednesday</v>
      </c>
      <c r="AI1248" s="62" t="str">
        <f t="shared" si="300"/>
        <v/>
      </c>
      <c r="AJ1248" s="62" t="str">
        <f>VLOOKUP(AC1248,'Currency Sheet'!A:C,3,)</f>
        <v>DOLLAR</v>
      </c>
      <c r="AK1248" s="62" t="str">
        <f>VLOOKUP(X1248,'Customer List'!B:D,3,)</f>
        <v>OutStation</v>
      </c>
    </row>
    <row r="1249" spans="1:37" hidden="1" x14ac:dyDescent="0.25">
      <c r="A1249" s="62">
        <f t="shared" si="294"/>
        <v>1233</v>
      </c>
      <c r="B1249" s="62" t="s">
        <v>824</v>
      </c>
      <c r="C1249" s="62" t="s">
        <v>2877</v>
      </c>
      <c r="D1249" s="6"/>
      <c r="E1249" s="6">
        <v>46165</v>
      </c>
      <c r="F1249" s="63">
        <v>86.8</v>
      </c>
      <c r="G1249" s="64">
        <f t="shared" si="295"/>
        <v>7638.4</v>
      </c>
      <c r="H1249" s="64">
        <f t="shared" si="296"/>
        <v>7638.4</v>
      </c>
      <c r="I1249" s="70">
        <v>127637</v>
      </c>
      <c r="J1249" s="62" t="s">
        <v>2842</v>
      </c>
      <c r="K1249" s="8" t="s">
        <v>2843</v>
      </c>
      <c r="L1249" s="10">
        <v>47521</v>
      </c>
      <c r="M1249" s="62">
        <v>1</v>
      </c>
      <c r="N1249" s="8">
        <v>1</v>
      </c>
      <c r="O1249" s="62">
        <f t="shared" si="293"/>
        <v>0</v>
      </c>
      <c r="P1249" s="70">
        <v>364</v>
      </c>
      <c r="Q1249" s="71">
        <v>46167</v>
      </c>
      <c r="R1249" s="6">
        <v>46167</v>
      </c>
      <c r="S1249" s="64">
        <v>14415</v>
      </c>
      <c r="T1249" s="22">
        <v>5</v>
      </c>
      <c r="U1249" s="64">
        <f t="shared" si="297"/>
        <v>720.75</v>
      </c>
      <c r="V1249" s="22">
        <v>0.26</v>
      </c>
      <c r="W1249" s="22">
        <v>18065</v>
      </c>
      <c r="X1249" s="62" t="s">
        <v>2875</v>
      </c>
      <c r="Y1249" s="62" t="s">
        <v>1120</v>
      </c>
      <c r="Z1249" s="62" t="s">
        <v>1863</v>
      </c>
      <c r="AA1249" s="65">
        <v>4</v>
      </c>
      <c r="AB1249" s="66"/>
      <c r="AC1249" s="1" t="s">
        <v>1842</v>
      </c>
      <c r="AD1249" s="62" t="str">
        <f>VLOOKUP(X1249,'Customer List'!B:C,2,)</f>
        <v>DELHI</v>
      </c>
      <c r="AE1249" s="67"/>
      <c r="AF1249" s="6"/>
      <c r="AG1249" s="62" t="str">
        <f t="shared" si="298"/>
        <v/>
      </c>
      <c r="AH1249" s="62" t="str">
        <f t="shared" si="299"/>
        <v>Monday</v>
      </c>
      <c r="AI1249" s="62" t="str">
        <f t="shared" si="300"/>
        <v/>
      </c>
      <c r="AJ1249" s="62" t="str">
        <f>VLOOKUP(AC1249,'Currency Sheet'!A:C,3,)</f>
        <v>DOLLAR</v>
      </c>
      <c r="AK1249" s="62" t="str">
        <f>VLOOKUP(X1249,'Customer List'!B:D,3,)</f>
        <v>Local</v>
      </c>
    </row>
    <row r="1250" spans="1:37" hidden="1" x14ac:dyDescent="0.25">
      <c r="A1250" s="62">
        <f t="shared" si="294"/>
        <v>1234</v>
      </c>
      <c r="B1250" s="62" t="s">
        <v>824</v>
      </c>
      <c r="C1250" s="62" t="s">
        <v>2877</v>
      </c>
      <c r="D1250" s="6"/>
      <c r="E1250" s="6">
        <v>46165</v>
      </c>
      <c r="F1250" s="63">
        <v>16.8</v>
      </c>
      <c r="G1250" s="64">
        <f t="shared" si="295"/>
        <v>1478.4</v>
      </c>
      <c r="H1250" s="64">
        <f t="shared" si="296"/>
        <v>1478.4</v>
      </c>
      <c r="I1250" s="70">
        <v>100401</v>
      </c>
      <c r="J1250" s="62" t="s">
        <v>911</v>
      </c>
      <c r="K1250" s="8" t="s">
        <v>2844</v>
      </c>
      <c r="L1250" s="10">
        <v>48107</v>
      </c>
      <c r="M1250" s="62">
        <v>1</v>
      </c>
      <c r="N1250" s="8">
        <v>1</v>
      </c>
      <c r="O1250" s="62">
        <f t="shared" si="293"/>
        <v>0</v>
      </c>
      <c r="P1250" s="70">
        <v>364</v>
      </c>
      <c r="Q1250" s="71">
        <v>46167</v>
      </c>
      <c r="R1250" s="6">
        <v>46167</v>
      </c>
      <c r="S1250" s="64">
        <v>2790</v>
      </c>
      <c r="T1250" s="22">
        <v>5</v>
      </c>
      <c r="U1250" s="64">
        <f t="shared" si="297"/>
        <v>139.5</v>
      </c>
      <c r="V1250" s="22">
        <v>0</v>
      </c>
      <c r="W1250" s="22">
        <v>18065</v>
      </c>
      <c r="X1250" s="62" t="s">
        <v>2875</v>
      </c>
      <c r="Y1250" s="62" t="s">
        <v>1120</v>
      </c>
      <c r="Z1250" s="62" t="s">
        <v>1863</v>
      </c>
      <c r="AA1250" s="65">
        <v>4</v>
      </c>
      <c r="AB1250" s="66"/>
      <c r="AC1250" s="1" t="s">
        <v>1842</v>
      </c>
      <c r="AD1250" s="62" t="str">
        <f>VLOOKUP(X1250,'Customer List'!B:C,2,)</f>
        <v>DELHI</v>
      </c>
      <c r="AE1250" s="67"/>
      <c r="AF1250" s="6"/>
      <c r="AG1250" s="62" t="str">
        <f t="shared" si="298"/>
        <v/>
      </c>
      <c r="AH1250" s="62" t="str">
        <f t="shared" si="299"/>
        <v>Wednesday</v>
      </c>
      <c r="AI1250" s="62" t="str">
        <f t="shared" si="300"/>
        <v/>
      </c>
      <c r="AJ1250" s="62" t="str">
        <f>VLOOKUP(AC1250,'Currency Sheet'!A:C,3,)</f>
        <v>DOLLAR</v>
      </c>
      <c r="AK1250" s="62" t="str">
        <f>VLOOKUP(X1250,'Customer List'!B:D,3,)</f>
        <v>Local</v>
      </c>
    </row>
    <row r="1251" spans="1:37" hidden="1" x14ac:dyDescent="0.25">
      <c r="A1251" s="62">
        <f t="shared" si="294"/>
        <v>1235</v>
      </c>
      <c r="B1251" s="62" t="s">
        <v>824</v>
      </c>
      <c r="C1251" s="62" t="s">
        <v>2877</v>
      </c>
      <c r="D1251" s="6"/>
      <c r="E1251" s="6">
        <v>46165</v>
      </c>
      <c r="F1251" s="63">
        <v>95.2</v>
      </c>
      <c r="G1251" s="64">
        <f t="shared" si="295"/>
        <v>8377.6</v>
      </c>
      <c r="H1251" s="64">
        <f t="shared" si="296"/>
        <v>41888</v>
      </c>
      <c r="I1251" s="70">
        <v>361702</v>
      </c>
      <c r="J1251" s="62" t="s">
        <v>2845</v>
      </c>
      <c r="K1251" s="8" t="s">
        <v>2846</v>
      </c>
      <c r="L1251" s="10">
        <v>47328</v>
      </c>
      <c r="M1251" s="62">
        <v>5</v>
      </c>
      <c r="N1251" s="8">
        <v>5</v>
      </c>
      <c r="O1251" s="62">
        <f t="shared" si="293"/>
        <v>0</v>
      </c>
      <c r="P1251" s="70">
        <v>365</v>
      </c>
      <c r="Q1251" s="71">
        <v>46167</v>
      </c>
      <c r="R1251" s="6">
        <v>46167</v>
      </c>
      <c r="S1251" s="64">
        <v>66640</v>
      </c>
      <c r="T1251" s="22">
        <v>5</v>
      </c>
      <c r="U1251" s="64">
        <f t="shared" si="297"/>
        <v>3332</v>
      </c>
      <c r="V1251" s="22">
        <v>0</v>
      </c>
      <c r="W1251" s="22">
        <v>69972</v>
      </c>
      <c r="X1251" s="62" t="s">
        <v>20</v>
      </c>
      <c r="Y1251" s="62" t="s">
        <v>1391</v>
      </c>
      <c r="Z1251" s="62" t="s">
        <v>1391</v>
      </c>
      <c r="AA1251" s="65">
        <v>4</v>
      </c>
      <c r="AB1251" s="66"/>
      <c r="AC1251" s="1" t="s">
        <v>1842</v>
      </c>
      <c r="AD1251" s="62" t="str">
        <f>VLOOKUP(X1251,'Customer List'!B:C,2,)</f>
        <v>Delhi</v>
      </c>
      <c r="AE1251" s="67"/>
      <c r="AF1251" s="6"/>
      <c r="AG1251" s="62" t="str">
        <f t="shared" si="298"/>
        <v/>
      </c>
      <c r="AH1251" s="62" t="str">
        <f t="shared" si="299"/>
        <v>Saturday</v>
      </c>
      <c r="AI1251" s="62" t="str">
        <f t="shared" si="300"/>
        <v/>
      </c>
      <c r="AJ1251" s="62" t="str">
        <f>VLOOKUP(AC1251,'Currency Sheet'!A:C,3,)</f>
        <v>DOLLAR</v>
      </c>
      <c r="AK1251" s="62" t="str">
        <f>VLOOKUP(X1251,'Customer List'!B:D,3,)</f>
        <v>Local</v>
      </c>
    </row>
    <row r="1252" spans="1:37" hidden="1" x14ac:dyDescent="0.25">
      <c r="A1252" s="62">
        <f t="shared" si="294"/>
        <v>1236</v>
      </c>
      <c r="B1252" s="62" t="s">
        <v>824</v>
      </c>
      <c r="C1252" s="62" t="s">
        <v>2877</v>
      </c>
      <c r="D1252" s="6"/>
      <c r="E1252" s="6">
        <v>46165</v>
      </c>
      <c r="F1252" s="63">
        <v>362.25</v>
      </c>
      <c r="G1252" s="64">
        <f t="shared" si="295"/>
        <v>31878</v>
      </c>
      <c r="H1252" s="64">
        <f t="shared" si="296"/>
        <v>31878</v>
      </c>
      <c r="I1252" s="70">
        <v>480008</v>
      </c>
      <c r="J1252" s="62" t="s">
        <v>1065</v>
      </c>
      <c r="K1252" s="8" t="s">
        <v>2847</v>
      </c>
      <c r="L1252" s="10">
        <v>46543</v>
      </c>
      <c r="M1252" s="62">
        <v>1</v>
      </c>
      <c r="N1252" s="8">
        <v>1</v>
      </c>
      <c r="O1252" s="62">
        <f t="shared" si="293"/>
        <v>0</v>
      </c>
      <c r="P1252" s="70" t="s">
        <v>2915</v>
      </c>
      <c r="Q1252" s="71">
        <v>46168</v>
      </c>
      <c r="R1252" s="6">
        <v>46168</v>
      </c>
      <c r="S1252" s="64">
        <v>47817</v>
      </c>
      <c r="T1252" s="22">
        <v>5</v>
      </c>
      <c r="U1252" s="64">
        <f t="shared" si="297"/>
        <v>2390.85</v>
      </c>
      <c r="V1252" s="22">
        <v>-0.1</v>
      </c>
      <c r="W1252" s="22">
        <v>153638</v>
      </c>
      <c r="X1252" s="62" t="s">
        <v>1591</v>
      </c>
      <c r="Y1252" s="62" t="s">
        <v>1391</v>
      </c>
      <c r="Z1252" s="62" t="s">
        <v>1391</v>
      </c>
      <c r="AA1252" s="65">
        <v>4</v>
      </c>
      <c r="AB1252" s="66"/>
      <c r="AC1252" s="1" t="s">
        <v>1842</v>
      </c>
      <c r="AD1252" s="62" t="str">
        <f>VLOOKUP(X1252,'Customer List'!B:C,2,)</f>
        <v>Noida</v>
      </c>
      <c r="AE1252" s="67"/>
      <c r="AF1252" s="6"/>
      <c r="AG1252" s="62" t="str">
        <f t="shared" si="298"/>
        <v/>
      </c>
      <c r="AH1252" s="62" t="str">
        <f t="shared" si="299"/>
        <v>Saturday</v>
      </c>
      <c r="AI1252" s="62" t="str">
        <f t="shared" si="300"/>
        <v/>
      </c>
      <c r="AJ1252" s="62" t="str">
        <f>VLOOKUP(AC1252,'Currency Sheet'!A:C,3,)</f>
        <v>DOLLAR</v>
      </c>
      <c r="AK1252" s="62" t="str">
        <f>VLOOKUP(X1252,'Customer List'!B:D,3,)</f>
        <v>Local</v>
      </c>
    </row>
    <row r="1253" spans="1:37" hidden="1" x14ac:dyDescent="0.25">
      <c r="A1253" s="62">
        <f t="shared" si="294"/>
        <v>1237</v>
      </c>
      <c r="B1253" s="62" t="s">
        <v>824</v>
      </c>
      <c r="C1253" s="62" t="s">
        <v>2877</v>
      </c>
      <c r="D1253" s="6"/>
      <c r="E1253" s="6">
        <v>46165</v>
      </c>
      <c r="F1253" s="63">
        <v>362.25</v>
      </c>
      <c r="G1253" s="64">
        <f t="shared" si="295"/>
        <v>31878</v>
      </c>
      <c r="H1253" s="64">
        <f t="shared" si="296"/>
        <v>31878</v>
      </c>
      <c r="I1253" s="70">
        <v>480006</v>
      </c>
      <c r="J1253" s="62" t="s">
        <v>1063</v>
      </c>
      <c r="K1253" s="8" t="s">
        <v>1810</v>
      </c>
      <c r="L1253" s="10">
        <v>46561</v>
      </c>
      <c r="M1253" s="62">
        <v>1</v>
      </c>
      <c r="N1253" s="8">
        <v>1</v>
      </c>
      <c r="O1253" s="62">
        <f t="shared" si="293"/>
        <v>0</v>
      </c>
      <c r="P1253" s="70" t="s">
        <v>2915</v>
      </c>
      <c r="Q1253" s="71">
        <v>46168</v>
      </c>
      <c r="R1253" s="6">
        <v>46168</v>
      </c>
      <c r="S1253" s="64">
        <v>47817</v>
      </c>
      <c r="T1253" s="22">
        <v>5</v>
      </c>
      <c r="U1253" s="64">
        <f t="shared" si="297"/>
        <v>2390.85</v>
      </c>
      <c r="V1253" s="22">
        <v>0</v>
      </c>
      <c r="W1253" s="22">
        <v>153638</v>
      </c>
      <c r="X1253" s="62" t="s">
        <v>1591</v>
      </c>
      <c r="Y1253" s="62" t="s">
        <v>1391</v>
      </c>
      <c r="Z1253" s="62" t="s">
        <v>1391</v>
      </c>
      <c r="AA1253" s="65">
        <v>4</v>
      </c>
      <c r="AB1253" s="66"/>
      <c r="AC1253" s="1" t="s">
        <v>1842</v>
      </c>
      <c r="AD1253" s="62" t="str">
        <f>VLOOKUP(X1253,'Customer List'!B:C,2,)</f>
        <v>Noida</v>
      </c>
      <c r="AE1253" s="67"/>
      <c r="AF1253" s="6"/>
      <c r="AG1253" s="62" t="str">
        <f t="shared" si="298"/>
        <v/>
      </c>
      <c r="AH1253" s="62" t="str">
        <f t="shared" si="299"/>
        <v>Saturday</v>
      </c>
      <c r="AI1253" s="62" t="str">
        <f t="shared" si="300"/>
        <v/>
      </c>
      <c r="AJ1253" s="62" t="str">
        <f>VLOOKUP(AC1253,'Currency Sheet'!A:C,3,)</f>
        <v>DOLLAR</v>
      </c>
      <c r="AK1253" s="62" t="str">
        <f>VLOOKUP(X1253,'Customer List'!B:D,3,)</f>
        <v>Local</v>
      </c>
    </row>
    <row r="1254" spans="1:37" hidden="1" x14ac:dyDescent="0.25">
      <c r="A1254" s="62">
        <f t="shared" si="294"/>
        <v>1238</v>
      </c>
      <c r="B1254" s="62" t="s">
        <v>824</v>
      </c>
      <c r="C1254" s="62" t="s">
        <v>2877</v>
      </c>
      <c r="D1254" s="6"/>
      <c r="E1254" s="6">
        <v>46165</v>
      </c>
      <c r="F1254" s="63">
        <v>98.7</v>
      </c>
      <c r="G1254" s="64">
        <f t="shared" si="295"/>
        <v>8685.6</v>
      </c>
      <c r="H1254" s="64">
        <f t="shared" si="296"/>
        <v>8685.6</v>
      </c>
      <c r="I1254" s="70">
        <v>135223</v>
      </c>
      <c r="J1254" s="62" t="s">
        <v>934</v>
      </c>
      <c r="K1254" s="8" t="s">
        <v>2848</v>
      </c>
      <c r="L1254" s="10">
        <v>46812</v>
      </c>
      <c r="M1254" s="62">
        <v>1</v>
      </c>
      <c r="N1254" s="8">
        <v>1</v>
      </c>
      <c r="O1254" s="62">
        <f t="shared" si="293"/>
        <v>0</v>
      </c>
      <c r="P1254" s="70" t="s">
        <v>2915</v>
      </c>
      <c r="Q1254" s="71">
        <v>46168</v>
      </c>
      <c r="R1254" s="6">
        <v>46168</v>
      </c>
      <c r="S1254" s="64">
        <v>13959</v>
      </c>
      <c r="T1254" s="22">
        <v>5</v>
      </c>
      <c r="U1254" s="64">
        <f t="shared" si="297"/>
        <v>697.95</v>
      </c>
      <c r="V1254" s="22">
        <v>0</v>
      </c>
      <c r="W1254" s="22">
        <v>153638</v>
      </c>
      <c r="X1254" s="62" t="s">
        <v>1591</v>
      </c>
      <c r="Y1254" s="62" t="s">
        <v>1391</v>
      </c>
      <c r="Z1254" s="62" t="s">
        <v>1391</v>
      </c>
      <c r="AA1254" s="65">
        <v>4</v>
      </c>
      <c r="AB1254" s="66"/>
      <c r="AC1254" s="1" t="s">
        <v>1842</v>
      </c>
      <c r="AD1254" s="62" t="str">
        <f>VLOOKUP(X1254,'Customer List'!B:C,2,)</f>
        <v>Noida</v>
      </c>
      <c r="AE1254" s="67"/>
      <c r="AF1254" s="6"/>
      <c r="AG1254" s="62" t="str">
        <f t="shared" si="298"/>
        <v/>
      </c>
      <c r="AH1254" s="62" t="str">
        <f t="shared" si="299"/>
        <v>Sunday</v>
      </c>
      <c r="AI1254" s="62" t="str">
        <f t="shared" si="300"/>
        <v/>
      </c>
      <c r="AJ1254" s="62" t="str">
        <f>VLOOKUP(AC1254,'Currency Sheet'!A:C,3,)</f>
        <v>DOLLAR</v>
      </c>
      <c r="AK1254" s="62" t="str">
        <f>VLOOKUP(X1254,'Customer List'!B:D,3,)</f>
        <v>Local</v>
      </c>
    </row>
    <row r="1255" spans="1:37" hidden="1" x14ac:dyDescent="0.25">
      <c r="A1255" s="62">
        <f t="shared" si="294"/>
        <v>1239</v>
      </c>
      <c r="B1255" s="62" t="s">
        <v>824</v>
      </c>
      <c r="C1255" s="62" t="s">
        <v>2877</v>
      </c>
      <c r="D1255" s="6"/>
      <c r="E1255" s="6">
        <v>46165</v>
      </c>
      <c r="F1255" s="63">
        <v>102.9</v>
      </c>
      <c r="G1255" s="64">
        <f t="shared" si="295"/>
        <v>9055.2000000000007</v>
      </c>
      <c r="H1255" s="64">
        <f t="shared" si="296"/>
        <v>9055.2000000000007</v>
      </c>
      <c r="I1255" s="70">
        <v>106313</v>
      </c>
      <c r="J1255" s="62" t="s">
        <v>2799</v>
      </c>
      <c r="K1255" s="8" t="s">
        <v>2800</v>
      </c>
      <c r="L1255" s="10">
        <v>47463</v>
      </c>
      <c r="M1255" s="62">
        <v>1</v>
      </c>
      <c r="N1255" s="8">
        <v>1</v>
      </c>
      <c r="O1255" s="62">
        <f t="shared" si="293"/>
        <v>0</v>
      </c>
      <c r="P1255" s="70" t="s">
        <v>2915</v>
      </c>
      <c r="Q1255" s="71">
        <v>46168</v>
      </c>
      <c r="R1255" s="6">
        <v>46168</v>
      </c>
      <c r="S1255" s="64">
        <v>14553</v>
      </c>
      <c r="T1255" s="22">
        <v>5</v>
      </c>
      <c r="U1255" s="64">
        <f t="shared" si="297"/>
        <v>727.65000000000009</v>
      </c>
      <c r="V1255" s="22">
        <v>0</v>
      </c>
      <c r="W1255" s="22">
        <v>153638</v>
      </c>
      <c r="X1255" s="62" t="s">
        <v>1591</v>
      </c>
      <c r="Y1255" s="62" t="s">
        <v>1391</v>
      </c>
      <c r="Z1255" s="62" t="s">
        <v>1391</v>
      </c>
      <c r="AA1255" s="65">
        <v>4</v>
      </c>
      <c r="AB1255" s="66"/>
      <c r="AC1255" s="1" t="s">
        <v>1842</v>
      </c>
      <c r="AD1255" s="62" t="str">
        <f>VLOOKUP(X1255,'Customer List'!B:C,2,)</f>
        <v>Noida</v>
      </c>
      <c r="AE1255" s="67"/>
      <c r="AF1255" s="6"/>
      <c r="AG1255" s="62" t="str">
        <f t="shared" si="298"/>
        <v/>
      </c>
      <c r="AH1255" s="62" t="str">
        <f t="shared" si="299"/>
        <v>Saturday</v>
      </c>
      <c r="AI1255" s="62" t="str">
        <f t="shared" si="300"/>
        <v/>
      </c>
      <c r="AJ1255" s="62" t="str">
        <f>VLOOKUP(AC1255,'Currency Sheet'!A:C,3,)</f>
        <v>DOLLAR</v>
      </c>
      <c r="AK1255" s="62" t="str">
        <f>VLOOKUP(X1255,'Customer List'!B:D,3,)</f>
        <v>Local</v>
      </c>
    </row>
    <row r="1256" spans="1:37" hidden="1" x14ac:dyDescent="0.25">
      <c r="A1256" s="62">
        <f t="shared" si="294"/>
        <v>1240</v>
      </c>
      <c r="B1256" s="62" t="s">
        <v>824</v>
      </c>
      <c r="C1256" s="62" t="s">
        <v>2877</v>
      </c>
      <c r="D1256" s="6"/>
      <c r="E1256" s="6">
        <v>46165</v>
      </c>
      <c r="F1256" s="63">
        <v>78.400000000000006</v>
      </c>
      <c r="G1256" s="64">
        <f t="shared" si="295"/>
        <v>6899.2000000000007</v>
      </c>
      <c r="H1256" s="64">
        <f t="shared" si="296"/>
        <v>6899.2000000000007</v>
      </c>
      <c r="I1256" s="70">
        <v>506315</v>
      </c>
      <c r="J1256" s="62" t="s">
        <v>1070</v>
      </c>
      <c r="K1256" s="8" t="s">
        <v>2849</v>
      </c>
      <c r="L1256" s="10">
        <v>46705</v>
      </c>
      <c r="M1256" s="62">
        <v>1</v>
      </c>
      <c r="N1256" s="8">
        <v>1</v>
      </c>
      <c r="O1256" s="62">
        <f t="shared" si="293"/>
        <v>0</v>
      </c>
      <c r="P1256" s="70" t="s">
        <v>2915</v>
      </c>
      <c r="Q1256" s="71">
        <v>46168</v>
      </c>
      <c r="R1256" s="6">
        <v>46168</v>
      </c>
      <c r="S1256" s="64">
        <v>11088</v>
      </c>
      <c r="T1256" s="22">
        <v>5</v>
      </c>
      <c r="U1256" s="64">
        <f t="shared" si="297"/>
        <v>554.4</v>
      </c>
      <c r="V1256" s="22">
        <v>0</v>
      </c>
      <c r="W1256" s="22">
        <v>153638</v>
      </c>
      <c r="X1256" s="62" t="s">
        <v>1591</v>
      </c>
      <c r="Y1256" s="62" t="s">
        <v>1391</v>
      </c>
      <c r="Z1256" s="62" t="s">
        <v>1391</v>
      </c>
      <c r="AA1256" s="65">
        <v>4</v>
      </c>
      <c r="AB1256" s="66"/>
      <c r="AC1256" s="1" t="s">
        <v>1842</v>
      </c>
      <c r="AD1256" s="62" t="str">
        <f>VLOOKUP(X1256,'Customer List'!B:C,2,)</f>
        <v>Noida</v>
      </c>
      <c r="AE1256" s="67"/>
      <c r="AF1256" s="6"/>
      <c r="AG1256" s="62" t="str">
        <f t="shared" si="298"/>
        <v/>
      </c>
      <c r="AH1256" s="62" t="str">
        <f t="shared" si="299"/>
        <v>Saturday</v>
      </c>
      <c r="AI1256" s="62" t="str">
        <f t="shared" si="300"/>
        <v/>
      </c>
      <c r="AJ1256" s="62" t="str">
        <f>VLOOKUP(AC1256,'Currency Sheet'!A:C,3,)</f>
        <v>DOLLAR</v>
      </c>
      <c r="AK1256" s="62" t="str">
        <f>VLOOKUP(X1256,'Customer List'!B:D,3,)</f>
        <v>Local</v>
      </c>
    </row>
    <row r="1257" spans="1:37" hidden="1" x14ac:dyDescent="0.25">
      <c r="A1257" s="62">
        <f t="shared" si="294"/>
        <v>1241</v>
      </c>
      <c r="B1257" s="62" t="s">
        <v>824</v>
      </c>
      <c r="C1257" s="62" t="s">
        <v>2877</v>
      </c>
      <c r="D1257" s="6"/>
      <c r="E1257" s="6">
        <v>46165</v>
      </c>
      <c r="F1257" s="63">
        <v>78.400000000000006</v>
      </c>
      <c r="G1257" s="64">
        <f t="shared" si="295"/>
        <v>6899.2000000000007</v>
      </c>
      <c r="H1257" s="64">
        <f t="shared" si="296"/>
        <v>6899.2000000000007</v>
      </c>
      <c r="I1257" s="70">
        <v>505816</v>
      </c>
      <c r="J1257" s="62" t="s">
        <v>783</v>
      </c>
      <c r="K1257" s="8" t="s">
        <v>2850</v>
      </c>
      <c r="L1257" s="10">
        <v>46678</v>
      </c>
      <c r="M1257" s="62">
        <v>1</v>
      </c>
      <c r="N1257" s="8">
        <v>1</v>
      </c>
      <c r="O1257" s="62">
        <f t="shared" si="293"/>
        <v>0</v>
      </c>
      <c r="P1257" s="70" t="s">
        <v>2915</v>
      </c>
      <c r="Q1257" s="71">
        <v>46168</v>
      </c>
      <c r="R1257" s="6">
        <v>46168</v>
      </c>
      <c r="S1257" s="64">
        <v>11088</v>
      </c>
      <c r="T1257" s="22">
        <v>5</v>
      </c>
      <c r="U1257" s="64">
        <f t="shared" si="297"/>
        <v>554.4</v>
      </c>
      <c r="V1257" s="22">
        <v>0</v>
      </c>
      <c r="W1257" s="22">
        <v>153638</v>
      </c>
      <c r="X1257" s="62" t="s">
        <v>1591</v>
      </c>
      <c r="Y1257" s="62" t="s">
        <v>1391</v>
      </c>
      <c r="Z1257" s="62" t="s">
        <v>1391</v>
      </c>
      <c r="AA1257" s="65">
        <v>4</v>
      </c>
      <c r="AB1257" s="66"/>
      <c r="AC1257" s="1" t="s">
        <v>1842</v>
      </c>
      <c r="AD1257" s="62" t="str">
        <f>VLOOKUP(X1257,'Customer List'!B:C,2,)</f>
        <v>Noida</v>
      </c>
      <c r="AE1257" s="67"/>
      <c r="AF1257" s="6"/>
      <c r="AG1257" s="62" t="str">
        <f t="shared" si="298"/>
        <v/>
      </c>
      <c r="AH1257" s="62" t="str">
        <f t="shared" si="299"/>
        <v>Saturday</v>
      </c>
      <c r="AI1257" s="62" t="str">
        <f t="shared" si="300"/>
        <v/>
      </c>
      <c r="AJ1257" s="62" t="str">
        <f>VLOOKUP(AC1257,'Currency Sheet'!A:C,3,)</f>
        <v>DOLLAR</v>
      </c>
      <c r="AK1257" s="62" t="str">
        <f>VLOOKUP(X1257,'Customer List'!B:D,3,)</f>
        <v>Local</v>
      </c>
    </row>
    <row r="1258" spans="1:37" hidden="1" x14ac:dyDescent="0.25">
      <c r="A1258" s="62">
        <f t="shared" si="294"/>
        <v>1242</v>
      </c>
      <c r="B1258" s="62" t="s">
        <v>824</v>
      </c>
      <c r="C1258" s="62" t="s">
        <v>2877</v>
      </c>
      <c r="D1258" s="6"/>
      <c r="E1258" s="6">
        <v>46165</v>
      </c>
      <c r="F1258" s="63">
        <v>229.6</v>
      </c>
      <c r="G1258" s="64">
        <f t="shared" si="295"/>
        <v>20204.8</v>
      </c>
      <c r="H1258" s="64">
        <f t="shared" si="296"/>
        <v>40409.599999999999</v>
      </c>
      <c r="I1258" s="70">
        <v>356410</v>
      </c>
      <c r="J1258" s="62" t="s">
        <v>766</v>
      </c>
      <c r="K1258" s="8" t="s">
        <v>2851</v>
      </c>
      <c r="L1258" s="10">
        <v>47856</v>
      </c>
      <c r="M1258" s="62">
        <v>2</v>
      </c>
      <c r="N1258" s="8">
        <v>2</v>
      </c>
      <c r="O1258" s="62">
        <f t="shared" si="293"/>
        <v>0</v>
      </c>
      <c r="P1258" s="70">
        <v>371</v>
      </c>
      <c r="Q1258" s="71">
        <v>46167</v>
      </c>
      <c r="R1258" s="6">
        <v>46167</v>
      </c>
      <c r="S1258" s="64">
        <v>71176</v>
      </c>
      <c r="T1258" s="22">
        <v>5</v>
      </c>
      <c r="U1258" s="64">
        <f t="shared" si="297"/>
        <v>3558.8</v>
      </c>
      <c r="V1258" s="22">
        <v>0.25</v>
      </c>
      <c r="W1258" s="22">
        <v>345193</v>
      </c>
      <c r="X1258" s="62" t="s">
        <v>2876</v>
      </c>
      <c r="Y1258" s="62">
        <v>58165949752</v>
      </c>
      <c r="Z1258" s="62" t="s">
        <v>2894</v>
      </c>
      <c r="AA1258" s="65">
        <v>4</v>
      </c>
      <c r="AB1258" s="66"/>
      <c r="AC1258" s="1" t="s">
        <v>1842</v>
      </c>
      <c r="AD1258" s="62" t="str">
        <f>VLOOKUP(X1258,'Customer List'!B:C,2,)</f>
        <v>Banglore</v>
      </c>
      <c r="AE1258" s="67"/>
      <c r="AF1258" s="6">
        <v>46168</v>
      </c>
      <c r="AG1258" s="62">
        <f t="shared" si="298"/>
        <v>1</v>
      </c>
      <c r="AH1258" s="62" t="str">
        <f t="shared" si="299"/>
        <v>Saturday</v>
      </c>
      <c r="AI1258" s="62" t="str">
        <f t="shared" si="300"/>
        <v>Tuesday</v>
      </c>
      <c r="AJ1258" s="62" t="str">
        <f>VLOOKUP(AC1258,'Currency Sheet'!A:C,3,)</f>
        <v>DOLLAR</v>
      </c>
      <c r="AK1258" s="62" t="str">
        <f>VLOOKUP(X1258,'Customer List'!B:D,3,)</f>
        <v>OutStation</v>
      </c>
    </row>
    <row r="1259" spans="1:37" hidden="1" x14ac:dyDescent="0.25">
      <c r="A1259" s="62">
        <f t="shared" si="294"/>
        <v>1243</v>
      </c>
      <c r="B1259" s="62" t="s">
        <v>824</v>
      </c>
      <c r="C1259" s="62" t="s">
        <v>2877</v>
      </c>
      <c r="D1259" s="6"/>
      <c r="E1259" s="6">
        <v>46165</v>
      </c>
      <c r="F1259" s="63">
        <v>301.5</v>
      </c>
      <c r="G1259" s="64">
        <f t="shared" si="295"/>
        <v>26532</v>
      </c>
      <c r="H1259" s="64">
        <f t="shared" si="296"/>
        <v>53064</v>
      </c>
      <c r="I1259" s="70">
        <v>314516</v>
      </c>
      <c r="J1259" s="62" t="s">
        <v>1242</v>
      </c>
      <c r="K1259" s="8" t="s">
        <v>2852</v>
      </c>
      <c r="L1259" s="10">
        <v>46864</v>
      </c>
      <c r="M1259" s="62">
        <v>2</v>
      </c>
      <c r="N1259" s="8">
        <v>2</v>
      </c>
      <c r="O1259" s="62">
        <f t="shared" si="293"/>
        <v>0</v>
      </c>
      <c r="P1259" s="70">
        <v>371</v>
      </c>
      <c r="Q1259" s="71">
        <v>46167</v>
      </c>
      <c r="R1259" s="6">
        <v>46167</v>
      </c>
      <c r="S1259" s="64">
        <v>87234</v>
      </c>
      <c r="T1259" s="22">
        <v>5</v>
      </c>
      <c r="U1259" s="64">
        <f t="shared" si="297"/>
        <v>4361.7</v>
      </c>
      <c r="V1259" s="22">
        <v>0</v>
      </c>
      <c r="W1259" s="22">
        <v>345193</v>
      </c>
      <c r="X1259" s="62" t="s">
        <v>2876</v>
      </c>
      <c r="Y1259" s="62">
        <v>58165949752</v>
      </c>
      <c r="Z1259" s="62" t="s">
        <v>2894</v>
      </c>
      <c r="AA1259" s="65">
        <v>4</v>
      </c>
      <c r="AB1259" s="66"/>
      <c r="AC1259" s="1" t="s">
        <v>1842</v>
      </c>
      <c r="AD1259" s="62" t="str">
        <f>VLOOKUP(X1259,'Customer List'!B:C,2,)</f>
        <v>Banglore</v>
      </c>
      <c r="AE1259" s="67"/>
      <c r="AF1259" s="6">
        <v>46168</v>
      </c>
      <c r="AG1259" s="62">
        <f t="shared" si="298"/>
        <v>1</v>
      </c>
      <c r="AH1259" s="62" t="str">
        <f t="shared" si="299"/>
        <v>Saturday</v>
      </c>
      <c r="AI1259" s="62" t="str">
        <f t="shared" si="300"/>
        <v>Tuesday</v>
      </c>
      <c r="AJ1259" s="62" t="str">
        <f>VLOOKUP(AC1259,'Currency Sheet'!A:C,3,)</f>
        <v>DOLLAR</v>
      </c>
      <c r="AK1259" s="62" t="str">
        <f>VLOOKUP(X1259,'Customer List'!B:D,3,)</f>
        <v>OutStation</v>
      </c>
    </row>
    <row r="1260" spans="1:37" hidden="1" x14ac:dyDescent="0.25">
      <c r="A1260" s="62">
        <f t="shared" si="294"/>
        <v>1244</v>
      </c>
      <c r="B1260" s="62" t="s">
        <v>824</v>
      </c>
      <c r="C1260" s="62" t="s">
        <v>2877</v>
      </c>
      <c r="D1260" s="6"/>
      <c r="E1260" s="6">
        <v>46165</v>
      </c>
      <c r="F1260" s="63">
        <v>326.25</v>
      </c>
      <c r="G1260" s="64">
        <f t="shared" si="295"/>
        <v>28710</v>
      </c>
      <c r="H1260" s="64">
        <f t="shared" si="296"/>
        <v>57420</v>
      </c>
      <c r="I1260" s="70">
        <v>356522</v>
      </c>
      <c r="J1260" s="62" t="s">
        <v>754</v>
      </c>
      <c r="K1260" s="8" t="s">
        <v>2853</v>
      </c>
      <c r="L1260" s="10">
        <v>47056</v>
      </c>
      <c r="M1260" s="62">
        <v>2</v>
      </c>
      <c r="N1260" s="8">
        <v>2</v>
      </c>
      <c r="O1260" s="62">
        <f t="shared" si="293"/>
        <v>0</v>
      </c>
      <c r="P1260" s="70">
        <v>371</v>
      </c>
      <c r="Q1260" s="71">
        <v>46167</v>
      </c>
      <c r="R1260" s="6">
        <v>46167</v>
      </c>
      <c r="S1260" s="64">
        <v>94395</v>
      </c>
      <c r="T1260" s="22">
        <v>5</v>
      </c>
      <c r="U1260" s="64">
        <f t="shared" si="297"/>
        <v>4719.75</v>
      </c>
      <c r="V1260" s="22">
        <v>0</v>
      </c>
      <c r="W1260" s="22">
        <v>345193</v>
      </c>
      <c r="X1260" s="62" t="s">
        <v>2876</v>
      </c>
      <c r="Y1260" s="62">
        <v>58165949752</v>
      </c>
      <c r="Z1260" s="62" t="s">
        <v>2894</v>
      </c>
      <c r="AA1260" s="65">
        <v>4</v>
      </c>
      <c r="AB1260" s="66"/>
      <c r="AC1260" s="1" t="s">
        <v>1842</v>
      </c>
      <c r="AD1260" s="62" t="str">
        <f>VLOOKUP(X1260,'Customer List'!B:C,2,)</f>
        <v>Banglore</v>
      </c>
      <c r="AE1260" s="67"/>
      <c r="AF1260" s="6">
        <v>46168</v>
      </c>
      <c r="AG1260" s="62">
        <f t="shared" si="298"/>
        <v>1</v>
      </c>
      <c r="AH1260" s="62" t="str">
        <f t="shared" si="299"/>
        <v>Saturday</v>
      </c>
      <c r="AI1260" s="62" t="str">
        <f t="shared" si="300"/>
        <v>Tuesday</v>
      </c>
      <c r="AJ1260" s="62" t="str">
        <f>VLOOKUP(AC1260,'Currency Sheet'!A:C,3,)</f>
        <v>DOLLAR</v>
      </c>
      <c r="AK1260" s="62" t="str">
        <f>VLOOKUP(X1260,'Customer List'!B:D,3,)</f>
        <v>OutStation</v>
      </c>
    </row>
    <row r="1261" spans="1:37" hidden="1" x14ac:dyDescent="0.25">
      <c r="A1261" s="62">
        <f t="shared" si="294"/>
        <v>1245</v>
      </c>
      <c r="B1261" s="62" t="s">
        <v>824</v>
      </c>
      <c r="C1261" s="62" t="s">
        <v>2877</v>
      </c>
      <c r="D1261" s="6"/>
      <c r="E1261" s="6">
        <v>46165</v>
      </c>
      <c r="F1261" s="63">
        <v>262.5</v>
      </c>
      <c r="G1261" s="64">
        <f t="shared" si="295"/>
        <v>23100</v>
      </c>
      <c r="H1261" s="64">
        <f t="shared" si="296"/>
        <v>46200</v>
      </c>
      <c r="I1261" s="70">
        <v>303562</v>
      </c>
      <c r="J1261" s="62" t="s">
        <v>767</v>
      </c>
      <c r="K1261" s="8" t="s">
        <v>2854</v>
      </c>
      <c r="L1261" s="10">
        <v>46765</v>
      </c>
      <c r="M1261" s="62">
        <v>2</v>
      </c>
      <c r="N1261" s="8">
        <v>2</v>
      </c>
      <c r="O1261" s="62">
        <f t="shared" si="293"/>
        <v>0</v>
      </c>
      <c r="P1261" s="70">
        <v>371</v>
      </c>
      <c r="Q1261" s="71">
        <v>46167</v>
      </c>
      <c r="R1261" s="6">
        <v>46167</v>
      </c>
      <c r="S1261" s="64">
        <v>75950</v>
      </c>
      <c r="T1261" s="22">
        <v>5</v>
      </c>
      <c r="U1261" s="64">
        <f t="shared" si="297"/>
        <v>3797.5</v>
      </c>
      <c r="V1261" s="22">
        <v>0</v>
      </c>
      <c r="W1261" s="22">
        <v>345193</v>
      </c>
      <c r="X1261" s="62" t="s">
        <v>2876</v>
      </c>
      <c r="Y1261" s="62">
        <v>58165949752</v>
      </c>
      <c r="Z1261" s="62" t="s">
        <v>2894</v>
      </c>
      <c r="AA1261" s="65">
        <v>4</v>
      </c>
      <c r="AB1261" s="66"/>
      <c r="AC1261" s="1" t="s">
        <v>1842</v>
      </c>
      <c r="AD1261" s="62" t="str">
        <f>VLOOKUP(X1261,'Customer List'!B:C,2,)</f>
        <v>Banglore</v>
      </c>
      <c r="AE1261" s="67"/>
      <c r="AF1261" s="6">
        <v>46168</v>
      </c>
      <c r="AG1261" s="62">
        <f t="shared" si="298"/>
        <v>1</v>
      </c>
      <c r="AH1261" s="62" t="str">
        <f t="shared" si="299"/>
        <v>Saturday</v>
      </c>
      <c r="AI1261" s="62" t="str">
        <f t="shared" si="300"/>
        <v>Tuesday</v>
      </c>
      <c r="AJ1261" s="62" t="str">
        <f>VLOOKUP(AC1261,'Currency Sheet'!A:C,3,)</f>
        <v>DOLLAR</v>
      </c>
      <c r="AK1261" s="62" t="str">
        <f>VLOOKUP(X1261,'Customer List'!B:D,3,)</f>
        <v>OutStation</v>
      </c>
    </row>
    <row r="1262" spans="1:37" hidden="1" x14ac:dyDescent="0.25">
      <c r="A1262" s="62">
        <f t="shared" si="294"/>
        <v>1246</v>
      </c>
      <c r="B1262" s="62" t="s">
        <v>824</v>
      </c>
      <c r="C1262" s="62" t="s">
        <v>2877</v>
      </c>
      <c r="D1262" s="6"/>
      <c r="E1262" s="6">
        <v>46165</v>
      </c>
      <c r="F1262" s="63">
        <v>240.8</v>
      </c>
      <c r="G1262" s="64">
        <f t="shared" si="295"/>
        <v>21190.400000000001</v>
      </c>
      <c r="H1262" s="64">
        <f t="shared" si="296"/>
        <v>21190.400000000001</v>
      </c>
      <c r="I1262" s="70">
        <v>104766</v>
      </c>
      <c r="J1262" s="62" t="s">
        <v>2745</v>
      </c>
      <c r="K1262" s="8" t="s">
        <v>2855</v>
      </c>
      <c r="L1262" s="10">
        <v>47685</v>
      </c>
      <c r="M1262" s="62">
        <v>1</v>
      </c>
      <c r="N1262" s="8"/>
      <c r="O1262" s="62">
        <f t="shared" si="293"/>
        <v>1</v>
      </c>
      <c r="P1262" s="70"/>
      <c r="Q1262" s="71"/>
      <c r="R1262" s="6"/>
      <c r="S1262" s="64">
        <v>27436.75</v>
      </c>
      <c r="T1262" s="22">
        <v>5</v>
      </c>
      <c r="U1262" s="64">
        <f t="shared" si="297"/>
        <v>1371.8375000000001</v>
      </c>
      <c r="V1262" s="22">
        <v>0.26</v>
      </c>
      <c r="W1262" s="22">
        <v>143122</v>
      </c>
      <c r="X1262" s="62" t="s">
        <v>802</v>
      </c>
      <c r="Y1262" s="62"/>
      <c r="Z1262" s="62"/>
      <c r="AA1262" s="65">
        <v>4</v>
      </c>
      <c r="AB1262" s="66"/>
      <c r="AC1262" s="1" t="s">
        <v>1842</v>
      </c>
      <c r="AD1262" s="62" t="str">
        <f>VLOOKUP(X1262,'Customer List'!B:C,2,)</f>
        <v>Pune</v>
      </c>
      <c r="AE1262" s="67"/>
      <c r="AF1262" s="6"/>
      <c r="AG1262" s="62" t="str">
        <f t="shared" si="298"/>
        <v/>
      </c>
      <c r="AH1262" s="62" t="str">
        <f t="shared" si="299"/>
        <v>Tuesday</v>
      </c>
      <c r="AI1262" s="62" t="str">
        <f t="shared" si="300"/>
        <v/>
      </c>
      <c r="AJ1262" s="62" t="str">
        <f>VLOOKUP(AC1262,'Currency Sheet'!A:C,3,)</f>
        <v>DOLLAR</v>
      </c>
      <c r="AK1262" s="62" t="str">
        <f>VLOOKUP(X1262,'Customer List'!B:D,3,)</f>
        <v>OutStation</v>
      </c>
    </row>
    <row r="1263" spans="1:37" hidden="1" x14ac:dyDescent="0.25">
      <c r="A1263" s="62">
        <f t="shared" si="294"/>
        <v>1247</v>
      </c>
      <c r="B1263" s="62" t="s">
        <v>824</v>
      </c>
      <c r="C1263" s="62" t="s">
        <v>2877</v>
      </c>
      <c r="D1263" s="6"/>
      <c r="E1263" s="6">
        <v>46165</v>
      </c>
      <c r="F1263" s="63">
        <v>279.3</v>
      </c>
      <c r="G1263" s="64">
        <f t="shared" si="295"/>
        <v>24578.400000000001</v>
      </c>
      <c r="H1263" s="64">
        <f t="shared" si="296"/>
        <v>24578.400000000001</v>
      </c>
      <c r="I1263" s="70">
        <v>155316</v>
      </c>
      <c r="J1263" s="62" t="s">
        <v>1505</v>
      </c>
      <c r="K1263" s="8" t="s">
        <v>2856</v>
      </c>
      <c r="L1263" s="10">
        <v>47106</v>
      </c>
      <c r="M1263" s="62">
        <v>1</v>
      </c>
      <c r="N1263" s="8"/>
      <c r="O1263" s="62">
        <f t="shared" si="293"/>
        <v>1</v>
      </c>
      <c r="P1263" s="70"/>
      <c r="Q1263" s="71"/>
      <c r="R1263" s="6"/>
      <c r="S1263" s="64">
        <v>31823.439999999999</v>
      </c>
      <c r="T1263" s="22">
        <v>5</v>
      </c>
      <c r="U1263" s="64">
        <f t="shared" si="297"/>
        <v>1591.172</v>
      </c>
      <c r="V1263" s="22">
        <v>0</v>
      </c>
      <c r="W1263" s="22">
        <v>143122</v>
      </c>
      <c r="X1263" s="62" t="s">
        <v>802</v>
      </c>
      <c r="Y1263" s="62"/>
      <c r="Z1263" s="62"/>
      <c r="AA1263" s="65">
        <v>4</v>
      </c>
      <c r="AB1263" s="66"/>
      <c r="AC1263" s="1" t="s">
        <v>1842</v>
      </c>
      <c r="AD1263" s="62" t="str">
        <f>VLOOKUP(X1263,'Customer List'!B:C,2,)</f>
        <v>Pune</v>
      </c>
      <c r="AE1263" s="67"/>
      <c r="AF1263" s="6"/>
      <c r="AG1263" s="62" t="str">
        <f t="shared" si="298"/>
        <v/>
      </c>
      <c r="AH1263" s="62" t="str">
        <f t="shared" si="299"/>
        <v>Sunday</v>
      </c>
      <c r="AI1263" s="62" t="str">
        <f t="shared" si="300"/>
        <v/>
      </c>
      <c r="AJ1263" s="62" t="str">
        <f>VLOOKUP(AC1263,'Currency Sheet'!A:C,3,)</f>
        <v>DOLLAR</v>
      </c>
      <c r="AK1263" s="62" t="str">
        <f>VLOOKUP(X1263,'Customer List'!B:D,3,)</f>
        <v>OutStation</v>
      </c>
    </row>
    <row r="1264" spans="1:37" hidden="1" x14ac:dyDescent="0.25">
      <c r="A1264" s="62">
        <f t="shared" si="294"/>
        <v>1248</v>
      </c>
      <c r="B1264" s="62" t="s">
        <v>824</v>
      </c>
      <c r="C1264" s="62" t="s">
        <v>2877</v>
      </c>
      <c r="D1264" s="6"/>
      <c r="E1264" s="6">
        <v>46165</v>
      </c>
      <c r="F1264" s="63">
        <v>206.5</v>
      </c>
      <c r="G1264" s="64">
        <f t="shared" si="295"/>
        <v>18172</v>
      </c>
      <c r="H1264" s="64">
        <f t="shared" si="296"/>
        <v>18172</v>
      </c>
      <c r="I1264" s="70">
        <v>165804</v>
      </c>
      <c r="J1264" s="62" t="s">
        <v>2857</v>
      </c>
      <c r="K1264" s="8" t="s">
        <v>2858</v>
      </c>
      <c r="L1264" s="10">
        <v>47591</v>
      </c>
      <c r="M1264" s="62">
        <v>1</v>
      </c>
      <c r="N1264" s="8"/>
      <c r="O1264" s="62">
        <f t="shared" si="293"/>
        <v>1</v>
      </c>
      <c r="P1264" s="70"/>
      <c r="Q1264" s="71"/>
      <c r="R1264" s="6"/>
      <c r="S1264" s="64">
        <v>23528.61</v>
      </c>
      <c r="T1264" s="22">
        <v>5</v>
      </c>
      <c r="U1264" s="64">
        <f t="shared" si="297"/>
        <v>1176.4305000000002</v>
      </c>
      <c r="V1264" s="22">
        <v>0</v>
      </c>
      <c r="W1264" s="22">
        <v>143122</v>
      </c>
      <c r="X1264" s="62" t="s">
        <v>802</v>
      </c>
      <c r="Y1264" s="62"/>
      <c r="Z1264" s="62"/>
      <c r="AA1264" s="65">
        <v>4</v>
      </c>
      <c r="AB1264" s="66"/>
      <c r="AC1264" s="1" t="s">
        <v>1842</v>
      </c>
      <c r="AD1264" s="62" t="str">
        <f>VLOOKUP(X1264,'Customer List'!B:C,2,)</f>
        <v>Pune</v>
      </c>
      <c r="AE1264" s="67"/>
      <c r="AF1264" s="6"/>
      <c r="AG1264" s="62" t="str">
        <f t="shared" si="298"/>
        <v/>
      </c>
      <c r="AH1264" s="62" t="str">
        <f t="shared" si="299"/>
        <v>Sunday</v>
      </c>
      <c r="AI1264" s="62" t="str">
        <f t="shared" si="300"/>
        <v/>
      </c>
      <c r="AJ1264" s="62" t="str">
        <f>VLOOKUP(AC1264,'Currency Sheet'!A:C,3,)</f>
        <v>DOLLAR</v>
      </c>
      <c r="AK1264" s="62" t="str">
        <f>VLOOKUP(X1264,'Customer List'!B:D,3,)</f>
        <v>OutStation</v>
      </c>
    </row>
    <row r="1265" spans="1:37" hidden="1" x14ac:dyDescent="0.25">
      <c r="A1265" s="62">
        <f t="shared" si="294"/>
        <v>1249</v>
      </c>
      <c r="B1265" s="62" t="s">
        <v>824</v>
      </c>
      <c r="C1265" s="62" t="s">
        <v>2877</v>
      </c>
      <c r="D1265" s="6"/>
      <c r="E1265" s="6">
        <v>46165</v>
      </c>
      <c r="F1265" s="63">
        <v>276.5</v>
      </c>
      <c r="G1265" s="64">
        <f t="shared" si="295"/>
        <v>24332</v>
      </c>
      <c r="H1265" s="64">
        <f t="shared" si="296"/>
        <v>24332</v>
      </c>
      <c r="I1265" s="70">
        <v>696812</v>
      </c>
      <c r="J1265" s="62" t="s">
        <v>2859</v>
      </c>
      <c r="K1265" s="8" t="s">
        <v>2860</v>
      </c>
      <c r="L1265" s="10">
        <v>47729</v>
      </c>
      <c r="M1265" s="62">
        <v>1</v>
      </c>
      <c r="N1265" s="8"/>
      <c r="O1265" s="62">
        <f t="shared" ref="O1265:O1277" si="301">M1265-N1265</f>
        <v>1</v>
      </c>
      <c r="P1265" s="70"/>
      <c r="Q1265" s="71"/>
      <c r="R1265" s="6"/>
      <c r="S1265" s="64">
        <v>31504.41</v>
      </c>
      <c r="T1265" s="22">
        <v>5</v>
      </c>
      <c r="U1265" s="64">
        <f t="shared" si="297"/>
        <v>1575.2205000000001</v>
      </c>
      <c r="V1265" s="22">
        <v>0</v>
      </c>
      <c r="W1265" s="22">
        <v>143122</v>
      </c>
      <c r="X1265" s="62" t="s">
        <v>802</v>
      </c>
      <c r="Y1265" s="62"/>
      <c r="Z1265" s="62"/>
      <c r="AA1265" s="65">
        <v>4</v>
      </c>
      <c r="AB1265" s="66"/>
      <c r="AC1265" s="1" t="s">
        <v>1842</v>
      </c>
      <c r="AD1265" s="62" t="str">
        <f>VLOOKUP(X1265,'Customer List'!B:C,2,)</f>
        <v>Pune</v>
      </c>
      <c r="AE1265" s="67"/>
      <c r="AF1265" s="6"/>
      <c r="AG1265" s="62" t="str">
        <f t="shared" si="298"/>
        <v/>
      </c>
      <c r="AH1265" s="62" t="str">
        <f t="shared" si="299"/>
        <v>Wednesday</v>
      </c>
      <c r="AI1265" s="62" t="str">
        <f t="shared" si="300"/>
        <v/>
      </c>
      <c r="AJ1265" s="62" t="str">
        <f>VLOOKUP(AC1265,'Currency Sheet'!A:C,3,)</f>
        <v>DOLLAR</v>
      </c>
      <c r="AK1265" s="62" t="str">
        <f>VLOOKUP(X1265,'Customer List'!B:D,3,)</f>
        <v>OutStation</v>
      </c>
    </row>
    <row r="1266" spans="1:37" hidden="1" x14ac:dyDescent="0.25">
      <c r="A1266" s="62">
        <f t="shared" si="294"/>
        <v>1250</v>
      </c>
      <c r="B1266" s="62" t="s">
        <v>824</v>
      </c>
      <c r="C1266" s="62" t="s">
        <v>2877</v>
      </c>
      <c r="D1266" s="6"/>
      <c r="E1266" s="6">
        <v>46165</v>
      </c>
      <c r="F1266" s="63">
        <v>193.2</v>
      </c>
      <c r="G1266" s="64">
        <f t="shared" si="295"/>
        <v>17001.599999999999</v>
      </c>
      <c r="H1266" s="64">
        <f t="shared" si="296"/>
        <v>17001.599999999999</v>
      </c>
      <c r="I1266" s="70">
        <v>426803</v>
      </c>
      <c r="J1266" s="62" t="s">
        <v>1564</v>
      </c>
      <c r="K1266" s="8" t="s">
        <v>2861</v>
      </c>
      <c r="L1266" s="10">
        <v>46694</v>
      </c>
      <c r="M1266" s="62">
        <v>1</v>
      </c>
      <c r="N1266" s="8"/>
      <c r="O1266" s="62">
        <f t="shared" si="301"/>
        <v>1</v>
      </c>
      <c r="P1266" s="70"/>
      <c r="Q1266" s="71"/>
      <c r="R1266" s="6"/>
      <c r="S1266" s="64">
        <v>22013.21</v>
      </c>
      <c r="T1266" s="22">
        <v>5</v>
      </c>
      <c r="U1266" s="64">
        <f t="shared" si="297"/>
        <v>1100.6605</v>
      </c>
      <c r="V1266" s="22">
        <v>0</v>
      </c>
      <c r="W1266" s="22">
        <v>143122</v>
      </c>
      <c r="X1266" s="62" t="s">
        <v>802</v>
      </c>
      <c r="Y1266" s="62"/>
      <c r="Z1266" s="62"/>
      <c r="AA1266" s="65">
        <v>4</v>
      </c>
      <c r="AB1266" s="66"/>
      <c r="AC1266" s="1" t="s">
        <v>1842</v>
      </c>
      <c r="AD1266" s="62" t="str">
        <f>VLOOKUP(X1266,'Customer List'!B:C,2,)</f>
        <v>Pune</v>
      </c>
      <c r="AE1266" s="67"/>
      <c r="AF1266" s="6"/>
      <c r="AG1266" s="62" t="str">
        <f t="shared" si="298"/>
        <v/>
      </c>
      <c r="AH1266" s="62" t="str">
        <f t="shared" si="299"/>
        <v>Thursday</v>
      </c>
      <c r="AI1266" s="62" t="str">
        <f t="shared" si="300"/>
        <v/>
      </c>
      <c r="AJ1266" s="62" t="str">
        <f>VLOOKUP(AC1266,'Currency Sheet'!A:C,3,)</f>
        <v>DOLLAR</v>
      </c>
      <c r="AK1266" s="62" t="str">
        <f>VLOOKUP(X1266,'Customer List'!B:D,3,)</f>
        <v>OutStation</v>
      </c>
    </row>
    <row r="1267" spans="1:37" hidden="1" x14ac:dyDescent="0.25">
      <c r="A1267" s="62">
        <f t="shared" si="294"/>
        <v>1251</v>
      </c>
      <c r="B1267" s="62" t="s">
        <v>2882</v>
      </c>
      <c r="C1267" s="62">
        <v>24011</v>
      </c>
      <c r="D1267" s="6">
        <v>46164</v>
      </c>
      <c r="E1267" s="6">
        <v>46167</v>
      </c>
      <c r="F1267" s="63">
        <v>236.75</v>
      </c>
      <c r="G1267" s="64">
        <f t="shared" si="295"/>
        <v>20834</v>
      </c>
      <c r="H1267" s="64">
        <f t="shared" si="296"/>
        <v>20834</v>
      </c>
      <c r="I1267" s="70" t="s">
        <v>2886</v>
      </c>
      <c r="J1267" s="62"/>
      <c r="K1267" s="8">
        <v>33</v>
      </c>
      <c r="L1267" s="10" t="s">
        <v>848</v>
      </c>
      <c r="M1267" s="62">
        <v>1</v>
      </c>
      <c r="N1267" s="8">
        <v>1</v>
      </c>
      <c r="O1267" s="62">
        <f t="shared" si="301"/>
        <v>0</v>
      </c>
      <c r="P1267" s="70">
        <v>390</v>
      </c>
      <c r="Q1267" s="71">
        <v>46167</v>
      </c>
      <c r="R1267" s="6">
        <v>46168</v>
      </c>
      <c r="S1267" s="64">
        <v>39457.599999999999</v>
      </c>
      <c r="T1267" s="22">
        <v>5</v>
      </c>
      <c r="U1267" s="64">
        <f t="shared" ref="U1267:U1270" si="302">S1267*T1267%</f>
        <v>1972.88</v>
      </c>
      <c r="V1267" s="22">
        <v>-0.48</v>
      </c>
      <c r="W1267" s="22">
        <v>41430</v>
      </c>
      <c r="X1267" s="62" t="s">
        <v>2887</v>
      </c>
      <c r="Y1267" s="62" t="s">
        <v>1120</v>
      </c>
      <c r="Z1267" s="62" t="s">
        <v>1843</v>
      </c>
      <c r="AA1267" s="65">
        <v>4</v>
      </c>
      <c r="AB1267" s="66"/>
      <c r="AC1267" s="1" t="s">
        <v>2885</v>
      </c>
      <c r="AD1267" s="62" t="str">
        <f>VLOOKUP(X1267,'Customer List'!B:C,2,)</f>
        <v>DELHI</v>
      </c>
      <c r="AE1267" s="67"/>
      <c r="AF1267" s="6"/>
      <c r="AG1267" s="62" t="str">
        <f t="shared" ref="AG1267:AG1270" si="303">IF(AF1267="", "", AF1267-R1267)</f>
        <v/>
      </c>
      <c r="AH1267" s="62" t="str">
        <f t="shared" ref="AH1267:AH1270" si="304">IF(S1267="", "", TEXT(S1267, "dddd"))</f>
        <v>Thursday</v>
      </c>
      <c r="AI1267" s="62" t="str">
        <f t="shared" ref="AI1267:AI1270" si="305">IF(AF1267="", "", TEXT(AF1267, "dddd"))</f>
        <v/>
      </c>
      <c r="AJ1267" s="62" t="str">
        <f>VLOOKUP(AC1267,'Currency Sheet'!A:C,3,)</f>
        <v>DOLLAR</v>
      </c>
      <c r="AK1267" s="62" t="str">
        <f>VLOOKUP(X1267,'Customer List'!B:D,3,)</f>
        <v>Local</v>
      </c>
    </row>
    <row r="1268" spans="1:37" hidden="1" x14ac:dyDescent="0.25">
      <c r="A1268" s="62">
        <f t="shared" si="294"/>
        <v>1252</v>
      </c>
      <c r="B1268" s="62" t="s">
        <v>1435</v>
      </c>
      <c r="C1268" s="62">
        <v>190439</v>
      </c>
      <c r="D1268" s="6">
        <v>46162</v>
      </c>
      <c r="E1268" s="6">
        <v>46167</v>
      </c>
      <c r="F1268" s="63">
        <v>391.2</v>
      </c>
      <c r="G1268" s="64">
        <f t="shared" si="295"/>
        <v>34425.599999999999</v>
      </c>
      <c r="H1268" s="64">
        <f t="shared" si="296"/>
        <v>34425.599999999999</v>
      </c>
      <c r="I1268" s="70" t="s">
        <v>2888</v>
      </c>
      <c r="J1268" s="62"/>
      <c r="K1268" s="8" t="s">
        <v>2889</v>
      </c>
      <c r="L1268" s="10" t="s">
        <v>848</v>
      </c>
      <c r="M1268" s="62">
        <v>1</v>
      </c>
      <c r="N1268" s="8">
        <v>1</v>
      </c>
      <c r="O1268" s="62">
        <f t="shared" si="301"/>
        <v>0</v>
      </c>
      <c r="P1268" s="70">
        <v>383</v>
      </c>
      <c r="Q1268" s="71">
        <v>46167</v>
      </c>
      <c r="R1268" s="6">
        <v>46168</v>
      </c>
      <c r="S1268" s="64">
        <v>46986</v>
      </c>
      <c r="T1268" s="22">
        <v>5</v>
      </c>
      <c r="U1268" s="64">
        <f t="shared" si="302"/>
        <v>2349.3000000000002</v>
      </c>
      <c r="V1268" s="22">
        <v>0.35</v>
      </c>
      <c r="W1268" s="22">
        <v>62805</v>
      </c>
      <c r="X1268" s="62" t="s">
        <v>377</v>
      </c>
      <c r="Y1268" s="62">
        <v>58165995425</v>
      </c>
      <c r="Z1268" s="62"/>
      <c r="AA1268" s="65">
        <v>4</v>
      </c>
      <c r="AB1268" s="66"/>
      <c r="AC1268" s="1" t="s">
        <v>1435</v>
      </c>
      <c r="AD1268" s="62" t="str">
        <f>VLOOKUP(X1268,'Customer List'!B:C,2,)</f>
        <v>Hyderabad</v>
      </c>
      <c r="AE1268" s="67"/>
      <c r="AF1268" s="6"/>
      <c r="AG1268" s="62" t="str">
        <f t="shared" si="303"/>
        <v/>
      </c>
      <c r="AH1268" s="62" t="str">
        <f t="shared" si="304"/>
        <v>Monday</v>
      </c>
      <c r="AI1268" s="62" t="str">
        <f t="shared" si="305"/>
        <v/>
      </c>
      <c r="AJ1268" s="62" t="str">
        <f>VLOOKUP(AC1268,'Currency Sheet'!A:C,3,)</f>
        <v>DOLLAR</v>
      </c>
      <c r="AK1268" s="62" t="str">
        <f>VLOOKUP(X1268,'Customer List'!B:D,3,)</f>
        <v>OutStation</v>
      </c>
    </row>
    <row r="1269" spans="1:37" hidden="1" x14ac:dyDescent="0.25">
      <c r="A1269" s="62">
        <f t="shared" si="294"/>
        <v>1253</v>
      </c>
      <c r="B1269" s="62" t="s">
        <v>1435</v>
      </c>
      <c r="C1269" s="62">
        <v>190439</v>
      </c>
      <c r="D1269" s="6">
        <v>46162</v>
      </c>
      <c r="E1269" s="6">
        <v>46167</v>
      </c>
      <c r="F1269" s="63">
        <v>106.8</v>
      </c>
      <c r="G1269" s="64">
        <f t="shared" si="295"/>
        <v>9398.4</v>
      </c>
      <c r="H1269" s="64">
        <f t="shared" si="296"/>
        <v>9398.4</v>
      </c>
      <c r="I1269" s="70" t="s">
        <v>2888</v>
      </c>
      <c r="J1269" s="62"/>
      <c r="K1269" s="8" t="s">
        <v>2889</v>
      </c>
      <c r="L1269" s="10" t="s">
        <v>848</v>
      </c>
      <c r="M1269" s="62">
        <v>1</v>
      </c>
      <c r="N1269" s="8">
        <v>1</v>
      </c>
      <c r="O1269" s="62">
        <f t="shared" si="301"/>
        <v>0</v>
      </c>
      <c r="P1269" s="70">
        <v>383</v>
      </c>
      <c r="Q1269" s="71">
        <v>46167</v>
      </c>
      <c r="R1269" s="6">
        <v>46168</v>
      </c>
      <c r="S1269" s="64">
        <v>12827</v>
      </c>
      <c r="T1269" s="22">
        <v>5</v>
      </c>
      <c r="U1269" s="64">
        <f t="shared" si="302"/>
        <v>641.35</v>
      </c>
      <c r="V1269" s="22">
        <v>0</v>
      </c>
      <c r="W1269" s="22">
        <v>62805</v>
      </c>
      <c r="X1269" s="62" t="s">
        <v>377</v>
      </c>
      <c r="Y1269" s="62">
        <v>58165995425</v>
      </c>
      <c r="Z1269" s="62"/>
      <c r="AA1269" s="65">
        <v>4</v>
      </c>
      <c r="AB1269" s="66"/>
      <c r="AC1269" s="1" t="s">
        <v>1435</v>
      </c>
      <c r="AD1269" s="62" t="str">
        <f>VLOOKUP(X1269,'Customer List'!B:C,2,)</f>
        <v>Hyderabad</v>
      </c>
      <c r="AE1269" s="67"/>
      <c r="AF1269" s="6"/>
      <c r="AG1269" s="62" t="str">
        <f t="shared" si="303"/>
        <v/>
      </c>
      <c r="AH1269" s="62" t="str">
        <f t="shared" si="304"/>
        <v>Tuesday</v>
      </c>
      <c r="AI1269" s="62" t="str">
        <f t="shared" si="305"/>
        <v/>
      </c>
      <c r="AJ1269" s="62" t="str">
        <f>VLOOKUP(AC1269,'Currency Sheet'!A:C,3,)</f>
        <v>DOLLAR</v>
      </c>
      <c r="AK1269" s="62" t="str">
        <f>VLOOKUP(X1269,'Customer List'!B:D,3,)</f>
        <v>OutStation</v>
      </c>
    </row>
    <row r="1270" spans="1:37" hidden="1" x14ac:dyDescent="0.25">
      <c r="A1270" s="62">
        <f t="shared" si="294"/>
        <v>1254</v>
      </c>
      <c r="B1270" s="62" t="s">
        <v>1435</v>
      </c>
      <c r="C1270" s="62">
        <v>190439</v>
      </c>
      <c r="D1270" s="6">
        <v>46162</v>
      </c>
      <c r="E1270" s="6">
        <v>46167</v>
      </c>
      <c r="F1270" s="63">
        <v>1091.5</v>
      </c>
      <c r="G1270" s="64">
        <f t="shared" si="295"/>
        <v>96052</v>
      </c>
      <c r="H1270" s="64">
        <f t="shared" si="296"/>
        <v>96052</v>
      </c>
      <c r="I1270" s="70" t="s">
        <v>2883</v>
      </c>
      <c r="J1270" s="62"/>
      <c r="K1270" s="8" t="s">
        <v>2884</v>
      </c>
      <c r="L1270" s="10" t="s">
        <v>848</v>
      </c>
      <c r="M1270" s="62">
        <v>1</v>
      </c>
      <c r="N1270" s="8">
        <v>1</v>
      </c>
      <c r="O1270" s="62">
        <f t="shared" si="301"/>
        <v>0</v>
      </c>
      <c r="P1270" s="70">
        <v>368</v>
      </c>
      <c r="Q1270" s="71">
        <v>46167</v>
      </c>
      <c r="R1270" s="6">
        <v>46167</v>
      </c>
      <c r="S1270" s="64">
        <v>143442.6</v>
      </c>
      <c r="T1270" s="22">
        <v>5</v>
      </c>
      <c r="U1270" s="64">
        <f t="shared" si="302"/>
        <v>7172.130000000001</v>
      </c>
      <c r="V1270" s="22">
        <v>0.26</v>
      </c>
      <c r="W1270" s="22">
        <v>150615</v>
      </c>
      <c r="X1270" s="62" t="s">
        <v>797</v>
      </c>
      <c r="Y1270" s="62" t="s">
        <v>1120</v>
      </c>
      <c r="Z1270" s="62" t="s">
        <v>1863</v>
      </c>
      <c r="AA1270" s="65">
        <v>4</v>
      </c>
      <c r="AB1270" s="66"/>
      <c r="AC1270" s="1" t="s">
        <v>1435</v>
      </c>
      <c r="AD1270" s="62" t="str">
        <f>VLOOKUP(X1270,'Customer List'!B:C,2,)</f>
        <v>Delhi</v>
      </c>
      <c r="AE1270" s="67"/>
      <c r="AF1270" s="6"/>
      <c r="AG1270" s="62" t="str">
        <f t="shared" si="303"/>
        <v/>
      </c>
      <c r="AH1270" s="62" t="str">
        <f t="shared" si="304"/>
        <v>Thursday</v>
      </c>
      <c r="AI1270" s="62" t="str">
        <f t="shared" si="305"/>
        <v/>
      </c>
      <c r="AJ1270" s="62" t="str">
        <f>VLOOKUP(AC1270,'Currency Sheet'!A:C,3,)</f>
        <v>DOLLAR</v>
      </c>
      <c r="AK1270" s="62" t="str">
        <f>VLOOKUP(X1270,'Customer List'!B:D,3,)</f>
        <v>Local</v>
      </c>
    </row>
    <row r="1271" spans="1:37" hidden="1" x14ac:dyDescent="0.25">
      <c r="A1271" s="62">
        <f t="shared" si="294"/>
        <v>1255</v>
      </c>
      <c r="B1271" s="62" t="s">
        <v>2897</v>
      </c>
      <c r="C1271" s="62" t="s">
        <v>2898</v>
      </c>
      <c r="D1271" s="6">
        <v>46163</v>
      </c>
      <c r="E1271" s="6">
        <v>46168</v>
      </c>
      <c r="F1271" s="63">
        <v>96</v>
      </c>
      <c r="G1271" s="64">
        <f t="shared" ref="G1271:G1277" si="306">IF(AJ1271="DOLLAR",F1271*88,F1271)</f>
        <v>8448</v>
      </c>
      <c r="H1271" s="64">
        <f t="shared" ref="H1271:H1277" si="307">G1271*M1271</f>
        <v>8448</v>
      </c>
      <c r="I1271" s="70" t="s">
        <v>2899</v>
      </c>
      <c r="J1271" s="62" t="s">
        <v>2906</v>
      </c>
      <c r="K1271" s="8"/>
      <c r="L1271" s="10"/>
      <c r="M1271" s="62">
        <v>1</v>
      </c>
      <c r="N1271" s="8"/>
      <c r="O1271" s="62">
        <f t="shared" si="301"/>
        <v>1</v>
      </c>
      <c r="P1271" s="70"/>
      <c r="Q1271" s="71"/>
      <c r="R1271" s="6"/>
      <c r="S1271" s="64">
        <v>13950</v>
      </c>
      <c r="T1271" s="22">
        <v>5</v>
      </c>
      <c r="U1271" s="64">
        <f t="shared" ref="U1271:U1277" si="308">S1271*T1271%</f>
        <v>697.5</v>
      </c>
      <c r="V1271" s="22">
        <v>-0.5</v>
      </c>
      <c r="W1271" s="22">
        <v>14647</v>
      </c>
      <c r="X1271" s="62" t="s">
        <v>51</v>
      </c>
      <c r="Y1271" s="62"/>
      <c r="Z1271" s="62"/>
      <c r="AA1271" s="65">
        <v>4</v>
      </c>
      <c r="AB1271" s="66"/>
      <c r="AC1271" s="1" t="s">
        <v>209</v>
      </c>
      <c r="AD1271" s="62" t="str">
        <f>VLOOKUP(X1271,'Customer List'!B:C,2,)</f>
        <v>Hyderabad</v>
      </c>
      <c r="AE1271" s="67"/>
      <c r="AF1271" s="6"/>
      <c r="AG1271" s="62" t="str">
        <f t="shared" ref="AG1271:AG1277" si="309">IF(AF1271="", "", AF1271-R1271)</f>
        <v/>
      </c>
      <c r="AH1271" s="62" t="str">
        <f t="shared" ref="AH1271:AH1277" si="310">IF(S1271="", "", TEXT(S1271, "dddd"))</f>
        <v>Friday</v>
      </c>
      <c r="AI1271" s="62" t="str">
        <f t="shared" ref="AI1271:AI1277" si="311">IF(AF1271="", "", TEXT(AF1271, "dddd"))</f>
        <v/>
      </c>
      <c r="AJ1271" s="62" t="str">
        <f>VLOOKUP(AC1271,'Currency Sheet'!A:C,3,)</f>
        <v>DOLLAR</v>
      </c>
      <c r="AK1271" s="62" t="str">
        <f>VLOOKUP(X1271,'Customer List'!B:D,3,)</f>
        <v>OutStation</v>
      </c>
    </row>
    <row r="1272" spans="1:37" hidden="1" x14ac:dyDescent="0.25">
      <c r="A1272" s="62">
        <f t="shared" si="294"/>
        <v>1256</v>
      </c>
      <c r="B1272" s="62" t="s">
        <v>2897</v>
      </c>
      <c r="C1272" s="62" t="s">
        <v>2898</v>
      </c>
      <c r="D1272" s="6">
        <v>46163</v>
      </c>
      <c r="E1272" s="6">
        <v>46168</v>
      </c>
      <c r="F1272" s="63">
        <v>481.6</v>
      </c>
      <c r="G1272" s="64">
        <f t="shared" si="306"/>
        <v>42380.800000000003</v>
      </c>
      <c r="H1272" s="64">
        <f t="shared" si="307"/>
        <v>84761.600000000006</v>
      </c>
      <c r="I1272" s="70" t="s">
        <v>2900</v>
      </c>
      <c r="J1272" s="62" t="s">
        <v>2907</v>
      </c>
      <c r="K1272" s="8"/>
      <c r="L1272" s="10"/>
      <c r="M1272" s="62">
        <v>2</v>
      </c>
      <c r="N1272" s="8"/>
      <c r="O1272" s="62">
        <f t="shared" si="301"/>
        <v>2</v>
      </c>
      <c r="P1272" s="70"/>
      <c r="Q1272" s="71"/>
      <c r="R1272" s="6"/>
      <c r="S1272" s="64">
        <v>139965</v>
      </c>
      <c r="T1272" s="22">
        <v>5</v>
      </c>
      <c r="U1272" s="64">
        <f t="shared" si="308"/>
        <v>6998.25</v>
      </c>
      <c r="V1272" s="22">
        <v>-0.25</v>
      </c>
      <c r="W1272" s="22">
        <v>146963</v>
      </c>
      <c r="X1272" s="62" t="s">
        <v>1838</v>
      </c>
      <c r="Y1272" s="62"/>
      <c r="Z1272" s="62"/>
      <c r="AA1272" s="65">
        <v>4</v>
      </c>
      <c r="AB1272" s="66"/>
      <c r="AC1272" s="1" t="s">
        <v>209</v>
      </c>
      <c r="AD1272" s="62" t="str">
        <f>VLOOKUP(X1272,'Customer List'!B:C,2,)</f>
        <v>Banglore</v>
      </c>
      <c r="AE1272" s="67"/>
      <c r="AF1272" s="6"/>
      <c r="AG1272" s="62" t="str">
        <f t="shared" si="309"/>
        <v/>
      </c>
      <c r="AH1272" s="62" t="str">
        <f t="shared" si="310"/>
        <v>Saturday</v>
      </c>
      <c r="AI1272" s="62" t="str">
        <f t="shared" si="311"/>
        <v/>
      </c>
      <c r="AJ1272" s="62" t="str">
        <f>VLOOKUP(AC1272,'Currency Sheet'!A:C,3,)</f>
        <v>DOLLAR</v>
      </c>
      <c r="AK1272" s="62" t="str">
        <f>VLOOKUP(X1272,'Customer List'!B:D,3,)</f>
        <v>OutStation</v>
      </c>
    </row>
    <row r="1273" spans="1:37" hidden="1" x14ac:dyDescent="0.25">
      <c r="A1273" s="62">
        <f t="shared" si="294"/>
        <v>1257</v>
      </c>
      <c r="B1273" s="62" t="s">
        <v>2897</v>
      </c>
      <c r="C1273" s="62" t="s">
        <v>2898</v>
      </c>
      <c r="D1273" s="6">
        <v>46163</v>
      </c>
      <c r="E1273" s="6">
        <v>46168</v>
      </c>
      <c r="F1273" s="63">
        <v>132.80000000000001</v>
      </c>
      <c r="G1273" s="64">
        <f t="shared" si="306"/>
        <v>11686.400000000001</v>
      </c>
      <c r="H1273" s="64">
        <f t="shared" si="307"/>
        <v>11686.400000000001</v>
      </c>
      <c r="I1273" s="70" t="s">
        <v>2901</v>
      </c>
      <c r="J1273" s="62" t="s">
        <v>2908</v>
      </c>
      <c r="K1273" s="8"/>
      <c r="L1273" s="10"/>
      <c r="M1273" s="62">
        <v>1</v>
      </c>
      <c r="N1273" s="8">
        <v>1</v>
      </c>
      <c r="O1273" s="62">
        <f t="shared" si="301"/>
        <v>0</v>
      </c>
      <c r="P1273" s="70"/>
      <c r="Q1273" s="71"/>
      <c r="R1273" s="6"/>
      <c r="S1273" s="64"/>
      <c r="T1273" s="22">
        <v>5</v>
      </c>
      <c r="U1273" s="64">
        <f t="shared" si="308"/>
        <v>0</v>
      </c>
      <c r="V1273" s="22"/>
      <c r="W1273" s="22"/>
      <c r="X1273" s="62" t="s">
        <v>2913</v>
      </c>
      <c r="Y1273" s="62" t="s">
        <v>1120</v>
      </c>
      <c r="Z1273" s="62" t="s">
        <v>1863</v>
      </c>
      <c r="AA1273" s="65">
        <v>-20</v>
      </c>
      <c r="AB1273" s="66"/>
      <c r="AC1273" s="1" t="s">
        <v>209</v>
      </c>
      <c r="AD1273" s="62" t="str">
        <f>VLOOKUP(X1273,'Customer List'!B:C,2,)</f>
        <v>Ghaziabad</v>
      </c>
      <c r="AE1273" s="67"/>
      <c r="AF1273" s="6"/>
      <c r="AG1273" s="62" t="str">
        <f t="shared" si="309"/>
        <v/>
      </c>
      <c r="AH1273" s="62" t="str">
        <f t="shared" si="310"/>
        <v/>
      </c>
      <c r="AI1273" s="62" t="str">
        <f t="shared" si="311"/>
        <v/>
      </c>
      <c r="AJ1273" s="62" t="str">
        <f>VLOOKUP(AC1273,'Currency Sheet'!A:C,3,)</f>
        <v>DOLLAR</v>
      </c>
      <c r="AK1273" s="62" t="str">
        <f>VLOOKUP(X1273,'Customer List'!B:D,3,)</f>
        <v>Local</v>
      </c>
    </row>
    <row r="1274" spans="1:37" hidden="1" x14ac:dyDescent="0.25">
      <c r="A1274" s="62">
        <f t="shared" si="294"/>
        <v>1258</v>
      </c>
      <c r="B1274" s="62" t="s">
        <v>2897</v>
      </c>
      <c r="C1274" s="62" t="s">
        <v>2898</v>
      </c>
      <c r="D1274" s="6">
        <v>46163</v>
      </c>
      <c r="E1274" s="6">
        <v>46168</v>
      </c>
      <c r="F1274" s="63">
        <v>92.8</v>
      </c>
      <c r="G1274" s="64">
        <f t="shared" si="306"/>
        <v>8166.4</v>
      </c>
      <c r="H1274" s="64">
        <f t="shared" si="307"/>
        <v>8166.4</v>
      </c>
      <c r="I1274" s="70" t="s">
        <v>2902</v>
      </c>
      <c r="J1274" s="62" t="s">
        <v>2909</v>
      </c>
      <c r="K1274" s="8"/>
      <c r="L1274" s="10"/>
      <c r="M1274" s="62">
        <v>1</v>
      </c>
      <c r="N1274" s="8">
        <v>1</v>
      </c>
      <c r="O1274" s="62">
        <f t="shared" si="301"/>
        <v>0</v>
      </c>
      <c r="P1274" s="70"/>
      <c r="Q1274" s="71"/>
      <c r="R1274" s="6"/>
      <c r="S1274" s="64"/>
      <c r="T1274" s="22">
        <v>5</v>
      </c>
      <c r="U1274" s="64">
        <f t="shared" si="308"/>
        <v>0</v>
      </c>
      <c r="V1274" s="22"/>
      <c r="W1274" s="22"/>
      <c r="X1274" s="62" t="s">
        <v>2913</v>
      </c>
      <c r="Y1274" s="62" t="s">
        <v>1120</v>
      </c>
      <c r="Z1274" s="62" t="s">
        <v>1863</v>
      </c>
      <c r="AA1274" s="65">
        <v>-20</v>
      </c>
      <c r="AB1274" s="66"/>
      <c r="AC1274" s="1" t="s">
        <v>209</v>
      </c>
      <c r="AD1274" s="62" t="str">
        <f>VLOOKUP(X1274,'Customer List'!B:C,2,)</f>
        <v>Ghaziabad</v>
      </c>
      <c r="AE1274" s="67"/>
      <c r="AF1274" s="6"/>
      <c r="AG1274" s="62" t="str">
        <f t="shared" si="309"/>
        <v/>
      </c>
      <c r="AH1274" s="62" t="str">
        <f t="shared" si="310"/>
        <v/>
      </c>
      <c r="AI1274" s="62" t="str">
        <f t="shared" si="311"/>
        <v/>
      </c>
      <c r="AJ1274" s="62" t="str">
        <f>VLOOKUP(AC1274,'Currency Sheet'!A:C,3,)</f>
        <v>DOLLAR</v>
      </c>
      <c r="AK1274" s="62" t="str">
        <f>VLOOKUP(X1274,'Customer List'!B:D,3,)</f>
        <v>Local</v>
      </c>
    </row>
    <row r="1275" spans="1:37" hidden="1" x14ac:dyDescent="0.25">
      <c r="A1275" s="62">
        <f t="shared" si="294"/>
        <v>1259</v>
      </c>
      <c r="B1275" s="62" t="s">
        <v>2897</v>
      </c>
      <c r="C1275" s="62" t="s">
        <v>2898</v>
      </c>
      <c r="D1275" s="6">
        <v>46163</v>
      </c>
      <c r="E1275" s="6">
        <v>46168</v>
      </c>
      <c r="F1275" s="63">
        <v>132.80000000000001</v>
      </c>
      <c r="G1275" s="64">
        <f t="shared" si="306"/>
        <v>11686.400000000001</v>
      </c>
      <c r="H1275" s="64">
        <f t="shared" si="307"/>
        <v>11686.400000000001</v>
      </c>
      <c r="I1275" s="70" t="s">
        <v>2903</v>
      </c>
      <c r="J1275" s="62" t="s">
        <v>2910</v>
      </c>
      <c r="K1275" s="8"/>
      <c r="L1275" s="10"/>
      <c r="M1275" s="62">
        <v>1</v>
      </c>
      <c r="N1275" s="8">
        <v>1</v>
      </c>
      <c r="O1275" s="62">
        <f t="shared" si="301"/>
        <v>0</v>
      </c>
      <c r="P1275" s="70"/>
      <c r="Q1275" s="71"/>
      <c r="R1275" s="6"/>
      <c r="S1275" s="64"/>
      <c r="T1275" s="22">
        <v>5</v>
      </c>
      <c r="U1275" s="64">
        <f t="shared" si="308"/>
        <v>0</v>
      </c>
      <c r="V1275" s="22"/>
      <c r="W1275" s="22"/>
      <c r="X1275" s="62" t="s">
        <v>2913</v>
      </c>
      <c r="Y1275" s="62" t="s">
        <v>1120</v>
      </c>
      <c r="Z1275" s="62" t="s">
        <v>1863</v>
      </c>
      <c r="AA1275" s="65">
        <v>-20</v>
      </c>
      <c r="AB1275" s="66"/>
      <c r="AC1275" s="1" t="s">
        <v>209</v>
      </c>
      <c r="AD1275" s="62" t="str">
        <f>VLOOKUP(X1275,'Customer List'!B:C,2,)</f>
        <v>Ghaziabad</v>
      </c>
      <c r="AE1275" s="67"/>
      <c r="AF1275" s="6"/>
      <c r="AG1275" s="62" t="str">
        <f t="shared" si="309"/>
        <v/>
      </c>
      <c r="AH1275" s="62" t="str">
        <f t="shared" si="310"/>
        <v/>
      </c>
      <c r="AI1275" s="62" t="str">
        <f t="shared" si="311"/>
        <v/>
      </c>
      <c r="AJ1275" s="62" t="str">
        <f>VLOOKUP(AC1275,'Currency Sheet'!A:C,3,)</f>
        <v>DOLLAR</v>
      </c>
      <c r="AK1275" s="62" t="str">
        <f>VLOOKUP(X1275,'Customer List'!B:D,3,)</f>
        <v>Local</v>
      </c>
    </row>
    <row r="1276" spans="1:37" hidden="1" x14ac:dyDescent="0.25">
      <c r="A1276" s="62">
        <f t="shared" si="294"/>
        <v>1260</v>
      </c>
      <c r="B1276" s="62" t="s">
        <v>2897</v>
      </c>
      <c r="C1276" s="62" t="s">
        <v>2898</v>
      </c>
      <c r="D1276" s="6">
        <v>46163</v>
      </c>
      <c r="E1276" s="6">
        <v>46168</v>
      </c>
      <c r="F1276" s="63">
        <v>46.4</v>
      </c>
      <c r="G1276" s="64">
        <f t="shared" si="306"/>
        <v>4083.2</v>
      </c>
      <c r="H1276" s="64">
        <f t="shared" si="307"/>
        <v>4083.2</v>
      </c>
      <c r="I1276" s="70" t="s">
        <v>2904</v>
      </c>
      <c r="J1276" s="62" t="s">
        <v>2911</v>
      </c>
      <c r="K1276" s="8"/>
      <c r="L1276" s="10"/>
      <c r="M1276" s="62">
        <v>1</v>
      </c>
      <c r="N1276" s="8">
        <v>1</v>
      </c>
      <c r="O1276" s="62">
        <f t="shared" si="301"/>
        <v>0</v>
      </c>
      <c r="P1276" s="70"/>
      <c r="Q1276" s="71"/>
      <c r="R1276" s="6"/>
      <c r="S1276" s="64"/>
      <c r="T1276" s="22">
        <v>5</v>
      </c>
      <c r="U1276" s="64">
        <f t="shared" si="308"/>
        <v>0</v>
      </c>
      <c r="V1276" s="22"/>
      <c r="W1276" s="22"/>
      <c r="X1276" s="62" t="s">
        <v>2913</v>
      </c>
      <c r="Y1276" s="62" t="s">
        <v>1120</v>
      </c>
      <c r="Z1276" s="62" t="s">
        <v>1863</v>
      </c>
      <c r="AA1276" s="65">
        <v>-20</v>
      </c>
      <c r="AB1276" s="66"/>
      <c r="AC1276" s="1" t="s">
        <v>209</v>
      </c>
      <c r="AD1276" s="62" t="str">
        <f>VLOOKUP(X1276,'Customer List'!B:C,2,)</f>
        <v>Ghaziabad</v>
      </c>
      <c r="AE1276" s="67"/>
      <c r="AF1276" s="6"/>
      <c r="AG1276" s="62" t="str">
        <f t="shared" si="309"/>
        <v/>
      </c>
      <c r="AH1276" s="62" t="str">
        <f t="shared" si="310"/>
        <v/>
      </c>
      <c r="AI1276" s="62" t="str">
        <f t="shared" si="311"/>
        <v/>
      </c>
      <c r="AJ1276" s="62" t="str">
        <f>VLOOKUP(AC1276,'Currency Sheet'!A:C,3,)</f>
        <v>DOLLAR</v>
      </c>
      <c r="AK1276" s="62" t="str">
        <f>VLOOKUP(X1276,'Customer List'!B:D,3,)</f>
        <v>Local</v>
      </c>
    </row>
    <row r="1277" spans="1:37" hidden="1" x14ac:dyDescent="0.25">
      <c r="A1277" s="62">
        <f t="shared" si="294"/>
        <v>1261</v>
      </c>
      <c r="B1277" s="62" t="s">
        <v>2897</v>
      </c>
      <c r="C1277" s="62" t="s">
        <v>2898</v>
      </c>
      <c r="D1277" s="6">
        <v>46163</v>
      </c>
      <c r="E1277" s="6">
        <v>46168</v>
      </c>
      <c r="F1277" s="63">
        <v>506.4</v>
      </c>
      <c r="G1277" s="64">
        <f t="shared" si="306"/>
        <v>44563.199999999997</v>
      </c>
      <c r="H1277" s="64">
        <f t="shared" si="307"/>
        <v>44563.199999999997</v>
      </c>
      <c r="I1277" s="70" t="s">
        <v>2905</v>
      </c>
      <c r="J1277" s="62" t="s">
        <v>2912</v>
      </c>
      <c r="K1277" s="8"/>
      <c r="L1277" s="10"/>
      <c r="M1277" s="62">
        <v>1</v>
      </c>
      <c r="N1277" s="8">
        <v>1</v>
      </c>
      <c r="O1277" s="62">
        <f t="shared" si="301"/>
        <v>0</v>
      </c>
      <c r="P1277" s="70"/>
      <c r="Q1277" s="71"/>
      <c r="R1277" s="6"/>
      <c r="S1277" s="64"/>
      <c r="T1277" s="22">
        <v>5</v>
      </c>
      <c r="U1277" s="64">
        <f t="shared" si="308"/>
        <v>0</v>
      </c>
      <c r="V1277" s="22"/>
      <c r="W1277" s="22"/>
      <c r="X1277" s="62" t="s">
        <v>2913</v>
      </c>
      <c r="Y1277" s="62" t="s">
        <v>1120</v>
      </c>
      <c r="Z1277" s="62" t="s">
        <v>1863</v>
      </c>
      <c r="AA1277" s="65">
        <v>-20</v>
      </c>
      <c r="AB1277" s="66"/>
      <c r="AC1277" s="1" t="s">
        <v>209</v>
      </c>
      <c r="AD1277" s="62" t="str">
        <f>VLOOKUP(X1277,'Customer List'!B:C,2,)</f>
        <v>Ghaziabad</v>
      </c>
      <c r="AE1277" s="67"/>
      <c r="AF1277" s="6"/>
      <c r="AG1277" s="62" t="str">
        <f t="shared" si="309"/>
        <v/>
      </c>
      <c r="AH1277" s="62" t="str">
        <f t="shared" si="310"/>
        <v/>
      </c>
      <c r="AI1277" s="62" t="str">
        <f t="shared" si="311"/>
        <v/>
      </c>
      <c r="AJ1277" s="62" t="str">
        <f>VLOOKUP(AC1277,'Currency Sheet'!A:C,3,)</f>
        <v>DOLLAR</v>
      </c>
      <c r="AK1277" s="62" t="str">
        <f>VLOOKUP(X1277,'Customer List'!B:D,3,)</f>
        <v>Local</v>
      </c>
    </row>
    <row r="1039814" spans="32:32" x14ac:dyDescent="0.25">
      <c r="AF1039814" s="6" t="str">
        <f>IF(OR(Z1039814 = "PRIYANKA MADAM", Z1039814 = "DEEPAK", Z1039814 = "PORTER"),S1039814,"")</f>
        <v/>
      </c>
    </row>
  </sheetData>
  <autoFilter ref="A1:AK1277" xr:uid="{00000000-0001-0000-0000-000000000000}">
    <filterColumn colId="17">
      <filters>
        <dateGroupItem year="2026" month="5" day="19" dateTimeGrouping="day"/>
      </filters>
    </filterColumn>
  </autoFilter>
  <conditionalFormatting sqref="X79">
    <cfRule type="duplicateValues" dxfId="14" priority="25"/>
    <cfRule type="duplicateValues" dxfId="13" priority="26"/>
    <cfRule type="duplicateValues" dxfId="12" priority="27"/>
    <cfRule type="duplicateValues" dxfId="11" priority="28"/>
    <cfRule type="duplicateValues" dxfId="10" priority="29"/>
    <cfRule type="duplicateValues" dxfId="9" priority="30"/>
  </conditionalFormatting>
  <pageMargins left="0.7" right="0.7" top="0.75" bottom="0.75" header="0.3" footer="0.3"/>
  <pageSetup paperSize="9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X49"/>
  <sheetViews>
    <sheetView tabSelected="1" zoomScale="115" zoomScaleNormal="115" workbookViewId="0">
      <selection activeCell="F7" sqref="F7"/>
    </sheetView>
  </sheetViews>
  <sheetFormatPr defaultColWidth="8.7109375" defaultRowHeight="15" x14ac:dyDescent="0.25"/>
  <cols>
    <col min="1" max="1" width="11.28515625" style="3" bestFit="1" customWidth="1"/>
    <col min="2" max="2" width="13.140625" bestFit="1" customWidth="1"/>
    <col min="3" max="3" width="20.85546875" bestFit="1" customWidth="1"/>
    <col min="4" max="4" width="6.5703125" bestFit="1" customWidth="1"/>
    <col min="6" max="6" width="39.7109375" bestFit="1" customWidth="1"/>
    <col min="8" max="8" width="11.28515625" style="3" bestFit="1" customWidth="1"/>
    <col min="9" max="9" width="13.5703125" bestFit="1" customWidth="1"/>
    <col min="10" max="10" width="15.42578125" bestFit="1" customWidth="1"/>
    <col min="15" max="15" width="8.7109375" style="3"/>
    <col min="19" max="19" width="8.7109375" style="3"/>
    <col min="24" max="24" width="8.7109375" style="3"/>
  </cols>
  <sheetData>
    <row r="1" spans="1:9" x14ac:dyDescent="0.25">
      <c r="A1" s="2" t="s">
        <v>569</v>
      </c>
      <c r="B1" s="1" t="s">
        <v>223</v>
      </c>
      <c r="C1" s="1" t="s">
        <v>7</v>
      </c>
      <c r="D1" s="1" t="s">
        <v>224</v>
      </c>
      <c r="F1" t="s">
        <v>53</v>
      </c>
    </row>
    <row r="2" spans="1:9" x14ac:dyDescent="0.25">
      <c r="A2" s="2" cm="1">
        <f t="array" ref="A2:D18">_xlfn._xlws.SORT(
    _xlfn.UNIQUE(
        _xlfn._xlws.FILTER(
            CHOOSE({1,2,3,4},
                MasterSheet!R:R,
                MasterSheet!Y:Y,
                MasterSheet!X:X,
                MasterSheet!Z:Z
            ),
            (MasterSheet!Y:Y&lt;&gt;"")*(MasterSheet!Z:Z="")
        )
    ),
    {2,3},
    {1,1}
)</f>
        <v>46168</v>
      </c>
      <c r="B2" s="1">
        <v>58166004013</v>
      </c>
      <c r="C2" s="1" t="str">
        <v>GK BIO</v>
      </c>
      <c r="D2" s="1">
        <v>0</v>
      </c>
      <c r="F2" t="str" cm="1">
        <f t="array" ref="F2">_xlfn._xlws.SORT(_xlfn.TEXTJOIN(",", TRUE, _xlfn._xlws.FILTER(B:B, ISNUMBER(--LEFT(B:B,1)))))</f>
        <v>58166004013,58166001762,58165905556,58165905700,58165905081,58166005321,58165950290,58166003081,58165950802,58165996416,58165995904,58165997116,58165995274,58166002392,58165995613,58165997606,58165995425</v>
      </c>
    </row>
    <row r="3" spans="1:9" x14ac:dyDescent="0.25">
      <c r="A3" s="2">
        <v>46168</v>
      </c>
      <c r="B3" s="1">
        <v>58166001762</v>
      </c>
      <c r="C3" s="1" t="str">
        <v>Global Access</v>
      </c>
      <c r="D3" s="1">
        <v>0</v>
      </c>
    </row>
    <row r="4" spans="1:9" x14ac:dyDescent="0.25">
      <c r="A4" s="2">
        <v>46165</v>
      </c>
      <c r="B4" s="1">
        <v>58165905556</v>
      </c>
      <c r="C4" s="1" t="str">
        <v>HELIX</v>
      </c>
      <c r="D4" s="1">
        <v>0</v>
      </c>
      <c r="F4" t="s">
        <v>221</v>
      </c>
    </row>
    <row r="5" spans="1:9" x14ac:dyDescent="0.25">
      <c r="A5" s="2">
        <v>46165</v>
      </c>
      <c r="B5" s="1">
        <v>58165905700</v>
      </c>
      <c r="C5" s="1" t="str">
        <v>IIT BOMBAY</v>
      </c>
      <c r="D5" s="1">
        <v>0</v>
      </c>
      <c r="F5" t="str" cm="1">
        <f t="array" ref="F5">IFERROR(_xlfn._xlws.SORT(_xlfn.TEXTJOIN(",", TRUE, _xlfn._xlws.FILTER(B:B, LEFT(B:B,1)="D"))),"")</f>
        <v/>
      </c>
      <c r="I5" s="61"/>
    </row>
    <row r="6" spans="1:9" x14ac:dyDescent="0.25">
      <c r="A6" s="2">
        <v>46165</v>
      </c>
      <c r="B6" s="1">
        <v>58165905081</v>
      </c>
      <c r="C6" s="1" t="str">
        <v>IIT BOMBAY</v>
      </c>
      <c r="D6" s="1">
        <v>0</v>
      </c>
    </row>
    <row r="7" spans="1:9" x14ac:dyDescent="0.25">
      <c r="A7" s="2">
        <v>46168</v>
      </c>
      <c r="B7" s="1">
        <v>58166005321</v>
      </c>
      <c r="C7" s="1" t="str">
        <v>Intas</v>
      </c>
      <c r="D7" s="1">
        <v>0</v>
      </c>
    </row>
    <row r="8" spans="1:9" x14ac:dyDescent="0.25">
      <c r="A8" s="2">
        <v>46167</v>
      </c>
      <c r="B8" s="1">
        <v>58165950290</v>
      </c>
      <c r="C8" s="1" t="str">
        <v>M Biotech</v>
      </c>
      <c r="D8" s="1">
        <v>0</v>
      </c>
    </row>
    <row r="9" spans="1:9" x14ac:dyDescent="0.25">
      <c r="A9" s="2">
        <v>46168</v>
      </c>
      <c r="B9" s="1">
        <v>58166003081</v>
      </c>
      <c r="C9" s="1" t="str">
        <v>Sun Pharma</v>
      </c>
      <c r="D9" s="1">
        <v>0</v>
      </c>
    </row>
    <row r="10" spans="1:9" x14ac:dyDescent="0.25">
      <c r="A10" s="2">
        <v>46167</v>
      </c>
      <c r="B10" s="1">
        <v>58165950802</v>
      </c>
      <c r="C10" s="1" t="str">
        <v>farcast</v>
      </c>
      <c r="D10" s="1">
        <v>0</v>
      </c>
    </row>
    <row r="11" spans="1:9" x14ac:dyDescent="0.25">
      <c r="A11" s="2">
        <v>46168</v>
      </c>
      <c r="B11" s="1">
        <v>58165996416</v>
      </c>
      <c r="C11" s="1" t="str">
        <v>IIT Kharagpur</v>
      </c>
      <c r="D11" s="1">
        <v>0</v>
      </c>
    </row>
    <row r="12" spans="1:9" x14ac:dyDescent="0.25">
      <c r="A12" s="2">
        <v>46168</v>
      </c>
      <c r="B12" s="1">
        <v>58165995904</v>
      </c>
      <c r="C12" s="1" t="str">
        <v>actrec</v>
      </c>
      <c r="D12" s="1">
        <v>0</v>
      </c>
    </row>
    <row r="13" spans="1:9" x14ac:dyDescent="0.25">
      <c r="A13" s="2">
        <v>46168</v>
      </c>
      <c r="B13" s="1">
        <v>58165997116</v>
      </c>
      <c r="C13" s="1" t="str">
        <v>Bio Solution</v>
      </c>
      <c r="D13" s="1">
        <v>0</v>
      </c>
    </row>
    <row r="14" spans="1:9" x14ac:dyDescent="0.25">
      <c r="A14" s="2">
        <v>46168</v>
      </c>
      <c r="B14" s="1">
        <v>58165995274</v>
      </c>
      <c r="C14" s="1" t="str">
        <v>Manipal</v>
      </c>
      <c r="D14" s="1">
        <v>0</v>
      </c>
    </row>
    <row r="15" spans="1:9" x14ac:dyDescent="0.25">
      <c r="A15" s="2">
        <v>46168</v>
      </c>
      <c r="B15" s="1">
        <v>58166002392</v>
      </c>
      <c r="C15" s="1" t="str">
        <v>abhi bio</v>
      </c>
      <c r="D15" s="1">
        <v>0</v>
      </c>
    </row>
    <row r="16" spans="1:9" x14ac:dyDescent="0.25">
      <c r="A16" s="2">
        <v>46168</v>
      </c>
      <c r="B16" s="1">
        <v>58165995613</v>
      </c>
      <c r="C16" s="1" t="str">
        <v>Aurigine Service</v>
      </c>
      <c r="D16" s="1">
        <v>0</v>
      </c>
    </row>
    <row r="17" spans="1:4" x14ac:dyDescent="0.25">
      <c r="A17" s="2">
        <v>46168</v>
      </c>
      <c r="B17" s="1">
        <v>58165997606</v>
      </c>
      <c r="C17" s="1" t="str">
        <v>bionova</v>
      </c>
      <c r="D17" s="1">
        <v>0</v>
      </c>
    </row>
    <row r="18" spans="1:4" x14ac:dyDescent="0.25">
      <c r="A18" s="2">
        <v>46168</v>
      </c>
      <c r="B18" s="1">
        <v>58165995425</v>
      </c>
      <c r="C18" s="1" t="str">
        <v>BITS PILANI</v>
      </c>
      <c r="D18" s="1">
        <v>0</v>
      </c>
    </row>
    <row r="19" spans="1:4" x14ac:dyDescent="0.25">
      <c r="A19" s="2"/>
      <c r="B19" s="1"/>
      <c r="C19" s="1"/>
      <c r="D19" s="1"/>
    </row>
    <row r="20" spans="1:4" x14ac:dyDescent="0.25">
      <c r="A20" s="2"/>
      <c r="B20" s="1"/>
      <c r="C20" s="1"/>
      <c r="D20" s="1"/>
    </row>
    <row r="21" spans="1:4" x14ac:dyDescent="0.25">
      <c r="A21" s="2"/>
      <c r="B21" s="1"/>
      <c r="C21" s="1"/>
      <c r="D21" s="1"/>
    </row>
    <row r="22" spans="1:4" x14ac:dyDescent="0.25">
      <c r="A22" s="2"/>
      <c r="B22" s="1"/>
      <c r="C22" s="1"/>
      <c r="D22" s="1"/>
    </row>
    <row r="23" spans="1:4" x14ac:dyDescent="0.25">
      <c r="A23" s="2"/>
      <c r="B23" s="1"/>
      <c r="C23" s="1"/>
      <c r="D23" s="1"/>
    </row>
    <row r="24" spans="1:4" x14ac:dyDescent="0.25">
      <c r="A24" s="2"/>
      <c r="B24" s="1"/>
      <c r="C24" s="1"/>
      <c r="D24" s="1"/>
    </row>
    <row r="25" spans="1:4" x14ac:dyDescent="0.25">
      <c r="A25" s="2"/>
      <c r="B25" s="1"/>
      <c r="C25" s="1"/>
      <c r="D25" s="1"/>
    </row>
    <row r="26" spans="1:4" x14ac:dyDescent="0.25">
      <c r="A26" s="2"/>
      <c r="B26" s="1"/>
      <c r="C26" s="1"/>
      <c r="D26" s="1"/>
    </row>
    <row r="27" spans="1:4" x14ac:dyDescent="0.25">
      <c r="A27" s="2"/>
      <c r="B27" s="1"/>
      <c r="C27" s="1"/>
      <c r="D27" s="1"/>
    </row>
    <row r="28" spans="1:4" x14ac:dyDescent="0.25">
      <c r="A28" s="2"/>
      <c r="B28" s="1"/>
      <c r="C28" s="1"/>
      <c r="D28" s="1"/>
    </row>
    <row r="29" spans="1:4" x14ac:dyDescent="0.25">
      <c r="A29" s="2"/>
      <c r="B29" s="1"/>
      <c r="C29" s="1"/>
      <c r="D29" s="1"/>
    </row>
    <row r="30" spans="1:4" x14ac:dyDescent="0.25">
      <c r="A30" s="2"/>
      <c r="B30" s="1"/>
      <c r="C30" s="1"/>
      <c r="D30" s="1"/>
    </row>
    <row r="31" spans="1:4" x14ac:dyDescent="0.25">
      <c r="A31" s="2"/>
      <c r="B31" s="1"/>
      <c r="C31" s="1"/>
      <c r="D31" s="1"/>
    </row>
    <row r="32" spans="1:4" x14ac:dyDescent="0.25">
      <c r="A32" s="2"/>
      <c r="B32" s="1"/>
      <c r="C32" s="1"/>
      <c r="D32" s="1"/>
    </row>
    <row r="33" spans="1:4" x14ac:dyDescent="0.25">
      <c r="A33" s="2"/>
      <c r="B33" s="1"/>
      <c r="C33" s="1"/>
      <c r="D33" s="1"/>
    </row>
    <row r="34" spans="1:4" x14ac:dyDescent="0.25">
      <c r="A34" s="2"/>
      <c r="B34" s="1"/>
      <c r="C34" s="1"/>
      <c r="D34" s="1"/>
    </row>
    <row r="35" spans="1:4" x14ac:dyDescent="0.25">
      <c r="A35" s="2"/>
      <c r="B35" s="1"/>
      <c r="C35" s="1"/>
      <c r="D35" s="1"/>
    </row>
    <row r="36" spans="1:4" x14ac:dyDescent="0.25">
      <c r="A36" s="2"/>
      <c r="B36" s="1"/>
      <c r="C36" s="1"/>
      <c r="D36" s="1"/>
    </row>
    <row r="37" spans="1:4" x14ac:dyDescent="0.25">
      <c r="A37" s="2"/>
      <c r="B37" s="1"/>
      <c r="C37" s="1"/>
      <c r="D37" s="1"/>
    </row>
    <row r="38" spans="1:4" x14ac:dyDescent="0.25">
      <c r="A38" s="2"/>
      <c r="B38" s="1"/>
      <c r="C38" s="1"/>
      <c r="D38" s="1"/>
    </row>
    <row r="39" spans="1:4" x14ac:dyDescent="0.25">
      <c r="A39" s="2"/>
      <c r="B39" s="1"/>
      <c r="C39" s="1"/>
      <c r="D39" s="1"/>
    </row>
    <row r="40" spans="1:4" x14ac:dyDescent="0.25">
      <c r="A40" s="2"/>
      <c r="B40" s="1"/>
      <c r="C40" s="1"/>
      <c r="D40" s="1"/>
    </row>
    <row r="41" spans="1:4" x14ac:dyDescent="0.25">
      <c r="A41" s="2"/>
      <c r="B41" s="1"/>
      <c r="C41" s="1"/>
      <c r="D41" s="1"/>
    </row>
    <row r="42" spans="1:4" x14ac:dyDescent="0.25">
      <c r="A42" s="2"/>
      <c r="B42" s="1"/>
      <c r="C42" s="1"/>
      <c r="D42" s="1"/>
    </row>
    <row r="43" spans="1:4" x14ac:dyDescent="0.25">
      <c r="A43" s="2"/>
      <c r="B43" s="1"/>
      <c r="C43" s="1"/>
      <c r="D43" s="1"/>
    </row>
    <row r="44" spans="1:4" x14ac:dyDescent="0.25">
      <c r="A44" s="2"/>
      <c r="B44" s="1"/>
      <c r="C44" s="1"/>
      <c r="D44" s="1"/>
    </row>
    <row r="45" spans="1:4" x14ac:dyDescent="0.25">
      <c r="A45" s="2"/>
      <c r="B45" s="1"/>
      <c r="C45" s="1"/>
      <c r="D45" s="1"/>
    </row>
    <row r="46" spans="1:4" x14ac:dyDescent="0.25">
      <c r="A46" s="2"/>
      <c r="B46" s="1"/>
      <c r="C46" s="1"/>
      <c r="D46" s="1"/>
    </row>
    <row r="47" spans="1:4" x14ac:dyDescent="0.25">
      <c r="A47" s="2"/>
      <c r="B47" s="1"/>
      <c r="C47" s="1"/>
      <c r="D47" s="1"/>
    </row>
    <row r="48" spans="1:4" x14ac:dyDescent="0.25">
      <c r="A48" s="2"/>
      <c r="B48" s="1"/>
      <c r="C48" s="1"/>
      <c r="D48" s="1"/>
    </row>
    <row r="49" spans="1:4" x14ac:dyDescent="0.25">
      <c r="A49" s="2"/>
      <c r="B49" s="1"/>
      <c r="C49" s="1"/>
      <c r="D49" s="1"/>
    </row>
  </sheetData>
  <sheetProtection sheet="1" objects="1" scenarios="1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L71"/>
  <sheetViews>
    <sheetView workbookViewId="0">
      <selection activeCell="A28" sqref="A28"/>
    </sheetView>
  </sheetViews>
  <sheetFormatPr defaultRowHeight="15" x14ac:dyDescent="0.25"/>
  <cols>
    <col min="1" max="1" width="9.7109375" style="7" bestFit="1" customWidth="1"/>
    <col min="2" max="2" width="23" style="7" bestFit="1" customWidth="1"/>
    <col min="3" max="3" width="10.5703125" style="7" bestFit="1" customWidth="1"/>
    <col min="4" max="4" width="18.42578125" style="7" bestFit="1" customWidth="1"/>
    <col min="5" max="5" width="10.85546875" style="7" bestFit="1" customWidth="1"/>
    <col min="6" max="6" width="32" style="7" bestFit="1" customWidth="1"/>
    <col min="7" max="7" width="28.5703125" style="7" bestFit="1" customWidth="1"/>
    <col min="8" max="8" width="21.140625" style="11" bestFit="1" customWidth="1"/>
    <col min="9" max="9" width="8.7109375" style="7" bestFit="1" customWidth="1"/>
    <col min="10" max="10" width="19" style="23" bestFit="1" customWidth="1"/>
    <col min="11" max="11" width="9.140625" style="7"/>
    <col min="12" max="12" width="13.28515625" style="7" bestFit="1" customWidth="1"/>
    <col min="13" max="16384" width="9.140625" style="7"/>
  </cols>
  <sheetData>
    <row r="1" spans="1:10" s="18" customFormat="1" x14ac:dyDescent="0.25">
      <c r="A1" s="8" t="s">
        <v>323</v>
      </c>
      <c r="B1" s="8" t="s">
        <v>52</v>
      </c>
      <c r="C1" s="8" t="s">
        <v>9</v>
      </c>
      <c r="D1" s="8" t="s">
        <v>11</v>
      </c>
      <c r="E1" s="8" t="s">
        <v>296</v>
      </c>
      <c r="F1" s="8" t="s">
        <v>10</v>
      </c>
      <c r="G1" s="8" t="s">
        <v>540</v>
      </c>
      <c r="H1" s="6" t="s">
        <v>328</v>
      </c>
      <c r="I1" s="8" t="s">
        <v>45</v>
      </c>
      <c r="J1" s="22" t="s">
        <v>390</v>
      </c>
    </row>
    <row r="2" spans="1:10" x14ac:dyDescent="0.25">
      <c r="A2" s="76">
        <v>1</v>
      </c>
      <c r="B2" s="76" t="str" cm="1">
        <f t="array" ref="B2:H41">_xlfn._xlws.SORT(
  _xlfn.UNIQUE(
    _xlfn._xlws.FILTER(
      CHOOSE({1,2,3,4,5,6,7},
        'New Stock Sheet'!A:A,
        'New Stock Sheet'!B:B,
        'New Stock Sheet'!C:C,
        'New Stock Sheet'!D:D,
        'New Stock Sheet'!E:E,
        'New Stock Sheet'!G:G,
        'New Stock Sheet'!H:H
      ),
     ('New Stock Sheet'!D:D&lt;&gt;"STOCK")*
      ('New Stock Sheet'!D:D&lt;&gt;"CHECK")*
      ('New Stock Sheet'!D:D&lt;&gt;"")*
      ('New Stock Sheet'!D:D&lt;&gt;0)
    )
  ),
  7,
  TRUE
)</f>
        <v>Sample (PM)</v>
      </c>
      <c r="C2" s="76">
        <v>4</v>
      </c>
      <c r="D2" s="76" t="str">
        <v>Hansa Biomed</v>
      </c>
      <c r="E2" s="76" t="str">
        <v>Local</v>
      </c>
      <c r="F2" s="76" t="str">
        <v>Priyanka Madam-Sample</v>
      </c>
      <c r="G2" s="76" t="str">
        <v>25-3391</v>
      </c>
      <c r="H2" s="77">
        <v>45896</v>
      </c>
      <c r="I2" s="76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3</v>
      </c>
      <c r="J2" s="78">
        <f>SUMIFS('New Stock Sheet'!J:J,'New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10" hidden="1" x14ac:dyDescent="0.25">
      <c r="A3" s="8">
        <f>A2+1</f>
        <v>2</v>
      </c>
      <c r="B3" s="8" t="str">
        <v>UNKNOWN</v>
      </c>
      <c r="C3" s="8">
        <v>4</v>
      </c>
      <c r="D3" s="8" t="str">
        <v>Biolegend</v>
      </c>
      <c r="E3" s="8" t="str">
        <v>Unknown</v>
      </c>
      <c r="F3" s="8" t="str">
        <v>Mohan Sir, (Demo)</v>
      </c>
      <c r="G3" s="8" t="str">
        <v>EED118806</v>
      </c>
      <c r="H3" s="10">
        <v>45910</v>
      </c>
      <c r="I3" s="8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4</v>
      </c>
      <c r="J3" s="22">
        <f>SUMIFS('New Stock Sheet'!J:J,'New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0</v>
      </c>
    </row>
    <row r="4" spans="1:10" x14ac:dyDescent="0.25">
      <c r="A4" s="8">
        <f t="shared" ref="A4:A67" si="0">A3+1</f>
        <v>3</v>
      </c>
      <c r="B4" s="8" t="str">
        <v>SOUTH CAMPUS</v>
      </c>
      <c r="C4" s="8" t="str">
        <v>RT</v>
      </c>
      <c r="D4" s="8" t="str">
        <v>Hoefer</v>
      </c>
      <c r="E4" s="8" t="str">
        <v>Local</v>
      </c>
      <c r="F4" s="8" t="str">
        <v>Priyanka Madam-Sample</v>
      </c>
      <c r="G4" s="8" t="str">
        <v>Opening Stock</v>
      </c>
      <c r="H4" s="10">
        <v>45916</v>
      </c>
      <c r="I4" s="8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2</v>
      </c>
      <c r="J4" s="22">
        <f>SUMIFS('New Stock Sheet'!J:J,'New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0</v>
      </c>
    </row>
    <row r="5" spans="1:10" hidden="1" x14ac:dyDescent="0.25">
      <c r="A5" s="8">
        <f t="shared" si="0"/>
        <v>4</v>
      </c>
      <c r="B5" s="8" t="str">
        <v>Unknown</v>
      </c>
      <c r="C5" s="8">
        <v>4</v>
      </c>
      <c r="D5" s="8" t="str">
        <v>Biolegend</v>
      </c>
      <c r="E5" s="8" t="str">
        <v>Unknown</v>
      </c>
      <c r="F5" s="8" t="str">
        <v>Mohan sir,(Sample) Aurigine Onco</v>
      </c>
      <c r="G5" s="8" t="str">
        <v>EED119537</v>
      </c>
      <c r="H5" s="10">
        <v>45936</v>
      </c>
      <c r="I5" s="8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1</v>
      </c>
      <c r="J5" s="22">
        <f>SUMIFS('New Stock Sheet'!J:J,'New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0</v>
      </c>
    </row>
    <row r="6" spans="1:10" x14ac:dyDescent="0.25">
      <c r="A6" s="8">
        <f t="shared" si="0"/>
        <v>5</v>
      </c>
      <c r="B6" s="8" t="str">
        <v>AIIMS</v>
      </c>
      <c r="C6" s="8">
        <v>-20</v>
      </c>
      <c r="D6" s="8" t="str">
        <v>Targetmol</v>
      </c>
      <c r="E6" s="8" t="str">
        <v>Local</v>
      </c>
      <c r="F6" s="8" t="str">
        <v>Priyanka Madam-Sample</v>
      </c>
      <c r="G6" s="8" t="str">
        <v>INV251107-003</v>
      </c>
      <c r="H6" s="10">
        <v>45971</v>
      </c>
      <c r="I6" s="8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</v>
      </c>
      <c r="J6" s="22">
        <f>SUMIFS('New Stock Sheet'!J:J,'New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0</v>
      </c>
    </row>
    <row r="7" spans="1:10" x14ac:dyDescent="0.25">
      <c r="A7" s="8">
        <f t="shared" si="0"/>
        <v>6</v>
      </c>
      <c r="B7" s="8" t="str">
        <v>Sample (PM)</v>
      </c>
      <c r="C7" s="8" t="str">
        <v>rt</v>
      </c>
      <c r="D7" s="8" t="str">
        <v>Boster</v>
      </c>
      <c r="E7" s="8" t="str">
        <v>Local</v>
      </c>
      <c r="F7" s="8" t="str">
        <v>Priyanka Madam-Sample</v>
      </c>
      <c r="G7" s="8">
        <v>67303</v>
      </c>
      <c r="H7" s="10">
        <v>45985</v>
      </c>
      <c r="I7" s="8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2</v>
      </c>
      <c r="J7" s="22">
        <f>SUMIFS('New Stock Sheet'!J:J,'New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0</v>
      </c>
    </row>
    <row r="8" spans="1:10" x14ac:dyDescent="0.25">
      <c r="A8" s="8">
        <f t="shared" si="0"/>
        <v>7</v>
      </c>
      <c r="B8" s="8" t="str">
        <v>ICGEB</v>
      </c>
      <c r="C8" s="8">
        <v>4</v>
      </c>
      <c r="D8" s="8" t="str">
        <v>Biolegend</v>
      </c>
      <c r="E8" s="8" t="str">
        <v>Local</v>
      </c>
      <c r="F8" s="8" t="str">
        <v>Priyanka Madam - FOC</v>
      </c>
      <c r="G8" s="8" t="str">
        <v>EED121200</v>
      </c>
      <c r="H8" s="10">
        <v>45987</v>
      </c>
      <c r="I8" s="8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2</v>
      </c>
      <c r="J8" s="22">
        <f>SUMIFS('New Stock Sheet'!J:J,'New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0</v>
      </c>
    </row>
    <row r="9" spans="1:10" hidden="1" x14ac:dyDescent="0.25">
      <c r="A9" s="8">
        <f t="shared" si="0"/>
        <v>8</v>
      </c>
      <c r="B9" s="8" t="str">
        <v>FARCAST</v>
      </c>
      <c r="C9" s="8">
        <v>4</v>
      </c>
      <c r="D9" s="8" t="str">
        <v>Biolegend</v>
      </c>
      <c r="E9" s="8" t="str">
        <v>OutStation</v>
      </c>
      <c r="F9" s="8" t="str">
        <v>Farcast Stock (On Hold)</v>
      </c>
      <c r="G9" s="8" t="str">
        <v>EED122103</v>
      </c>
      <c r="H9" s="10">
        <v>46018</v>
      </c>
      <c r="I9" s="8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2</v>
      </c>
      <c r="J9" s="22">
        <f>SUMIFS('New Stock Sheet'!J:J,'New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62682</v>
      </c>
    </row>
    <row r="10" spans="1:10" hidden="1" x14ac:dyDescent="0.25">
      <c r="A10" s="8">
        <f t="shared" si="0"/>
        <v>9</v>
      </c>
      <c r="B10" s="8" t="str">
        <v>FARCAST</v>
      </c>
      <c r="C10" s="8">
        <v>4</v>
      </c>
      <c r="D10" s="8" t="str">
        <v>Biolegend</v>
      </c>
      <c r="E10" s="8" t="str">
        <v>OutStation</v>
      </c>
      <c r="F10" s="8" t="str">
        <v>Farcast Stock (On Hold)</v>
      </c>
      <c r="G10" s="8" t="str">
        <v>EED122144</v>
      </c>
      <c r="H10" s="10">
        <v>46021</v>
      </c>
      <c r="I10" s="8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  <c r="J10" s="22">
        <f>SUMIFS('New Stock Sheet'!J:J,'New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28179</v>
      </c>
    </row>
    <row r="11" spans="1:10" x14ac:dyDescent="0.25">
      <c r="A11" s="76">
        <f t="shared" si="0"/>
        <v>10</v>
      </c>
      <c r="B11" s="76" t="str">
        <v>AIIMS</v>
      </c>
      <c r="C11" s="76" t="str">
        <v>RT</v>
      </c>
      <c r="D11" s="76" t="str">
        <v>Sartorius</v>
      </c>
      <c r="E11" s="76" t="str">
        <v>Local</v>
      </c>
      <c r="F11" s="76" t="str">
        <v>Priyanka Madam-Sample</v>
      </c>
      <c r="G11" s="76" t="str">
        <v>Samples</v>
      </c>
      <c r="H11" s="77">
        <v>46032</v>
      </c>
      <c r="I11" s="76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  <c r="J11" s="78">
        <f>SUMIFS('New Stock Sheet'!J:J,'New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0</v>
      </c>
    </row>
    <row r="12" spans="1:10" x14ac:dyDescent="0.25">
      <c r="A12" s="8">
        <f t="shared" si="0"/>
        <v>11</v>
      </c>
      <c r="B12" s="8" t="str">
        <v>NII</v>
      </c>
      <c r="C12" s="8" t="str">
        <v>RT</v>
      </c>
      <c r="D12" s="8" t="str">
        <v>Sartorius</v>
      </c>
      <c r="E12" s="8" t="str">
        <v>Local</v>
      </c>
      <c r="F12" s="8" t="str">
        <v>Priyanka Madam-Sample</v>
      </c>
      <c r="G12" s="8" t="str">
        <v>Samples</v>
      </c>
      <c r="H12" s="10">
        <v>46032</v>
      </c>
      <c r="I12" s="8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  <c r="J12" s="22">
        <f>SUMIFS('New Stock Sheet'!J:J,'New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0</v>
      </c>
    </row>
    <row r="13" spans="1:10" x14ac:dyDescent="0.25">
      <c r="A13" s="76">
        <f t="shared" si="0"/>
        <v>12</v>
      </c>
      <c r="B13" s="76" t="str">
        <v>SAMPLE (PM)</v>
      </c>
      <c r="C13" s="76">
        <v>-20</v>
      </c>
      <c r="D13" s="76" t="str">
        <v>Bestenzymes</v>
      </c>
      <c r="E13" s="76" t="str">
        <v>Local</v>
      </c>
      <c r="F13" s="76" t="str">
        <v>Priyanka Madam-Sample</v>
      </c>
      <c r="G13" s="76" t="str">
        <v>BSM20260204001</v>
      </c>
      <c r="H13" s="77">
        <v>46065</v>
      </c>
      <c r="I13" s="76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24</v>
      </c>
      <c r="J13" s="78">
        <f>SUMIFS('New Stock Sheet'!J:J,'New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0</v>
      </c>
    </row>
    <row r="14" spans="1:10" x14ac:dyDescent="0.25">
      <c r="A14" s="8">
        <f t="shared" si="0"/>
        <v>13</v>
      </c>
      <c r="B14" s="8" t="str">
        <v>SAMPLE (PM)</v>
      </c>
      <c r="C14" s="8">
        <v>-20</v>
      </c>
      <c r="D14" s="8" t="str">
        <v>Targetmol</v>
      </c>
      <c r="E14" s="8" t="str">
        <v>Local</v>
      </c>
      <c r="F14" s="8" t="str">
        <v>Priyanka Madam-Sample</v>
      </c>
      <c r="G14" s="8" t="str">
        <v>INV260219-003</v>
      </c>
      <c r="H14" s="10">
        <v>46074</v>
      </c>
      <c r="I14" s="8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2</v>
      </c>
      <c r="J14" s="22">
        <f>SUMIFS('New Stock Sheet'!J:J,'New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0</v>
      </c>
    </row>
    <row r="15" spans="1:10" x14ac:dyDescent="0.25">
      <c r="A15" s="8">
        <f t="shared" si="0"/>
        <v>14</v>
      </c>
      <c r="B15" s="8" t="str">
        <v>NII</v>
      </c>
      <c r="C15" s="8">
        <v>4</v>
      </c>
      <c r="D15" s="8" t="str">
        <v>Mp Bio</v>
      </c>
      <c r="E15" s="8" t="str">
        <v>Local</v>
      </c>
      <c r="F15" s="8" t="str">
        <v>Priyanka Madam</v>
      </c>
      <c r="G15" s="8" t="str">
        <v>MP/LS/25-26/2466</v>
      </c>
      <c r="H15" s="10">
        <v>46074</v>
      </c>
      <c r="I15" s="8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2</v>
      </c>
      <c r="J15" s="22">
        <f>SUMIFS('New Stock Sheet'!J:J,'New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0</v>
      </c>
    </row>
    <row r="16" spans="1:10" x14ac:dyDescent="0.25">
      <c r="A16" s="8">
        <f t="shared" si="0"/>
        <v>15</v>
      </c>
      <c r="B16" s="8" t="str">
        <v>NII</v>
      </c>
      <c r="C16" s="8" t="str">
        <v>RT</v>
      </c>
      <c r="D16" s="8" t="str">
        <v>Mp Bio</v>
      </c>
      <c r="E16" s="8" t="str">
        <v>Local</v>
      </c>
      <c r="F16" s="8" t="str">
        <v>Priyanka Madam</v>
      </c>
      <c r="G16" s="8" t="str">
        <v>MP/LS/25-26/2466</v>
      </c>
      <c r="H16" s="10">
        <v>46074</v>
      </c>
      <c r="I16" s="8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  <c r="J16" s="22">
        <f>SUMIFS('New Stock Sheet'!J:J,'New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0</v>
      </c>
    </row>
    <row r="17" spans="1:10" x14ac:dyDescent="0.25">
      <c r="A17" s="8">
        <f t="shared" si="0"/>
        <v>16</v>
      </c>
      <c r="B17" s="8" t="str">
        <v>Sample (PM)</v>
      </c>
      <c r="C17" s="8">
        <v>-20</v>
      </c>
      <c r="D17" s="8" t="str">
        <v>Bio Helix</v>
      </c>
      <c r="E17" s="8" t="str">
        <v>Local</v>
      </c>
      <c r="F17" s="8" t="str">
        <v>Priyanka Madam-Sample</v>
      </c>
      <c r="G17" s="8">
        <v>260226006</v>
      </c>
      <c r="H17" s="10">
        <v>46100</v>
      </c>
      <c r="I17" s="8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8</v>
      </c>
      <c r="J17" s="22">
        <f>SUMIFS('New Stock Sheet'!J:J,'New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0</v>
      </c>
    </row>
    <row r="18" spans="1:10" x14ac:dyDescent="0.25">
      <c r="A18" s="8">
        <f t="shared" si="0"/>
        <v>17</v>
      </c>
      <c r="B18" s="8" t="str">
        <v>BSP DAIGNOSTICS</v>
      </c>
      <c r="C18" s="8">
        <v>4</v>
      </c>
      <c r="D18" s="8" t="str">
        <v>Biolegend</v>
      </c>
      <c r="E18" s="8" t="str">
        <v>Local</v>
      </c>
      <c r="F18" s="8" t="str">
        <v>DEMO (CAT: 567903)</v>
      </c>
      <c r="G18" s="8" t="str">
        <v>EED124492</v>
      </c>
      <c r="H18" s="10">
        <v>46112</v>
      </c>
      <c r="I18" s="8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1</v>
      </c>
      <c r="J18" s="22">
        <f>SUMIFS('New Stock Sheet'!J:J,'New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0</v>
      </c>
    </row>
    <row r="19" spans="1:10" x14ac:dyDescent="0.25">
      <c r="A19" s="8">
        <f t="shared" si="0"/>
        <v>18</v>
      </c>
      <c r="B19" s="8" t="str">
        <v>NII</v>
      </c>
      <c r="C19" s="8">
        <v>4</v>
      </c>
      <c r="D19" s="8" t="str">
        <v>BioLegend</v>
      </c>
      <c r="E19" s="8" t="str">
        <v>Local</v>
      </c>
      <c r="F19" s="8" t="str">
        <v>Priyanka Madam - FOC</v>
      </c>
      <c r="G19" s="8" t="str">
        <v>EED124822</v>
      </c>
      <c r="H19" s="10">
        <v>46128</v>
      </c>
      <c r="I19" s="8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  <c r="J19" s="22">
        <f>SUMIFS('New Stock Sheet'!J:J,'New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0</v>
      </c>
    </row>
    <row r="20" spans="1:10" hidden="1" x14ac:dyDescent="0.25">
      <c r="A20" s="8">
        <f t="shared" si="0"/>
        <v>19</v>
      </c>
      <c r="B20" s="8" t="str">
        <v>NIIH</v>
      </c>
      <c r="C20" s="8">
        <v>4</v>
      </c>
      <c r="D20" s="8" t="str">
        <v>MABTECH</v>
      </c>
      <c r="E20" s="8" t="str">
        <v>OutStation</v>
      </c>
      <c r="F20" s="8" t="str">
        <v>PO PENDING</v>
      </c>
      <c r="G20" s="8" t="str">
        <v>SE043614</v>
      </c>
      <c r="H20" s="10">
        <v>46141</v>
      </c>
      <c r="I20" s="8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3</v>
      </c>
      <c r="J20" s="22">
        <f>SUMIFS('New Stock Sheet'!J:J,'New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206150</v>
      </c>
    </row>
    <row r="21" spans="1:10" hidden="1" x14ac:dyDescent="0.25">
      <c r="A21" s="8">
        <f t="shared" si="0"/>
        <v>20</v>
      </c>
      <c r="B21" s="8" t="str">
        <v>IMTECH</v>
      </c>
      <c r="C21" s="8">
        <v>4</v>
      </c>
      <c r="D21" s="8" t="str">
        <v>BioLegend</v>
      </c>
      <c r="E21" s="8" t="str">
        <v>OutStation</v>
      </c>
      <c r="F21" s="8" t="str">
        <v>Back Order</v>
      </c>
      <c r="G21" s="8" t="str">
        <v>EED125744</v>
      </c>
      <c r="H21" s="10">
        <v>46153</v>
      </c>
      <c r="I21" s="8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2</v>
      </c>
      <c r="J21" s="22">
        <f>SUMIFS('New Stock Sheet'!J:J,'New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78337</v>
      </c>
    </row>
    <row r="22" spans="1:10" x14ac:dyDescent="0.25">
      <c r="A22" s="8">
        <f t="shared" si="0"/>
        <v>21</v>
      </c>
      <c r="B22" s="8" t="str">
        <v>AIIMS</v>
      </c>
      <c r="C22" s="8">
        <v>4</v>
      </c>
      <c r="D22" s="8" t="str">
        <v>BIOLEGEND</v>
      </c>
      <c r="E22" s="8" t="str">
        <v>Local</v>
      </c>
      <c r="F22" s="8">
        <v>0</v>
      </c>
      <c r="G22" s="8" t="str">
        <v>SHP0003987</v>
      </c>
      <c r="H22" s="10">
        <v>46158</v>
      </c>
      <c r="I22" s="8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  <c r="J22" s="22">
        <f>SUMIFS('New Stock Sheet'!J:J,'New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15996</v>
      </c>
    </row>
    <row r="23" spans="1:10" x14ac:dyDescent="0.25">
      <c r="A23" s="8">
        <f t="shared" si="0"/>
        <v>22</v>
      </c>
      <c r="B23" s="8" t="str">
        <v>AIIMS</v>
      </c>
      <c r="C23" s="8">
        <v>-20</v>
      </c>
      <c r="D23" s="8" t="str">
        <v>TARGETMOL</v>
      </c>
      <c r="E23" s="8" t="str">
        <v>Local</v>
      </c>
      <c r="F23" s="8">
        <v>0</v>
      </c>
      <c r="G23" s="8" t="str">
        <v>INV260515-090</v>
      </c>
      <c r="H23" s="10">
        <v>46161</v>
      </c>
      <c r="I23" s="8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  <c r="J23" s="22">
        <f>SUMIFS('New Stock Sheet'!J:J,'New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3480</v>
      </c>
    </row>
    <row r="24" spans="1:10" hidden="1" x14ac:dyDescent="0.25">
      <c r="A24" s="8">
        <f t="shared" si="0"/>
        <v>23</v>
      </c>
      <c r="B24" s="8" t="str">
        <v>IISER PUNE</v>
      </c>
      <c r="C24" s="8">
        <v>-20</v>
      </c>
      <c r="D24" s="8" t="str">
        <v>Dharmacon</v>
      </c>
      <c r="E24" s="8" t="str">
        <v>OutStation</v>
      </c>
      <c r="F24" s="8" t="str">
        <v>Dispatch Details pending</v>
      </c>
      <c r="G24" s="8" t="str">
        <v>O051526IN3360560G</v>
      </c>
      <c r="H24" s="10">
        <v>46163</v>
      </c>
      <c r="I24" s="8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5</v>
      </c>
      <c r="J24" s="22">
        <f>SUMIFS('New Stock Sheet'!J:J,'New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137700</v>
      </c>
    </row>
    <row r="25" spans="1:10" hidden="1" x14ac:dyDescent="0.25">
      <c r="A25" s="76">
        <f t="shared" si="0"/>
        <v>24</v>
      </c>
      <c r="B25" s="76" t="str">
        <v>ANTHOM</v>
      </c>
      <c r="C25" s="76">
        <v>4</v>
      </c>
      <c r="D25" s="76" t="str">
        <v>BIOXCELL</v>
      </c>
      <c r="E25" s="76" t="str">
        <v>OutStation</v>
      </c>
      <c r="F25" s="76" t="str">
        <v>Payment Pending</v>
      </c>
      <c r="G25" s="76">
        <v>190172</v>
      </c>
      <c r="H25" s="77">
        <v>46164</v>
      </c>
      <c r="I25" s="76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2</v>
      </c>
      <c r="J25" s="78">
        <f>SUMIFS('New Stock Sheet'!J:J,'New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307524.38</v>
      </c>
    </row>
    <row r="26" spans="1:10" x14ac:dyDescent="0.25">
      <c r="A26" s="8">
        <f t="shared" si="0"/>
        <v>25</v>
      </c>
      <c r="B26" s="8" t="str">
        <v>Amrita</v>
      </c>
      <c r="C26" s="8">
        <v>4</v>
      </c>
      <c r="D26" s="8" t="str">
        <v>BIOLEGEND</v>
      </c>
      <c r="E26" s="8" t="str">
        <v>Local</v>
      </c>
      <c r="F26" s="8">
        <v>0</v>
      </c>
      <c r="G26" s="8" t="str">
        <v>SHP0005963</v>
      </c>
      <c r="H26" s="10">
        <v>46165</v>
      </c>
      <c r="I26" s="8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  <c r="J26" s="22">
        <f>SUMIFS('New Stock Sheet'!J:J,'New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0</v>
      </c>
    </row>
    <row r="27" spans="1:10" x14ac:dyDescent="0.25">
      <c r="A27" s="8">
        <f t="shared" si="0"/>
        <v>26</v>
      </c>
      <c r="B27" s="8" t="str">
        <v>Aiims</v>
      </c>
      <c r="C27" s="8">
        <v>4</v>
      </c>
      <c r="D27" s="8" t="str">
        <v>BIOLEGEND</v>
      </c>
      <c r="E27" s="8" t="str">
        <v>Local</v>
      </c>
      <c r="F27" s="8">
        <v>0</v>
      </c>
      <c r="G27" s="8" t="str">
        <v>SHP0005963</v>
      </c>
      <c r="H27" s="10">
        <v>46165</v>
      </c>
      <c r="I27" s="8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  <c r="J27" s="22">
        <f>SUMIFS('New Stock Sheet'!J:J,'New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5812.5</v>
      </c>
    </row>
    <row r="28" spans="1:10" x14ac:dyDescent="0.25">
      <c r="A28" s="8">
        <f t="shared" si="0"/>
        <v>27</v>
      </c>
      <c r="B28" s="8" t="str">
        <v>Premas</v>
      </c>
      <c r="C28" s="8">
        <v>4</v>
      </c>
      <c r="D28" s="8" t="str">
        <v>BIOLEGEND</v>
      </c>
      <c r="E28" s="8" t="str">
        <v>Local</v>
      </c>
      <c r="F28" s="8">
        <v>0</v>
      </c>
      <c r="G28" s="8" t="str">
        <v>SHP0005963</v>
      </c>
      <c r="H28" s="10">
        <v>46165</v>
      </c>
      <c r="I28" s="8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3</v>
      </c>
      <c r="J28" s="22">
        <f>SUMIFS('New Stock Sheet'!J:J,'New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98101.05</v>
      </c>
    </row>
    <row r="29" spans="1:10" hidden="1" x14ac:dyDescent="0.25">
      <c r="A29" s="8">
        <f t="shared" si="0"/>
        <v>28</v>
      </c>
      <c r="B29" s="8" t="str">
        <v>imtech</v>
      </c>
      <c r="C29" s="8">
        <v>4</v>
      </c>
      <c r="D29" s="8" t="str">
        <v>BIOLEGEND</v>
      </c>
      <c r="E29" s="8" t="str">
        <v>OutStation</v>
      </c>
      <c r="F29" s="8">
        <v>0</v>
      </c>
      <c r="G29" s="8" t="str">
        <v>SHP0005963</v>
      </c>
      <c r="H29" s="10">
        <v>46165</v>
      </c>
      <c r="I29" s="8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2</v>
      </c>
      <c r="J29" s="22">
        <f>SUMIFS('New Stock Sheet'!J:J,'New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46221</v>
      </c>
    </row>
    <row r="30" spans="1:10" hidden="1" x14ac:dyDescent="0.25">
      <c r="A30" s="8">
        <f t="shared" si="0"/>
        <v>29</v>
      </c>
      <c r="B30" s="8" t="str">
        <v>IIT Bombay</v>
      </c>
      <c r="C30" s="8">
        <v>4</v>
      </c>
      <c r="D30" s="8" t="str">
        <v>BIOLEGEND</v>
      </c>
      <c r="E30" s="8" t="str">
        <v>OutStation</v>
      </c>
      <c r="F30" s="8">
        <v>0</v>
      </c>
      <c r="G30" s="8" t="str">
        <v>SHP0005963</v>
      </c>
      <c r="H30" s="10">
        <v>46165</v>
      </c>
      <c r="I30" s="8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</v>
      </c>
      <c r="J30" s="22">
        <f>SUMIFS('New Stock Sheet'!J:J,'New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15577.5</v>
      </c>
    </row>
    <row r="31" spans="1:10" x14ac:dyDescent="0.25">
      <c r="A31" s="8">
        <f t="shared" si="0"/>
        <v>30</v>
      </c>
      <c r="B31" s="8" t="str">
        <v>IGIB</v>
      </c>
      <c r="C31" s="8">
        <v>20</v>
      </c>
      <c r="D31" s="8" t="str">
        <v>BIOLEGEND</v>
      </c>
      <c r="E31" s="8" t="str">
        <v>Local</v>
      </c>
      <c r="F31" s="8">
        <v>0</v>
      </c>
      <c r="G31" s="8" t="str">
        <v>SHP0005963</v>
      </c>
      <c r="H31" s="10">
        <v>46165</v>
      </c>
      <c r="I31" s="8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1</v>
      </c>
      <c r="J31" s="22">
        <f>SUMIFS('New Stock Sheet'!J:J,'New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0</v>
      </c>
    </row>
    <row r="32" spans="1:10" hidden="1" x14ac:dyDescent="0.25">
      <c r="A32" s="8">
        <f t="shared" si="0"/>
        <v>31</v>
      </c>
      <c r="B32" s="8" t="str">
        <v>NIAB</v>
      </c>
      <c r="C32" s="8">
        <v>4</v>
      </c>
      <c r="D32" s="8" t="str">
        <v>BIOLEGEND</v>
      </c>
      <c r="E32" s="8" t="str">
        <v>OutStation</v>
      </c>
      <c r="F32" s="8">
        <v>0</v>
      </c>
      <c r="G32" s="8" t="str">
        <v>SHP0005963</v>
      </c>
      <c r="H32" s="10">
        <v>46165</v>
      </c>
      <c r="I32" s="8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6</v>
      </c>
      <c r="J32" s="22">
        <f>SUMIFS('New Stock Sheet'!J:J,'New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155971.20000000001</v>
      </c>
    </row>
    <row r="33" spans="1:12" x14ac:dyDescent="0.25">
      <c r="A33" s="76">
        <f t="shared" si="0"/>
        <v>32</v>
      </c>
      <c r="B33" s="76" t="str">
        <v>miranda house</v>
      </c>
      <c r="C33" s="76">
        <v>4</v>
      </c>
      <c r="D33" s="76" t="str">
        <v>BIOLEGEND</v>
      </c>
      <c r="E33" s="76" t="str">
        <v>Local</v>
      </c>
      <c r="F33" s="76">
        <v>0</v>
      </c>
      <c r="G33" s="76" t="str">
        <v>SHP0005963</v>
      </c>
      <c r="H33" s="77">
        <v>46165</v>
      </c>
      <c r="I33" s="76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2</v>
      </c>
      <c r="J33" s="78">
        <f>SUMIFS('New Stock Sheet'!J:J,'New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38866.25</v>
      </c>
    </row>
    <row r="34" spans="1:12" hidden="1" x14ac:dyDescent="0.25">
      <c r="A34" s="8">
        <f t="shared" si="0"/>
        <v>33</v>
      </c>
      <c r="B34" s="8" t="str">
        <v>neuberg</v>
      </c>
      <c r="C34" s="8">
        <v>4</v>
      </c>
      <c r="D34" s="8" t="str">
        <v>BIOLEGEND</v>
      </c>
      <c r="E34" s="8" t="str">
        <v>OutStation</v>
      </c>
      <c r="F34" s="8">
        <v>0</v>
      </c>
      <c r="G34" s="8" t="str">
        <v>SHP0005963</v>
      </c>
      <c r="H34" s="10">
        <v>46165</v>
      </c>
      <c r="I34" s="8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1</v>
      </c>
      <c r="J34" s="22">
        <f>SUMIFS('New Stock Sheet'!J:J,'New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47197.5</v>
      </c>
    </row>
    <row r="35" spans="1:12" x14ac:dyDescent="0.25">
      <c r="A35" s="8">
        <f t="shared" si="0"/>
        <v>34</v>
      </c>
      <c r="B35" s="8" t="str">
        <v>Priyanka Madam</v>
      </c>
      <c r="C35" s="8">
        <v>4</v>
      </c>
      <c r="D35" s="8" t="str">
        <v>BIOLEGEND</v>
      </c>
      <c r="E35" s="8" t="str">
        <v>Local</v>
      </c>
      <c r="F35" s="8">
        <v>0</v>
      </c>
      <c r="G35" s="8" t="str">
        <v>SHP0005963</v>
      </c>
      <c r="H35" s="10">
        <v>46165</v>
      </c>
      <c r="I35" s="8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1</v>
      </c>
      <c r="J35" s="22">
        <f>SUMIFS('New Stock Sheet'!J:J,'New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0</v>
      </c>
    </row>
    <row r="36" spans="1:12" x14ac:dyDescent="0.25">
      <c r="A36" s="8">
        <f t="shared" si="0"/>
        <v>35</v>
      </c>
      <c r="B36" s="8" t="str">
        <v>ICGEB</v>
      </c>
      <c r="C36" s="8">
        <v>4</v>
      </c>
      <c r="D36" s="8" t="str">
        <v>BIOLEGEND</v>
      </c>
      <c r="E36" s="8" t="str">
        <v>Local</v>
      </c>
      <c r="F36" s="8">
        <v>0</v>
      </c>
      <c r="G36" s="8" t="str">
        <v>SHP0005963</v>
      </c>
      <c r="H36" s="10">
        <v>46165</v>
      </c>
      <c r="I36" s="8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1</v>
      </c>
      <c r="J36" s="22">
        <f>SUMIFS('New Stock Sheet'!J:J,'New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0</v>
      </c>
    </row>
    <row r="37" spans="1:12" x14ac:dyDescent="0.25">
      <c r="A37" s="76">
        <f t="shared" si="0"/>
        <v>36</v>
      </c>
      <c r="B37" s="76" t="str">
        <v>SPM</v>
      </c>
      <c r="C37" s="76">
        <v>4</v>
      </c>
      <c r="D37" s="76" t="str">
        <v>BIOLEGEND</v>
      </c>
      <c r="E37" s="76" t="str">
        <v>Local</v>
      </c>
      <c r="F37" s="76">
        <v>0</v>
      </c>
      <c r="G37" s="76" t="str">
        <v>SHP0005963</v>
      </c>
      <c r="H37" s="77">
        <v>46165</v>
      </c>
      <c r="I37" s="76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2</v>
      </c>
      <c r="J37" s="78">
        <f>SUMIFS('New Stock Sheet'!J:J,'New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13680</v>
      </c>
    </row>
    <row r="38" spans="1:12" hidden="1" x14ac:dyDescent="0.25">
      <c r="A38" s="8">
        <f t="shared" si="0"/>
        <v>37</v>
      </c>
      <c r="B38" s="8" t="str">
        <v>aragen</v>
      </c>
      <c r="C38" s="8">
        <v>4</v>
      </c>
      <c r="D38" s="8" t="str">
        <v>BIOLEGEND</v>
      </c>
      <c r="E38" s="8" t="str">
        <v>OutStation</v>
      </c>
      <c r="F38" s="8">
        <v>0</v>
      </c>
      <c r="G38" s="8" t="str">
        <v>SHP0005963</v>
      </c>
      <c r="H38" s="10">
        <v>46165</v>
      </c>
      <c r="I38" s="8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2</v>
      </c>
      <c r="J38" s="22">
        <f>SUMIFS('New Stock Sheet'!J:J,'New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46143.5</v>
      </c>
    </row>
    <row r="39" spans="1:12" hidden="1" x14ac:dyDescent="0.25">
      <c r="A39" s="8">
        <f t="shared" si="0"/>
        <v>38</v>
      </c>
      <c r="B39" s="8" t="str">
        <v>NCCS</v>
      </c>
      <c r="C39" s="8">
        <v>4</v>
      </c>
      <c r="D39" s="8" t="str">
        <v>BIOLEGEND</v>
      </c>
      <c r="E39" s="8" t="str">
        <v>OutStation</v>
      </c>
      <c r="F39" s="8">
        <v>0</v>
      </c>
      <c r="G39" s="8" t="str">
        <v>SHP0005963</v>
      </c>
      <c r="H39" s="10">
        <v>46165</v>
      </c>
      <c r="I39" s="8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5</v>
      </c>
      <c r="J39" s="22">
        <f>SUMIFS('New Stock Sheet'!J:J,'New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136306.42000000001</v>
      </c>
    </row>
    <row r="40" spans="1:12" hidden="1" x14ac:dyDescent="0.25">
      <c r="A40" s="8">
        <f t="shared" si="0"/>
        <v>39</v>
      </c>
      <c r="B40" s="8" t="str">
        <v>Aurigine Service</v>
      </c>
      <c r="C40" s="8">
        <v>4</v>
      </c>
      <c r="D40" s="8" t="str">
        <v>APEXBIO</v>
      </c>
      <c r="E40" s="8" t="str">
        <v>OutStation</v>
      </c>
      <c r="F40" s="8">
        <v>0</v>
      </c>
      <c r="G40" s="8" t="str">
        <v>300089416, 300089415</v>
      </c>
      <c r="H40" s="10">
        <v>46168</v>
      </c>
      <c r="I40" s="8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1</v>
      </c>
      <c r="J40" s="22">
        <f>SUMIFS('New Stock Sheet'!J:J,'New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13950</v>
      </c>
      <c r="L40" s="23"/>
    </row>
    <row r="41" spans="1:12" hidden="1" x14ac:dyDescent="0.25">
      <c r="A41" s="8">
        <f t="shared" si="0"/>
        <v>40</v>
      </c>
      <c r="B41" s="8" t="str">
        <v>TIGS</v>
      </c>
      <c r="C41" s="8">
        <v>4</v>
      </c>
      <c r="D41" s="8" t="str">
        <v>APEXBIO</v>
      </c>
      <c r="E41" s="8" t="str">
        <v>OutStation</v>
      </c>
      <c r="F41" s="8">
        <v>0</v>
      </c>
      <c r="G41" s="8" t="str">
        <v>300089416, 300089415</v>
      </c>
      <c r="H41" s="10">
        <v>46168</v>
      </c>
      <c r="I41" s="8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2</v>
      </c>
      <c r="J41" s="22">
        <f>SUMIFS('New Stock Sheet'!J:J,'New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139965</v>
      </c>
    </row>
    <row r="42" spans="1:12" hidden="1" x14ac:dyDescent="0.25">
      <c r="A42" s="76">
        <f t="shared" si="0"/>
        <v>41</v>
      </c>
      <c r="B42" s="76"/>
      <c r="C42" s="76"/>
      <c r="D42" s="76"/>
      <c r="E42" s="76"/>
      <c r="F42" s="76"/>
      <c r="G42" s="76"/>
      <c r="H42" s="77"/>
      <c r="I42" s="76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0</v>
      </c>
      <c r="J42" s="78">
        <f>SUMIFS('New Stock Sheet'!J:J,'New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0</v>
      </c>
    </row>
    <row r="43" spans="1:12" hidden="1" x14ac:dyDescent="0.25">
      <c r="A43" s="8">
        <f t="shared" si="0"/>
        <v>42</v>
      </c>
      <c r="B43" s="8"/>
      <c r="C43" s="8"/>
      <c r="D43" s="8"/>
      <c r="E43" s="8"/>
      <c r="F43" s="8"/>
      <c r="G43" s="8"/>
      <c r="H43" s="10"/>
      <c r="I43" s="8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0</v>
      </c>
      <c r="J43" s="22">
        <f>SUMIFS('New Stock Sheet'!J:J,'New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0</v>
      </c>
    </row>
    <row r="44" spans="1:12" hidden="1" x14ac:dyDescent="0.25">
      <c r="A44" s="8">
        <f t="shared" si="0"/>
        <v>43</v>
      </c>
      <c r="B44" s="8"/>
      <c r="C44" s="8"/>
      <c r="D44" s="8"/>
      <c r="E44" s="8"/>
      <c r="F44" s="8"/>
      <c r="G44" s="8"/>
      <c r="H44" s="10"/>
      <c r="I44" s="8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0</v>
      </c>
      <c r="J44" s="22">
        <f>SUMIFS('New Stock Sheet'!J:J,'New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0</v>
      </c>
    </row>
    <row r="45" spans="1:12" hidden="1" x14ac:dyDescent="0.25">
      <c r="A45" s="8">
        <f t="shared" si="0"/>
        <v>44</v>
      </c>
      <c r="B45" s="8"/>
      <c r="C45" s="8"/>
      <c r="D45" s="8"/>
      <c r="E45" s="8"/>
      <c r="F45" s="8"/>
      <c r="G45" s="8"/>
      <c r="H45" s="10"/>
      <c r="I45" s="8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  <c r="J45" s="22">
        <f>SUMIFS('New Stock Sheet'!J:J,'New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</row>
    <row r="46" spans="1:12" hidden="1" x14ac:dyDescent="0.25">
      <c r="A46" s="8">
        <f t="shared" si="0"/>
        <v>45</v>
      </c>
      <c r="B46" s="8"/>
      <c r="C46" s="8"/>
      <c r="D46" s="8"/>
      <c r="E46" s="8"/>
      <c r="F46" s="8"/>
      <c r="G46" s="8"/>
      <c r="H46" s="10"/>
      <c r="I46" s="8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  <c r="J46" s="22">
        <f>SUMIFS('New Stock Sheet'!J:J,'New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</row>
    <row r="47" spans="1:12" hidden="1" x14ac:dyDescent="0.25">
      <c r="A47" s="8">
        <f t="shared" si="0"/>
        <v>46</v>
      </c>
      <c r="B47" s="8"/>
      <c r="C47" s="8"/>
      <c r="D47" s="8"/>
      <c r="E47" s="8"/>
      <c r="F47" s="8"/>
      <c r="G47" s="8"/>
      <c r="H47" s="10"/>
      <c r="I47" s="8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  <c r="J47" s="22">
        <f>SUMIFS('New Stock Sheet'!J:J,'New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  <c r="L47" s="23"/>
    </row>
    <row r="48" spans="1:12" hidden="1" x14ac:dyDescent="0.25">
      <c r="A48" s="8">
        <f t="shared" si="0"/>
        <v>47</v>
      </c>
      <c r="B48" s="8"/>
      <c r="C48" s="8"/>
      <c r="D48" s="8"/>
      <c r="E48" s="8"/>
      <c r="F48" s="8"/>
      <c r="G48" s="8"/>
      <c r="H48" s="10"/>
      <c r="I48" s="8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  <c r="J48" s="22">
        <f>SUMIFS('New Stock Sheet'!J:J,'New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</row>
    <row r="49" spans="1:10" hidden="1" x14ac:dyDescent="0.25">
      <c r="A49" s="8">
        <f t="shared" si="0"/>
        <v>48</v>
      </c>
      <c r="B49" s="8"/>
      <c r="C49" s="8"/>
      <c r="D49" s="8"/>
      <c r="E49" s="8"/>
      <c r="F49" s="8"/>
      <c r="G49" s="8"/>
      <c r="H49" s="10"/>
      <c r="I49" s="8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  <c r="J49" s="22">
        <f>SUMIFS('New Stock Sheet'!J:J,'New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</row>
    <row r="50" spans="1:10" hidden="1" x14ac:dyDescent="0.25">
      <c r="A50" s="8">
        <f t="shared" si="0"/>
        <v>49</v>
      </c>
      <c r="B50" s="8"/>
      <c r="C50" s="8"/>
      <c r="D50" s="8"/>
      <c r="E50" s="8"/>
      <c r="F50" s="8"/>
      <c r="G50" s="8"/>
      <c r="H50" s="10"/>
      <c r="I50" s="8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  <c r="J50" s="22">
        <f>SUMIFS('New Stock Sheet'!J:J,'New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</row>
    <row r="51" spans="1:10" hidden="1" x14ac:dyDescent="0.25">
      <c r="A51" s="8">
        <f t="shared" si="0"/>
        <v>50</v>
      </c>
      <c r="B51" s="8"/>
      <c r="C51" s="8"/>
      <c r="D51" s="8"/>
      <c r="E51" s="8"/>
      <c r="F51" s="8"/>
      <c r="G51" s="8"/>
      <c r="H51" s="10"/>
      <c r="I51" s="8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  <c r="J51" s="22">
        <f>SUMIFS('New Stock Sheet'!J:J,'New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</row>
    <row r="52" spans="1:10" hidden="1" x14ac:dyDescent="0.25">
      <c r="A52" s="8">
        <f t="shared" si="0"/>
        <v>51</v>
      </c>
      <c r="B52" s="8"/>
      <c r="C52" s="8"/>
      <c r="D52" s="8"/>
      <c r="E52" s="8"/>
      <c r="F52" s="8"/>
      <c r="G52" s="8"/>
      <c r="H52" s="10"/>
      <c r="I52" s="8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  <c r="J52" s="22">
        <f>SUMIFS('New Stock Sheet'!J:J,'New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</row>
    <row r="53" spans="1:10" hidden="1" x14ac:dyDescent="0.25">
      <c r="A53" s="8">
        <f t="shared" si="0"/>
        <v>52</v>
      </c>
      <c r="B53" s="8"/>
      <c r="C53" s="8"/>
      <c r="D53" s="8"/>
      <c r="E53" s="8"/>
      <c r="F53" s="8"/>
      <c r="G53" s="8"/>
      <c r="H53" s="10"/>
      <c r="I53" s="8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  <c r="J53" s="22">
        <f>SUMIFS('New Stock Sheet'!J:J,'New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</row>
    <row r="54" spans="1:10" hidden="1" x14ac:dyDescent="0.25">
      <c r="A54" s="8">
        <f t="shared" si="0"/>
        <v>53</v>
      </c>
      <c r="B54" s="8"/>
      <c r="C54" s="8"/>
      <c r="D54" s="8"/>
      <c r="E54" s="8"/>
      <c r="F54" s="8"/>
      <c r="G54" s="8"/>
      <c r="H54" s="10"/>
      <c r="I54" s="8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  <c r="J54" s="22">
        <f>SUMIFS('New Stock Sheet'!J:J,'New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</row>
    <row r="55" spans="1:10" hidden="1" x14ac:dyDescent="0.25">
      <c r="A55" s="76">
        <f t="shared" si="0"/>
        <v>54</v>
      </c>
      <c r="B55" s="76"/>
      <c r="C55" s="76"/>
      <c r="D55" s="76"/>
      <c r="E55" s="76"/>
      <c r="F55" s="76"/>
      <c r="G55" s="76"/>
      <c r="H55" s="77"/>
      <c r="I55" s="76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  <c r="J55" s="78">
        <f>SUMIFS('New Stock Sheet'!J:J,'New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</row>
    <row r="56" spans="1:10" hidden="1" x14ac:dyDescent="0.25">
      <c r="A56" s="8">
        <f t="shared" si="0"/>
        <v>55</v>
      </c>
      <c r="B56" s="8"/>
      <c r="C56" s="8"/>
      <c r="D56" s="8"/>
      <c r="E56" s="8"/>
      <c r="F56" s="8"/>
      <c r="G56" s="8"/>
      <c r="H56" s="10"/>
      <c r="I56" s="8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  <c r="J56" s="22">
        <f>SUMIFS('New Stock Sheet'!J:J,'New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</row>
    <row r="57" spans="1:10" hidden="1" x14ac:dyDescent="0.25">
      <c r="A57" s="8">
        <f t="shared" si="0"/>
        <v>56</v>
      </c>
      <c r="B57" s="8"/>
      <c r="C57" s="8"/>
      <c r="D57" s="8"/>
      <c r="E57" s="8"/>
      <c r="F57" s="8"/>
      <c r="G57" s="8"/>
      <c r="H57" s="10"/>
      <c r="I57" s="8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  <c r="J57" s="22">
        <f>SUMIFS('New Stock Sheet'!J:J,'New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</row>
    <row r="58" spans="1:10" hidden="1" x14ac:dyDescent="0.25">
      <c r="A58" s="8">
        <f t="shared" si="0"/>
        <v>57</v>
      </c>
      <c r="B58" s="8"/>
      <c r="C58" s="8"/>
      <c r="D58" s="8"/>
      <c r="E58" s="8"/>
      <c r="F58" s="8"/>
      <c r="G58" s="8"/>
      <c r="H58" s="10"/>
      <c r="I58" s="8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  <c r="J58" s="22">
        <f>SUMIFS('New Stock Sheet'!J:J,'New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</row>
    <row r="59" spans="1:10" hidden="1" x14ac:dyDescent="0.25">
      <c r="A59" s="8">
        <f t="shared" si="0"/>
        <v>58</v>
      </c>
      <c r="B59" s="8"/>
      <c r="C59" s="8"/>
      <c r="D59" s="8"/>
      <c r="E59" s="8"/>
      <c r="F59" s="8"/>
      <c r="G59" s="8"/>
      <c r="H59" s="10"/>
      <c r="I59" s="8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  <c r="J59" s="22">
        <f>SUMIFS('New Stock Sheet'!J:J,'New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</row>
    <row r="60" spans="1:10" hidden="1" x14ac:dyDescent="0.25">
      <c r="A60" s="8">
        <f t="shared" si="0"/>
        <v>59</v>
      </c>
      <c r="B60" s="8"/>
      <c r="C60" s="8"/>
      <c r="D60" s="8"/>
      <c r="E60" s="8"/>
      <c r="F60" s="8"/>
      <c r="G60" s="8"/>
      <c r="H60" s="10"/>
      <c r="I60" s="8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  <c r="J60" s="22">
        <f>SUMIFS('New Stock Sheet'!J:J,'New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</row>
    <row r="61" spans="1:10" hidden="1" x14ac:dyDescent="0.25">
      <c r="A61" s="8">
        <f t="shared" si="0"/>
        <v>60</v>
      </c>
      <c r="B61" s="8"/>
      <c r="C61" s="8"/>
      <c r="D61" s="8"/>
      <c r="E61" s="8"/>
      <c r="F61" s="8"/>
      <c r="G61" s="8"/>
      <c r="H61" s="10"/>
      <c r="I61" s="8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  <c r="J61" s="22">
        <f>SUMIFS('New Stock Sheet'!J:J,'New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</row>
    <row r="62" spans="1:10" hidden="1" x14ac:dyDescent="0.25">
      <c r="A62" s="8">
        <f t="shared" si="0"/>
        <v>61</v>
      </c>
      <c r="B62" s="8"/>
      <c r="C62" s="8"/>
      <c r="D62" s="8"/>
      <c r="E62" s="8"/>
      <c r="F62" s="8"/>
      <c r="G62" s="8"/>
      <c r="H62" s="10"/>
      <c r="I62" s="8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  <c r="J62" s="22">
        <f>SUMIFS('New Stock Sheet'!J:J,'New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</row>
    <row r="63" spans="1:10" hidden="1" x14ac:dyDescent="0.25">
      <c r="A63" s="8">
        <f t="shared" si="0"/>
        <v>62</v>
      </c>
      <c r="B63" s="8"/>
      <c r="C63" s="8"/>
      <c r="D63" s="8"/>
      <c r="E63" s="8"/>
      <c r="F63" s="8"/>
      <c r="G63" s="8"/>
      <c r="H63" s="10"/>
      <c r="I63" s="8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  <c r="J63" s="22">
        <f>SUMIFS('New Stock Sheet'!J:J,'New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</row>
    <row r="64" spans="1:10" hidden="1" x14ac:dyDescent="0.25">
      <c r="A64" s="8">
        <f t="shared" si="0"/>
        <v>63</v>
      </c>
      <c r="B64" s="8"/>
      <c r="C64" s="8"/>
      <c r="D64" s="8"/>
      <c r="E64" s="8"/>
      <c r="F64" s="8"/>
      <c r="G64" s="8"/>
      <c r="H64" s="10"/>
      <c r="I64" s="8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  <c r="J64" s="22">
        <f>SUMIFS('New Stock Sheet'!J:J,'New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</row>
    <row r="65" spans="1:10" hidden="1" x14ac:dyDescent="0.25">
      <c r="A65" s="8">
        <f t="shared" si="0"/>
        <v>64</v>
      </c>
      <c r="B65" s="8"/>
      <c r="C65" s="8"/>
      <c r="D65" s="8"/>
      <c r="E65" s="8"/>
      <c r="F65" s="8"/>
      <c r="G65" s="8"/>
      <c r="H65" s="10"/>
      <c r="I65" s="8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  <c r="J65" s="22">
        <f>SUMIFS('New Stock Sheet'!J:J,'New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</row>
    <row r="66" spans="1:10" hidden="1" x14ac:dyDescent="0.25">
      <c r="A66" s="8">
        <f t="shared" si="0"/>
        <v>65</v>
      </c>
      <c r="B66" s="8"/>
      <c r="C66" s="8"/>
      <c r="D66" s="8"/>
      <c r="E66" s="8"/>
      <c r="F66" s="8"/>
      <c r="G66" s="8"/>
      <c r="H66" s="10"/>
      <c r="I66" s="8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  <c r="J66" s="22">
        <f>SUMIFS('New Stock Sheet'!J:J,'New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</row>
    <row r="67" spans="1:10" hidden="1" x14ac:dyDescent="0.25">
      <c r="A67" s="8">
        <f t="shared" si="0"/>
        <v>66</v>
      </c>
      <c r="B67" s="8"/>
      <c r="C67" s="8"/>
      <c r="D67" s="8"/>
      <c r="E67" s="8"/>
      <c r="F67" s="8"/>
      <c r="G67" s="8"/>
      <c r="H67" s="10"/>
      <c r="I67" s="8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  <c r="J67" s="22">
        <f>SUMIFS('New Stock Sheet'!J:J,'New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</row>
    <row r="68" spans="1:10" hidden="1" x14ac:dyDescent="0.25">
      <c r="A68" s="8">
        <f t="shared" ref="A68:A71" si="1">A67+1</f>
        <v>67</v>
      </c>
      <c r="B68" s="8"/>
      <c r="C68" s="8"/>
      <c r="D68" s="8"/>
      <c r="E68" s="8"/>
      <c r="F68" s="8"/>
      <c r="G68" s="8"/>
      <c r="H68" s="10"/>
      <c r="I68" s="8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  <c r="J68" s="22">
        <f>SUMIFS('New Stock Sheet'!J:J,'New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</row>
    <row r="69" spans="1:10" hidden="1" x14ac:dyDescent="0.25">
      <c r="A69" s="8">
        <f t="shared" si="1"/>
        <v>68</v>
      </c>
      <c r="B69" s="8"/>
      <c r="C69" s="8"/>
      <c r="D69" s="8"/>
      <c r="E69" s="8"/>
      <c r="F69" s="8"/>
      <c r="G69" s="8"/>
      <c r="H69" s="10"/>
      <c r="I69" s="8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  <c r="J69" s="22">
        <f>SUMIFS('New Stock Sheet'!J:J,'New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</row>
    <row r="70" spans="1:10" hidden="1" x14ac:dyDescent="0.25">
      <c r="A70" s="8">
        <f t="shared" si="1"/>
        <v>69</v>
      </c>
      <c r="B70" s="8"/>
      <c r="C70" s="8"/>
      <c r="D70" s="8"/>
      <c r="E70" s="8"/>
      <c r="F70" s="8"/>
      <c r="G70" s="8"/>
      <c r="H70" s="10"/>
      <c r="I70" s="8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  <c r="J70" s="22">
        <f>SUMIFS('New Stock Sheet'!J:J,'New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</row>
    <row r="71" spans="1:10" hidden="1" x14ac:dyDescent="0.25">
      <c r="A71" s="8">
        <f t="shared" si="1"/>
        <v>70</v>
      </c>
      <c r="B71" s="8"/>
      <c r="C71" s="8"/>
      <c r="D71" s="8"/>
      <c r="E71" s="8"/>
      <c r="F71" s="8"/>
      <c r="G71" s="8"/>
      <c r="H71" s="10"/>
      <c r="I71" s="8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  <c r="J71" s="22">
        <f>SUMIFS('New Stock Sheet'!J:J,'New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</row>
  </sheetData>
  <autoFilter ref="A1:J71" xr:uid="{43665478-A9A9-451A-8851-8274B823E8BA}">
    <filterColumn colId="4">
      <filters>
        <filter val="Local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dimension ref="A1:J241"/>
  <sheetViews>
    <sheetView workbookViewId="0">
      <selection activeCell="C1" sqref="C1"/>
    </sheetView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3" bestFit="1" customWidth="1"/>
    <col min="9" max="9" width="18.5703125" bestFit="1" customWidth="1"/>
    <col min="10" max="10" width="14.42578125" style="21" bestFit="1" customWidth="1"/>
  </cols>
  <sheetData>
    <row r="1" spans="1:10" s="9" customFormat="1" x14ac:dyDescent="0.25">
      <c r="A1" s="4" t="str" cm="1">
        <f t="array" ref="A1:J176">_xlfn._xlws.FILTER(
  CHOOSE({1,2,3,4,5,6,7,8,9,10},
    MasterSheet!X:X,
    MasterSheet!AA:AA,
    MasterSheet!AC:AC,
    MasterSheet!AK:AK,
    MasterSheet!AE:AE, MasterSheet!O:O,   MasterSheet!C:C,
    MasterSheet!E:E, MasterSheet!I:I, MasterSheet!S:S
  ),
  MasterSheet!O:O &gt; 0
)</f>
        <v>Customer Name</v>
      </c>
      <c r="B1" s="4" t="str">
        <v>Temp</v>
      </c>
      <c r="C1" s="4" t="str">
        <v>Brand</v>
      </c>
      <c r="D1" s="4" t="str">
        <v>Check</v>
      </c>
      <c r="E1" s="4" t="str">
        <v>Mohit Remarks</v>
      </c>
      <c r="F1" s="4" t="str">
        <v>Closing Balance</v>
      </c>
      <c r="G1" s="4" t="str">
        <v>Invoice Number</v>
      </c>
      <c r="H1" s="5" t="str">
        <v>Goods Recd. Date</v>
      </c>
      <c r="I1" s="4" t="str">
        <v>Cat No.</v>
      </c>
      <c r="J1" s="19" t="str">
        <v>Taxable Value</v>
      </c>
    </row>
    <row r="2" spans="1:10" x14ac:dyDescent="0.25">
      <c r="A2" s="1" t="str">
        <v>Stock</v>
      </c>
      <c r="B2" s="1" t="str">
        <v>RT</v>
      </c>
      <c r="C2" s="1" t="str">
        <v>Sartorius</v>
      </c>
      <c r="D2" s="1" t="str">
        <v>STOCK</v>
      </c>
      <c r="E2" s="1" t="str">
        <v>Old Stock</v>
      </c>
      <c r="F2" s="1">
        <v>1</v>
      </c>
      <c r="G2" s="1" t="str">
        <v>Opening Stock</v>
      </c>
      <c r="H2" s="2">
        <v>45808</v>
      </c>
      <c r="I2" s="1" t="str">
        <v>16532---K</v>
      </c>
      <c r="J2" s="20">
        <v>0</v>
      </c>
    </row>
    <row r="3" spans="1:10" x14ac:dyDescent="0.25">
      <c r="A3" s="1" t="str">
        <v>Stock</v>
      </c>
      <c r="B3" s="1" t="str">
        <v>RT</v>
      </c>
      <c r="C3" s="1" t="str">
        <v>Sartorius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16533</v>
      </c>
      <c r="J3" s="20">
        <v>0</v>
      </c>
    </row>
    <row r="4" spans="1:10" x14ac:dyDescent="0.25">
      <c r="A4" s="1" t="str">
        <v>Stock</v>
      </c>
      <c r="B4" s="1">
        <v>4</v>
      </c>
      <c r="C4" s="1" t="str">
        <v>Biolegend</v>
      </c>
      <c r="D4" s="1" t="str">
        <v>STOCK</v>
      </c>
      <c r="E4" s="1" t="str">
        <v>Old Stock</v>
      </c>
      <c r="F4" s="1">
        <v>1</v>
      </c>
      <c r="G4" s="1" t="str">
        <v>Opening Stock</v>
      </c>
      <c r="H4" s="2">
        <v>45808</v>
      </c>
      <c r="I4" s="1">
        <v>100261</v>
      </c>
      <c r="J4" s="20">
        <v>0</v>
      </c>
    </row>
    <row r="5" spans="1:10" x14ac:dyDescent="0.25">
      <c r="A5" s="1" t="str">
        <v>Stock</v>
      </c>
      <c r="B5" s="1" t="str">
        <v>RT</v>
      </c>
      <c r="C5" s="1" t="str">
        <v>Mp Bio</v>
      </c>
      <c r="D5" s="1" t="str">
        <v>STOCK</v>
      </c>
      <c r="E5" s="1" t="str">
        <v>Old Stock</v>
      </c>
      <c r="F5" s="1">
        <v>2</v>
      </c>
      <c r="G5" s="1" t="str">
        <v>Opening Stock</v>
      </c>
      <c r="H5" s="2">
        <v>45808</v>
      </c>
      <c r="I5" s="1">
        <v>104772</v>
      </c>
      <c r="J5" s="20">
        <v>0</v>
      </c>
    </row>
    <row r="6" spans="1:10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1</v>
      </c>
      <c r="G6" s="1" t="str">
        <v>Opening Stock</v>
      </c>
      <c r="H6" s="2">
        <v>45808</v>
      </c>
      <c r="I6" s="1">
        <v>108123</v>
      </c>
      <c r="J6" s="20">
        <v>0</v>
      </c>
    </row>
    <row r="7" spans="1:10" x14ac:dyDescent="0.25">
      <c r="A7" s="1" t="str">
        <v>Stock</v>
      </c>
      <c r="B7" s="1" t="str">
        <v>RT</v>
      </c>
      <c r="C7" s="1" t="str">
        <v>Mp Bio</v>
      </c>
      <c r="D7" s="1" t="str">
        <v>STOCK</v>
      </c>
      <c r="E7" s="1" t="str">
        <v>Old Stock</v>
      </c>
      <c r="F7" s="1">
        <v>1</v>
      </c>
      <c r="G7" s="1" t="str">
        <v>Opening Stock</v>
      </c>
      <c r="H7" s="2">
        <v>45808</v>
      </c>
      <c r="I7" s="1">
        <v>152574</v>
      </c>
      <c r="J7" s="20">
        <v>0</v>
      </c>
    </row>
    <row r="8" spans="1:10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2</v>
      </c>
      <c r="G8" s="1" t="str">
        <v>Opening Stock</v>
      </c>
      <c r="H8" s="2">
        <v>45808</v>
      </c>
      <c r="I8" s="1">
        <v>316302</v>
      </c>
      <c r="J8" s="20">
        <v>0</v>
      </c>
    </row>
    <row r="9" spans="1:10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329702</v>
      </c>
      <c r="J9" s="20">
        <v>0</v>
      </c>
    </row>
    <row r="10" spans="1:10" x14ac:dyDescent="0.25">
      <c r="A10" s="1" t="str">
        <v>Stock</v>
      </c>
      <c r="B10" s="1">
        <v>-20</v>
      </c>
      <c r="C10" s="1" t="str">
        <v>Biolegend</v>
      </c>
      <c r="D10" s="1" t="str">
        <v>STOCK</v>
      </c>
      <c r="E10" s="1" t="str">
        <v>Old Stock</v>
      </c>
      <c r="F10" s="1">
        <v>5</v>
      </c>
      <c r="G10" s="1" t="str">
        <v>Opening Stock</v>
      </c>
      <c r="H10" s="2">
        <v>45808</v>
      </c>
      <c r="I10" s="1">
        <v>556002</v>
      </c>
      <c r="J10" s="20">
        <v>0</v>
      </c>
    </row>
    <row r="11" spans="1:10" x14ac:dyDescent="0.25">
      <c r="A11" s="1" t="str">
        <v>Stock</v>
      </c>
      <c r="B11" s="1">
        <v>-20</v>
      </c>
      <c r="C11" s="1" t="str">
        <v>Biolegend</v>
      </c>
      <c r="D11" s="1" t="str">
        <v>STOCK</v>
      </c>
      <c r="E11" s="1" t="str">
        <v>Old Stock</v>
      </c>
      <c r="F11" s="1">
        <v>2</v>
      </c>
      <c r="G11" s="1" t="str">
        <v>Opening Stock</v>
      </c>
      <c r="H11" s="2">
        <v>45808</v>
      </c>
      <c r="I11" s="1">
        <v>570802</v>
      </c>
      <c r="J11" s="20">
        <v>0</v>
      </c>
    </row>
    <row r="12" spans="1:10" x14ac:dyDescent="0.25">
      <c r="A12" s="1" t="str">
        <v>Stock</v>
      </c>
      <c r="B12" s="1" t="str">
        <v>RT</v>
      </c>
      <c r="C12" s="1" t="str">
        <v>Mp Bio</v>
      </c>
      <c r="D12" s="1" t="str">
        <v>STOCK</v>
      </c>
      <c r="E12" s="1" t="str">
        <v>Old Stock</v>
      </c>
      <c r="F12" s="1">
        <v>2</v>
      </c>
      <c r="G12" s="1" t="str">
        <v>Opening Stock</v>
      </c>
      <c r="H12" s="2">
        <v>45808</v>
      </c>
      <c r="I12" s="1">
        <v>814326</v>
      </c>
      <c r="J12" s="20">
        <v>0</v>
      </c>
    </row>
    <row r="13" spans="1:10" x14ac:dyDescent="0.25">
      <c r="A13" s="1" t="str">
        <v>Stock</v>
      </c>
      <c r="B13" s="1" t="str">
        <v>RT</v>
      </c>
      <c r="C13" s="1" t="str">
        <v>Sartorius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 t="str">
        <v>15407-47-MIN</v>
      </c>
      <c r="J13" s="20">
        <v>0</v>
      </c>
    </row>
    <row r="14" spans="1:10" x14ac:dyDescent="0.25">
      <c r="A14" s="1" t="str">
        <v>Stock</v>
      </c>
      <c r="B14" s="1">
        <v>-20</v>
      </c>
      <c r="C14" s="1" t="str">
        <v>Dharmacon</v>
      </c>
      <c r="D14" s="1" t="str">
        <v>STOCK</v>
      </c>
      <c r="E14" s="1" t="str">
        <v>Old Stock</v>
      </c>
      <c r="F14" s="1">
        <v>1</v>
      </c>
      <c r="G14" s="1" t="str">
        <v>Opening Stock</v>
      </c>
      <c r="H14" s="2">
        <v>45808</v>
      </c>
      <c r="I14" s="1" t="str">
        <v>J-004924-06-0010</v>
      </c>
      <c r="J14" s="20">
        <v>0</v>
      </c>
    </row>
    <row r="15" spans="1:10" x14ac:dyDescent="0.25">
      <c r="A15" s="1" t="str">
        <v>Stock</v>
      </c>
      <c r="B15" s="1">
        <v>-20</v>
      </c>
      <c r="C15" s="1" t="str">
        <v>Dharmacon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 t="str">
        <v>RU-187978-00-0020</v>
      </c>
      <c r="J15" s="20">
        <v>0</v>
      </c>
    </row>
    <row r="16" spans="1:10" x14ac:dyDescent="0.25">
      <c r="A16" s="1" t="str">
        <v>Stock</v>
      </c>
      <c r="B16" s="1" t="str">
        <v>RT</v>
      </c>
      <c r="C16" s="1" t="str">
        <v>Sartorius</v>
      </c>
      <c r="D16" s="1" t="str">
        <v>STOCK</v>
      </c>
      <c r="E16" s="1" t="str">
        <v>Old Stock</v>
      </c>
      <c r="F16" s="1">
        <v>4</v>
      </c>
      <c r="G16" s="1" t="str">
        <v>Opening Stock</v>
      </c>
      <c r="H16" s="2">
        <v>45808</v>
      </c>
      <c r="I16" s="1" t="str">
        <v>VS04T01</v>
      </c>
      <c r="J16" s="20">
        <v>0</v>
      </c>
    </row>
    <row r="17" spans="1:10" x14ac:dyDescent="0.25">
      <c r="A17" s="1" t="str">
        <v>Stock</v>
      </c>
      <c r="B17" s="1" t="str">
        <v>RT</v>
      </c>
      <c r="C17" s="1" t="str">
        <v>Sartorius</v>
      </c>
      <c r="D17" s="1" t="str">
        <v>STOCK</v>
      </c>
      <c r="E17" s="1" t="str">
        <v>Old Stock</v>
      </c>
      <c r="F17" s="1">
        <v>1</v>
      </c>
      <c r="G17" s="1" t="str">
        <v>Opening Stock</v>
      </c>
      <c r="H17" s="2">
        <v>45808</v>
      </c>
      <c r="I17" s="1" t="str">
        <v>VS15T21</v>
      </c>
      <c r="J17" s="20">
        <v>0</v>
      </c>
    </row>
    <row r="18" spans="1:10" x14ac:dyDescent="0.25">
      <c r="A18" s="1" t="str">
        <v>Stock</v>
      </c>
      <c r="B18" s="1">
        <v>4</v>
      </c>
      <c r="C18" s="1" t="str">
        <v>Biolegend</v>
      </c>
      <c r="D18" s="1" t="str">
        <v>STOCK</v>
      </c>
      <c r="E18" s="1" t="str">
        <v>Old Stock</v>
      </c>
      <c r="F18" s="1">
        <v>1</v>
      </c>
      <c r="G18" s="1" t="str">
        <v>EED116107</v>
      </c>
      <c r="H18" s="2">
        <v>45821</v>
      </c>
      <c r="I18" s="1">
        <v>631151</v>
      </c>
      <c r="J18" s="20">
        <v>0</v>
      </c>
    </row>
    <row r="19" spans="1:10" x14ac:dyDescent="0.25">
      <c r="A19" s="1" t="str">
        <v>Stock</v>
      </c>
      <c r="B19" s="1">
        <v>4</v>
      </c>
      <c r="C19" s="1" t="str">
        <v>Biolegend</v>
      </c>
      <c r="D19" s="1" t="str">
        <v>STOCK</v>
      </c>
      <c r="E19" s="1" t="str">
        <v>Old Stock</v>
      </c>
      <c r="F19" s="1">
        <v>1</v>
      </c>
      <c r="G19" s="1" t="str">
        <v>EED116107</v>
      </c>
      <c r="H19" s="2">
        <v>45821</v>
      </c>
      <c r="I19" s="1">
        <v>656801</v>
      </c>
      <c r="J19" s="20">
        <v>0</v>
      </c>
    </row>
    <row r="20" spans="1:10" x14ac:dyDescent="0.25">
      <c r="A20" s="1" t="str">
        <v>Stock</v>
      </c>
      <c r="B20" s="1">
        <v>4</v>
      </c>
      <c r="C20" s="1" t="str">
        <v>Biolegend</v>
      </c>
      <c r="D20" s="1" t="str">
        <v>STOCK</v>
      </c>
      <c r="E20" s="1" t="str">
        <v>Old Stock</v>
      </c>
      <c r="F20" s="1">
        <v>1</v>
      </c>
      <c r="G20" s="1" t="str">
        <v>EED116107</v>
      </c>
      <c r="H20" s="2">
        <v>45821</v>
      </c>
      <c r="I20" s="1">
        <v>805002</v>
      </c>
      <c r="J20" s="20">
        <v>0</v>
      </c>
    </row>
    <row r="21" spans="1:10" x14ac:dyDescent="0.25">
      <c r="A21" s="1" t="str">
        <v>Stock</v>
      </c>
      <c r="B21" s="1" t="str">
        <v>RT</v>
      </c>
      <c r="C21" s="1" t="str">
        <v>Revvity</v>
      </c>
      <c r="D21" s="1" t="str">
        <v>STOCK</v>
      </c>
      <c r="E21" s="1" t="str">
        <v>Old Stock</v>
      </c>
      <c r="F21" s="1">
        <v>1</v>
      </c>
      <c r="G21" s="1">
        <v>4513060194</v>
      </c>
      <c r="H21" s="2">
        <v>45838</v>
      </c>
      <c r="I21" s="1" t="str">
        <v>TM125-220</v>
      </c>
      <c r="J21" s="20">
        <v>0</v>
      </c>
    </row>
    <row r="22" spans="1:10" x14ac:dyDescent="0.25">
      <c r="A22" s="1" t="str">
        <v>Stock</v>
      </c>
      <c r="B22" s="1" t="str">
        <v>RT</v>
      </c>
      <c r="C22" s="1" t="str">
        <v>Revvity</v>
      </c>
      <c r="D22" s="1" t="str">
        <v>STOCK</v>
      </c>
      <c r="E22" s="1" t="str">
        <v>Old Stock</v>
      </c>
      <c r="F22" s="1">
        <v>1</v>
      </c>
      <c r="G22" s="1">
        <v>4513060239</v>
      </c>
      <c r="H22" s="2">
        <v>45838</v>
      </c>
      <c r="I22" s="1" t="str">
        <v>TM-125-220-05</v>
      </c>
      <c r="J22" s="20">
        <v>0</v>
      </c>
    </row>
    <row r="23" spans="1:10" x14ac:dyDescent="0.25">
      <c r="A23" s="1" t="str">
        <v>Stock</v>
      </c>
      <c r="B23" s="1">
        <v>4</v>
      </c>
      <c r="C23" s="1" t="str">
        <v>Biolegend</v>
      </c>
      <c r="D23" s="1" t="str">
        <v>STOCK</v>
      </c>
      <c r="E23" s="1" t="str">
        <v>Old Stock</v>
      </c>
      <c r="F23" s="1">
        <v>1</v>
      </c>
      <c r="G23" s="1" t="str">
        <v>Opening Stock</v>
      </c>
      <c r="H23" s="2">
        <v>45846</v>
      </c>
      <c r="I23" s="1">
        <v>344812</v>
      </c>
      <c r="J23" s="20">
        <v>0</v>
      </c>
    </row>
    <row r="24" spans="1:10" x14ac:dyDescent="0.25">
      <c r="A24" s="1" t="str">
        <v>Stock</v>
      </c>
      <c r="B24" s="1" t="str">
        <v>RT</v>
      </c>
      <c r="C24" s="1" t="str">
        <v>Mp Bio</v>
      </c>
      <c r="D24" s="1" t="str">
        <v>STOCK</v>
      </c>
      <c r="E24" s="1" t="str">
        <v>Old Stock</v>
      </c>
      <c r="F24" s="1">
        <v>1</v>
      </c>
      <c r="G24" s="1" t="str">
        <v>MP/LS/25-26/0906</v>
      </c>
      <c r="H24" s="2">
        <v>45861</v>
      </c>
      <c r="I24" s="1">
        <v>6539025</v>
      </c>
      <c r="J24" s="20">
        <v>0</v>
      </c>
    </row>
    <row r="25" spans="1:10" x14ac:dyDescent="0.25">
      <c r="A25" s="1" t="str">
        <v>Stock</v>
      </c>
      <c r="B25" s="1" t="str">
        <v>RT</v>
      </c>
      <c r="C25" s="1" t="str">
        <v>Mp Bio</v>
      </c>
      <c r="D25" s="1" t="str">
        <v>STOCK</v>
      </c>
      <c r="E25" s="1" t="str">
        <v>Old Stock</v>
      </c>
      <c r="F25" s="1">
        <v>6</v>
      </c>
      <c r="G25" s="1" t="str">
        <v>MP/LS/25-26/0906</v>
      </c>
      <c r="H25" s="2">
        <v>45861</v>
      </c>
      <c r="I25" s="1">
        <v>6552050</v>
      </c>
      <c r="J25" s="20">
        <v>0</v>
      </c>
    </row>
    <row r="26" spans="1:10" x14ac:dyDescent="0.25">
      <c r="A26" s="1" t="str">
        <v>Stock</v>
      </c>
      <c r="B26" s="1">
        <v>4</v>
      </c>
      <c r="C26" s="1" t="str">
        <v>Biolegend</v>
      </c>
      <c r="D26" s="1" t="str">
        <v>STOCK</v>
      </c>
      <c r="E26" s="1" t="str">
        <v>Old Stock</v>
      </c>
      <c r="F26" s="1">
        <v>1</v>
      </c>
      <c r="G26" s="1" t="str">
        <v>EED117403</v>
      </c>
      <c r="H26" s="2">
        <v>45864</v>
      </c>
      <c r="I26" s="1">
        <v>300408</v>
      </c>
      <c r="J26" s="20">
        <v>0</v>
      </c>
    </row>
    <row r="27" spans="1:10" x14ac:dyDescent="0.25">
      <c r="A27" s="1" t="str">
        <v>Stock</v>
      </c>
      <c r="B27" s="1" t="str">
        <v>RT</v>
      </c>
      <c r="C27" s="1" t="str">
        <v>Mp Bio</v>
      </c>
      <c r="D27" s="1" t="str">
        <v>STOCK</v>
      </c>
      <c r="E27" s="1" t="str">
        <v>Old Stock</v>
      </c>
      <c r="F27" s="1">
        <v>1</v>
      </c>
      <c r="G27" s="1" t="str">
        <v>Opening Stock</v>
      </c>
      <c r="H27" s="2">
        <v>45870</v>
      </c>
      <c r="I27" s="1">
        <v>116910001</v>
      </c>
      <c r="J27" s="20">
        <v>0</v>
      </c>
    </row>
    <row r="28" spans="1:10" x14ac:dyDescent="0.25">
      <c r="A28" s="1" t="str">
        <v>Stock</v>
      </c>
      <c r="B28" s="1">
        <v>-20</v>
      </c>
      <c r="C28" s="1" t="str">
        <v>Genei Lab</v>
      </c>
      <c r="D28" s="1" t="str">
        <v>STOCK</v>
      </c>
      <c r="E28" s="1" t="str">
        <v>Old Stock</v>
      </c>
      <c r="F28" s="1">
        <v>2</v>
      </c>
      <c r="G28" s="1" t="str">
        <v>2025-2026/850MFG</v>
      </c>
      <c r="H28" s="2">
        <v>45874</v>
      </c>
      <c r="I28" s="1" t="str">
        <v>2662070501730</v>
      </c>
      <c r="J28" s="20">
        <v>0</v>
      </c>
    </row>
    <row r="29" spans="1:10" x14ac:dyDescent="0.25">
      <c r="A29" s="1" t="str">
        <v>Stock</v>
      </c>
      <c r="B29" s="1">
        <v>-20</v>
      </c>
      <c r="C29" s="1" t="str">
        <v>Genei Lab</v>
      </c>
      <c r="D29" s="1" t="str">
        <v>STOCK</v>
      </c>
      <c r="E29" s="1" t="str">
        <v>Old Stock</v>
      </c>
      <c r="F29" s="1">
        <v>2</v>
      </c>
      <c r="G29" s="1" t="str">
        <v>2025-2026/850MFG</v>
      </c>
      <c r="H29" s="2">
        <v>45874</v>
      </c>
      <c r="I29" s="1" t="str">
        <v>2662670501730</v>
      </c>
      <c r="J29" s="20">
        <v>0</v>
      </c>
    </row>
    <row r="30" spans="1:10" x14ac:dyDescent="0.25">
      <c r="A30" s="1" t="str">
        <v>Stock</v>
      </c>
      <c r="B30" s="1" t="str">
        <v>RT</v>
      </c>
      <c r="C30" s="1" t="str">
        <v>Sartorius</v>
      </c>
      <c r="D30" s="1" t="str">
        <v>STOCK</v>
      </c>
      <c r="E30" s="1" t="str">
        <v>Old Stock</v>
      </c>
      <c r="F30" s="1">
        <v>18</v>
      </c>
      <c r="G30" s="1" t="str">
        <v>251519301930</v>
      </c>
      <c r="H30" s="2">
        <v>45883</v>
      </c>
      <c r="I30" s="1" t="str">
        <v>16532---K</v>
      </c>
      <c r="J30" s="20">
        <v>0</v>
      </c>
    </row>
    <row r="31" spans="1:10" x14ac:dyDescent="0.25">
      <c r="A31" s="1" t="str">
        <v>Stock</v>
      </c>
      <c r="B31" s="1">
        <v>4</v>
      </c>
      <c r="C31" s="1" t="str">
        <v>Biolegend</v>
      </c>
      <c r="D31" s="1" t="str">
        <v>STOCK</v>
      </c>
      <c r="E31" s="1" t="str">
        <v>Old Stock</v>
      </c>
      <c r="F31" s="1">
        <v>1</v>
      </c>
      <c r="G31" s="1" t="str">
        <v>EED118009</v>
      </c>
      <c r="H31" s="2">
        <v>45885</v>
      </c>
      <c r="I31" s="1">
        <v>430804</v>
      </c>
      <c r="J31" s="20">
        <v>0</v>
      </c>
    </row>
    <row r="32" spans="1:10" x14ac:dyDescent="0.25">
      <c r="A32" s="1" t="str">
        <v>Stock</v>
      </c>
      <c r="B32" s="1">
        <v>4</v>
      </c>
      <c r="C32" s="1" t="str">
        <v>Biolegend</v>
      </c>
      <c r="D32" s="1" t="str">
        <v>STOCK</v>
      </c>
      <c r="E32" s="1" t="str">
        <v>Old Stock</v>
      </c>
      <c r="F32" s="1">
        <v>1</v>
      </c>
      <c r="G32" s="1" t="str">
        <v>EED118009</v>
      </c>
      <c r="H32" s="2">
        <v>45885</v>
      </c>
      <c r="I32" s="1">
        <v>432504</v>
      </c>
      <c r="J32" s="20">
        <v>0</v>
      </c>
    </row>
    <row r="33" spans="1:10" x14ac:dyDescent="0.25">
      <c r="A33" s="1" t="str">
        <v>Stock</v>
      </c>
      <c r="B33" s="1" t="str">
        <v>RT</v>
      </c>
      <c r="C33" s="1" t="str">
        <v>Mp Bio</v>
      </c>
      <c r="D33" s="1" t="str">
        <v>STOCK</v>
      </c>
      <c r="E33" s="1" t="str">
        <v>Old Stock</v>
      </c>
      <c r="F33" s="1">
        <v>1</v>
      </c>
      <c r="G33" s="1" t="str">
        <v>MP/LS/25-26/1034</v>
      </c>
      <c r="H33" s="2">
        <v>45887</v>
      </c>
      <c r="I33" s="1">
        <v>850494</v>
      </c>
      <c r="J33" s="20">
        <v>0</v>
      </c>
    </row>
    <row r="34" spans="1:10" x14ac:dyDescent="0.25">
      <c r="A34" s="1" t="str">
        <v>Stock</v>
      </c>
      <c r="B34" s="1">
        <v>4</v>
      </c>
      <c r="C34" s="1" t="str">
        <v>Genexis Biotech</v>
      </c>
      <c r="D34" s="1" t="str">
        <v>STOCK</v>
      </c>
      <c r="E34" s="1" t="str">
        <v>Old Stock</v>
      </c>
      <c r="F34" s="1">
        <v>3</v>
      </c>
      <c r="G34" s="1" t="str">
        <v>Invoice Not Available</v>
      </c>
      <c r="H34" s="2">
        <v>45892</v>
      </c>
      <c r="I34" s="1" t="str">
        <v>LSM 1077</v>
      </c>
      <c r="J34" s="20">
        <v>0</v>
      </c>
    </row>
    <row r="35" spans="1:10" x14ac:dyDescent="0.25">
      <c r="A35" s="1" t="str">
        <v>Stock</v>
      </c>
      <c r="B35" s="1" t="str">
        <v>RT</v>
      </c>
      <c r="C35" s="1" t="str">
        <v>Mp Bio</v>
      </c>
      <c r="D35" s="1" t="str">
        <v>STOCK</v>
      </c>
      <c r="E35" s="1" t="str">
        <v>Old Stock</v>
      </c>
      <c r="F35" s="1">
        <v>1</v>
      </c>
      <c r="G35" s="1" t="str">
        <v>MP/LS/25-26/1109</v>
      </c>
      <c r="H35" s="2">
        <v>45892</v>
      </c>
      <c r="I35" s="1">
        <v>152624</v>
      </c>
      <c r="J35" s="20">
        <v>0</v>
      </c>
    </row>
    <row r="36" spans="1:10" x14ac:dyDescent="0.25">
      <c r="A36" s="1" t="str">
        <v>Sample (PM)</v>
      </c>
      <c r="B36" s="1">
        <v>4</v>
      </c>
      <c r="C36" s="1" t="str">
        <v>Hansa Biomed</v>
      </c>
      <c r="D36" s="1" t="str">
        <v>Local</v>
      </c>
      <c r="E36" s="1" t="str">
        <v>Priyanka Madam-Sample</v>
      </c>
      <c r="F36" s="1">
        <v>3</v>
      </c>
      <c r="G36" s="1" t="str">
        <v>25-3391</v>
      </c>
      <c r="H36" s="2">
        <v>45896</v>
      </c>
      <c r="I36" s="1" t="str">
        <v>HBM-EXP-B2.5</v>
      </c>
      <c r="J36" s="20">
        <v>0</v>
      </c>
    </row>
    <row r="37" spans="1:10" x14ac:dyDescent="0.25">
      <c r="A37" s="1" t="str">
        <v>UNKNOWN</v>
      </c>
      <c r="B37" s="1">
        <v>4</v>
      </c>
      <c r="C37" s="1" t="str">
        <v>Biolegend</v>
      </c>
      <c r="D37" s="1" t="str">
        <v>Unknown</v>
      </c>
      <c r="E37" s="1" t="str">
        <v>Mohan Sir, (Demo)</v>
      </c>
      <c r="F37" s="1">
        <v>2</v>
      </c>
      <c r="G37" s="1" t="str">
        <v>EED118806</v>
      </c>
      <c r="H37" s="2">
        <v>45910</v>
      </c>
      <c r="I37" s="1">
        <v>740811</v>
      </c>
      <c r="J37" s="20">
        <v>0</v>
      </c>
    </row>
    <row r="38" spans="1:10" x14ac:dyDescent="0.25">
      <c r="A38" s="1" t="str">
        <v>UNKNOWN</v>
      </c>
      <c r="B38" s="1">
        <v>4</v>
      </c>
      <c r="C38" s="1" t="str">
        <v>Biolegend</v>
      </c>
      <c r="D38" s="1" t="str">
        <v>Unknown</v>
      </c>
      <c r="E38" s="1" t="str">
        <v>Mohan Sir, (Demo)</v>
      </c>
      <c r="F38" s="1">
        <v>2</v>
      </c>
      <c r="G38" s="1" t="str">
        <v>EED118806</v>
      </c>
      <c r="H38" s="2">
        <v>45910</v>
      </c>
      <c r="I38" s="1">
        <v>741146</v>
      </c>
      <c r="J38" s="20">
        <v>0</v>
      </c>
    </row>
    <row r="39" spans="1:10" x14ac:dyDescent="0.25">
      <c r="A39" s="1" t="str">
        <v>Stock</v>
      </c>
      <c r="B39" s="1">
        <v>4</v>
      </c>
      <c r="C39" s="1" t="str">
        <v>Biolegend</v>
      </c>
      <c r="D39" s="1" t="str">
        <v>STOCK</v>
      </c>
      <c r="E39" s="1" t="str">
        <v>Old Stock</v>
      </c>
      <c r="F39" s="1">
        <v>1</v>
      </c>
      <c r="G39" s="1" t="str">
        <v>Opening Stock</v>
      </c>
      <c r="H39" s="2">
        <v>45911</v>
      </c>
      <c r="I39" s="1">
        <v>421101</v>
      </c>
      <c r="J39" s="20">
        <v>0</v>
      </c>
    </row>
    <row r="40" spans="1:10" x14ac:dyDescent="0.25">
      <c r="A40" s="1" t="str">
        <v>SOUTH CAMPUS</v>
      </c>
      <c r="B40" s="1" t="str">
        <v>RT</v>
      </c>
      <c r="C40" s="1" t="str">
        <v>Hoefer</v>
      </c>
      <c r="D40" s="1" t="str">
        <v>Local</v>
      </c>
      <c r="E40" s="1" t="str">
        <v>Priyanka Madam-Sample</v>
      </c>
      <c r="F40" s="1">
        <v>1</v>
      </c>
      <c r="G40" s="1" t="str">
        <v>Opening Stock</v>
      </c>
      <c r="H40" s="2">
        <v>45916</v>
      </c>
      <c r="I40" s="1" t="str">
        <v>SE211A-10-1.5</v>
      </c>
      <c r="J40" s="20">
        <v>0</v>
      </c>
    </row>
    <row r="41" spans="1:10" x14ac:dyDescent="0.25">
      <c r="A41" s="1" t="str">
        <v>SOUTH CAMPUS</v>
      </c>
      <c r="B41" s="1" t="str">
        <v>RT</v>
      </c>
      <c r="C41" s="1" t="str">
        <v>Hoefer</v>
      </c>
      <c r="D41" s="1" t="str">
        <v>Local</v>
      </c>
      <c r="E41" s="1" t="str">
        <v>Priyanka Madam-Sample</v>
      </c>
      <c r="F41" s="1">
        <v>1</v>
      </c>
      <c r="G41" s="1" t="str">
        <v>Opening Stock</v>
      </c>
      <c r="H41" s="2">
        <v>45916</v>
      </c>
      <c r="I41" s="1" t="str">
        <v>SE2619T-2-1.5</v>
      </c>
      <c r="J41" s="20">
        <v>0</v>
      </c>
    </row>
    <row r="42" spans="1:10" x14ac:dyDescent="0.25">
      <c r="A42" s="1" t="str">
        <v>Stock</v>
      </c>
      <c r="B42" s="1">
        <v>-20</v>
      </c>
      <c r="C42" s="1" t="str">
        <v>Mp Bio</v>
      </c>
      <c r="D42" s="1" t="str">
        <v>STOCK</v>
      </c>
      <c r="E42" s="1" t="str">
        <v>Old Stock</v>
      </c>
      <c r="F42" s="1">
        <v>2</v>
      </c>
      <c r="G42" s="1" t="str">
        <v>MP/LS/25-26/1297</v>
      </c>
      <c r="H42" s="2">
        <v>45924</v>
      </c>
      <c r="I42" s="1" t="str">
        <v>092913726</v>
      </c>
      <c r="J42" s="20">
        <v>0</v>
      </c>
    </row>
    <row r="43" spans="1:10" x14ac:dyDescent="0.25">
      <c r="A43" s="1" t="str">
        <v>Stock</v>
      </c>
      <c r="B43" s="1" t="str">
        <v>RT</v>
      </c>
      <c r="C43" s="1" t="str">
        <v>Mp Bio</v>
      </c>
      <c r="D43" s="1" t="str">
        <v>STOCK</v>
      </c>
      <c r="E43" s="1" t="str">
        <v>Old Stock</v>
      </c>
      <c r="F43" s="1">
        <v>2</v>
      </c>
      <c r="G43" s="1" t="str">
        <v>MP/LS/25-26/1351</v>
      </c>
      <c r="H43" s="2">
        <v>45924</v>
      </c>
      <c r="I43" s="1">
        <v>805615</v>
      </c>
      <c r="J43" s="20">
        <v>0</v>
      </c>
    </row>
    <row r="44" spans="1:10" x14ac:dyDescent="0.25">
      <c r="A44" s="1" t="str">
        <v>Stock</v>
      </c>
      <c r="B44" s="1">
        <v>4</v>
      </c>
      <c r="C44" s="1" t="str">
        <v>Mp Bio</v>
      </c>
      <c r="D44" s="1" t="str">
        <v>STOCK</v>
      </c>
      <c r="E44" s="1" t="str">
        <v>Old Stock</v>
      </c>
      <c r="F44" s="1">
        <v>4</v>
      </c>
      <c r="G44" s="1" t="str">
        <v>MP/LS/25-26/1351</v>
      </c>
      <c r="H44" s="2">
        <v>45924</v>
      </c>
      <c r="I44" s="1">
        <v>4064112</v>
      </c>
      <c r="J44" s="20">
        <v>0</v>
      </c>
    </row>
    <row r="45" spans="1:10" x14ac:dyDescent="0.25">
      <c r="A45" s="1" t="str">
        <v>Stock</v>
      </c>
      <c r="B45" s="1" t="str">
        <v>RT</v>
      </c>
      <c r="C45" s="1" t="str">
        <v>Mp Bio</v>
      </c>
      <c r="D45" s="1" t="str">
        <v>STOCK</v>
      </c>
      <c r="E45" s="1" t="str">
        <v>Old Stock</v>
      </c>
      <c r="F45" s="1">
        <v>3</v>
      </c>
      <c r="G45" s="1" t="str">
        <v>MP/LS/25-26/1351</v>
      </c>
      <c r="H45" s="2">
        <v>45924</v>
      </c>
      <c r="I45" s="1" t="str">
        <v>11TRIMPR01</v>
      </c>
      <c r="J45" s="20">
        <v>0</v>
      </c>
    </row>
    <row r="46" spans="1:10" x14ac:dyDescent="0.25">
      <c r="A46" s="1" t="str">
        <v>Stock</v>
      </c>
      <c r="B46" s="1">
        <v>4</v>
      </c>
      <c r="C46" s="1" t="str">
        <v>Mp Bio</v>
      </c>
      <c r="D46" s="1" t="str">
        <v>STOCK</v>
      </c>
      <c r="E46" s="1" t="str">
        <v>Old Stock</v>
      </c>
      <c r="F46" s="1">
        <v>3</v>
      </c>
      <c r="G46" s="1" t="str">
        <v>MP/LS/25-26/1352</v>
      </c>
      <c r="H46" s="2">
        <v>45924</v>
      </c>
      <c r="I46" s="1">
        <v>16006925</v>
      </c>
      <c r="J46" s="20">
        <v>0</v>
      </c>
    </row>
    <row r="47" spans="1:10" x14ac:dyDescent="0.25">
      <c r="A47" s="1" t="str">
        <v>Unknown</v>
      </c>
      <c r="B47" s="1">
        <v>4</v>
      </c>
      <c r="C47" s="1" t="str">
        <v>Biolegend</v>
      </c>
      <c r="D47" s="1" t="str">
        <v>Unknown</v>
      </c>
      <c r="E47" s="1" t="str">
        <v>Mohan sir,(Sample) Aurigine Onco</v>
      </c>
      <c r="F47" s="1">
        <v>1</v>
      </c>
      <c r="G47" s="1" t="str">
        <v>EED119537</v>
      </c>
      <c r="H47" s="2">
        <v>45936</v>
      </c>
      <c r="I47" s="1">
        <v>741110</v>
      </c>
      <c r="J47" s="20">
        <v>0</v>
      </c>
    </row>
    <row r="48" spans="1:10" x14ac:dyDescent="0.25">
      <c r="A48" s="1" t="str">
        <v>Stock</v>
      </c>
      <c r="B48" s="1">
        <v>4</v>
      </c>
      <c r="C48" s="1" t="str">
        <v>Dharmacon</v>
      </c>
      <c r="D48" s="1" t="str">
        <v>STOCK</v>
      </c>
      <c r="E48" s="1" t="str">
        <v>Old Stock</v>
      </c>
      <c r="F48" s="1">
        <v>4</v>
      </c>
      <c r="G48" s="1" t="str">
        <v>O092325IN3313857G</v>
      </c>
      <c r="H48" s="2">
        <v>45937</v>
      </c>
      <c r="I48" s="1" t="str">
        <v>B-003000-WB-100</v>
      </c>
      <c r="J48" s="20">
        <v>0</v>
      </c>
    </row>
    <row r="49" spans="1:10" x14ac:dyDescent="0.25">
      <c r="A49" s="1" t="str">
        <v>Stock</v>
      </c>
      <c r="B49" s="1">
        <v>4</v>
      </c>
      <c r="C49" s="1" t="str">
        <v>Dharmacon</v>
      </c>
      <c r="D49" s="1" t="str">
        <v>STOCK</v>
      </c>
      <c r="E49" s="1" t="str">
        <v>Old Stock</v>
      </c>
      <c r="F49" s="1">
        <v>2</v>
      </c>
      <c r="G49" s="1" t="str">
        <v>O092325IN3313857G</v>
      </c>
      <c r="H49" s="2">
        <v>45937</v>
      </c>
      <c r="I49" s="1" t="str">
        <v>T-2001-02</v>
      </c>
      <c r="J49" s="20">
        <v>0</v>
      </c>
    </row>
    <row r="50" spans="1:10" x14ac:dyDescent="0.25">
      <c r="A50" s="1" t="str">
        <v>STOCK</v>
      </c>
      <c r="B50" s="1">
        <v>4</v>
      </c>
      <c r="C50" s="1" t="str">
        <v>Mp Bio</v>
      </c>
      <c r="D50" s="1" t="str">
        <v>STOCK</v>
      </c>
      <c r="E50" s="1" t="str">
        <v>Old Stock</v>
      </c>
      <c r="F50" s="1">
        <v>1</v>
      </c>
      <c r="G50" s="1" t="str">
        <v>MP/L2526/327</v>
      </c>
      <c r="H50" s="2">
        <v>45954</v>
      </c>
      <c r="I50" s="1">
        <v>1261254</v>
      </c>
      <c r="J50" s="20">
        <v>0</v>
      </c>
    </row>
    <row r="51" spans="1:10" x14ac:dyDescent="0.25">
      <c r="A51" s="1" t="str">
        <v>Stock</v>
      </c>
      <c r="B51" s="1" t="str">
        <v>RT</v>
      </c>
      <c r="C51" s="1" t="str">
        <v>Biolegend</v>
      </c>
      <c r="D51" s="1" t="str">
        <v>STOCK</v>
      </c>
      <c r="E51" s="1" t="str">
        <v>Old Stock</v>
      </c>
      <c r="F51" s="1">
        <v>66</v>
      </c>
      <c r="G51" s="1" t="str">
        <v>EED120223</v>
      </c>
      <c r="H51" s="2">
        <v>45958</v>
      </c>
      <c r="I51" s="1">
        <v>740379</v>
      </c>
      <c r="J51" s="20">
        <v>0</v>
      </c>
    </row>
    <row r="52" spans="1:10" x14ac:dyDescent="0.25">
      <c r="A52" s="1" t="str">
        <v>Stock</v>
      </c>
      <c r="B52" s="1">
        <v>-20</v>
      </c>
      <c r="C52" s="1" t="str">
        <v>Targetmol</v>
      </c>
      <c r="D52" s="1" t="str">
        <v>STOCK</v>
      </c>
      <c r="E52" s="1" t="str">
        <v>Old Stock</v>
      </c>
      <c r="F52" s="1">
        <v>1</v>
      </c>
      <c r="G52" s="1" t="str">
        <v>EXTRA RECEIVED</v>
      </c>
      <c r="H52" s="2">
        <v>45958</v>
      </c>
      <c r="I52" s="1" t="str">
        <v>T-0928</v>
      </c>
      <c r="J52" s="20">
        <v>0</v>
      </c>
    </row>
    <row r="53" spans="1:10" x14ac:dyDescent="0.25">
      <c r="A53" s="1" t="str">
        <v>Stock</v>
      </c>
      <c r="B53" s="1" t="str">
        <v>RT</v>
      </c>
      <c r="C53" s="1" t="str">
        <v>Mp Bio</v>
      </c>
      <c r="D53" s="1" t="str">
        <v>STOCK</v>
      </c>
      <c r="E53" s="1" t="str">
        <v>Old Stock</v>
      </c>
      <c r="F53" s="1">
        <v>1</v>
      </c>
      <c r="G53" s="1" t="str">
        <v>MP/LS/25-26/1507</v>
      </c>
      <c r="H53" s="2">
        <v>45960</v>
      </c>
      <c r="I53" s="1" t="str">
        <v>11TRIMPR01</v>
      </c>
      <c r="J53" s="20">
        <v>0</v>
      </c>
    </row>
    <row r="54" spans="1:10" x14ac:dyDescent="0.25">
      <c r="A54" s="1" t="str">
        <v>AIIMS</v>
      </c>
      <c r="B54" s="1">
        <v>-20</v>
      </c>
      <c r="C54" s="1" t="str">
        <v>Targetmol</v>
      </c>
      <c r="D54" s="1" t="str">
        <v>Local</v>
      </c>
      <c r="E54" s="1" t="str">
        <v>Priyanka Madam-Sample</v>
      </c>
      <c r="F54" s="1">
        <v>1</v>
      </c>
      <c r="G54" s="1" t="str">
        <v>INV251107-003</v>
      </c>
      <c r="H54" s="2">
        <v>45971</v>
      </c>
      <c r="I54" s="1" t="str">
        <v>T1408</v>
      </c>
      <c r="J54" s="20">
        <v>0</v>
      </c>
    </row>
    <row r="55" spans="1:10" x14ac:dyDescent="0.25">
      <c r="A55" s="1" t="str">
        <v>STOCK</v>
      </c>
      <c r="B55" s="1">
        <v>4</v>
      </c>
      <c r="C55" s="1" t="str">
        <v>Biolegend</v>
      </c>
      <c r="D55" s="1" t="str">
        <v>STOCK</v>
      </c>
      <c r="E55" s="1" t="str">
        <v>Old Stock</v>
      </c>
      <c r="F55" s="1">
        <v>1</v>
      </c>
      <c r="G55" s="1" t="str">
        <v>EED120656</v>
      </c>
      <c r="H55" s="2">
        <v>45975</v>
      </c>
      <c r="I55" s="1">
        <v>331222</v>
      </c>
      <c r="J55" s="20">
        <v>0</v>
      </c>
    </row>
    <row r="56" spans="1:10" x14ac:dyDescent="0.25">
      <c r="A56" s="1" t="str">
        <v>STOCK</v>
      </c>
      <c r="B56" s="1">
        <v>-20</v>
      </c>
      <c r="C56" s="1" t="str">
        <v>Bellbrook</v>
      </c>
      <c r="D56" s="1" t="str">
        <v>STOCK</v>
      </c>
      <c r="E56" s="1" t="str">
        <v>Old Stock</v>
      </c>
      <c r="F56" s="1">
        <v>2</v>
      </c>
      <c r="G56" s="1">
        <v>71454</v>
      </c>
      <c r="H56" s="2">
        <v>45979</v>
      </c>
      <c r="I56" s="1">
        <v>2227</v>
      </c>
      <c r="J56" s="20">
        <v>0</v>
      </c>
    </row>
    <row r="57" spans="1:10" x14ac:dyDescent="0.25">
      <c r="A57" s="1" t="str">
        <v>STOCK</v>
      </c>
      <c r="B57" s="1">
        <v>-20</v>
      </c>
      <c r="C57" s="1" t="str">
        <v>Bellbrook</v>
      </c>
      <c r="D57" s="1" t="str">
        <v>STOCK</v>
      </c>
      <c r="E57" s="1" t="str">
        <v>Old Stock</v>
      </c>
      <c r="F57" s="1">
        <v>2</v>
      </c>
      <c r="G57" s="1">
        <v>71454</v>
      </c>
      <c r="H57" s="2">
        <v>45979</v>
      </c>
      <c r="I57" s="1" t="str">
        <v>3010-1K</v>
      </c>
      <c r="J57" s="20">
        <v>0</v>
      </c>
    </row>
    <row r="58" spans="1:10" x14ac:dyDescent="0.25">
      <c r="A58" s="1" t="str">
        <v>STOCK</v>
      </c>
      <c r="B58" s="1">
        <v>-20</v>
      </c>
      <c r="C58" s="1" t="str">
        <v>Bellbrook</v>
      </c>
      <c r="D58" s="1" t="str">
        <v>STOCK</v>
      </c>
      <c r="E58" s="1" t="str">
        <v>Old Stock</v>
      </c>
      <c r="F58" s="1">
        <v>2</v>
      </c>
      <c r="G58" s="1">
        <v>71454</v>
      </c>
      <c r="H58" s="2">
        <v>45979</v>
      </c>
      <c r="I58" s="1" t="str">
        <v>3025-1K</v>
      </c>
      <c r="J58" s="20">
        <v>0</v>
      </c>
    </row>
    <row r="59" spans="1:10" x14ac:dyDescent="0.25">
      <c r="A59" s="1" t="str">
        <v>Sample (PM)</v>
      </c>
      <c r="B59" s="1" t="str">
        <v>rt</v>
      </c>
      <c r="C59" s="1" t="str">
        <v>Boster</v>
      </c>
      <c r="D59" s="1" t="str">
        <v>Local</v>
      </c>
      <c r="E59" s="1" t="str">
        <v>Priyanka Madam-Sample</v>
      </c>
      <c r="F59" s="1">
        <v>2</v>
      </c>
      <c r="G59" s="1">
        <v>67303</v>
      </c>
      <c r="H59" s="2">
        <v>45985</v>
      </c>
      <c r="I59" s="1" t="str">
        <v>AR1065</v>
      </c>
      <c r="J59" s="20">
        <v>0</v>
      </c>
    </row>
    <row r="60" spans="1:10" x14ac:dyDescent="0.25">
      <c r="A60" s="1" t="str">
        <v>ICGEB</v>
      </c>
      <c r="B60" s="1">
        <v>4</v>
      </c>
      <c r="C60" s="1" t="str">
        <v>Biolegend</v>
      </c>
      <c r="D60" s="1" t="str">
        <v>Local</v>
      </c>
      <c r="E60" s="1" t="str">
        <v>Priyanka Madam - FOC</v>
      </c>
      <c r="F60" s="1">
        <v>2</v>
      </c>
      <c r="G60" s="1" t="str">
        <v>EED121200</v>
      </c>
      <c r="H60" s="2">
        <v>45987</v>
      </c>
      <c r="I60" s="1">
        <v>420801</v>
      </c>
      <c r="J60" s="20">
        <v>0</v>
      </c>
    </row>
    <row r="61" spans="1:10" x14ac:dyDescent="0.25">
      <c r="A61" s="1" t="str">
        <v>STOCK</v>
      </c>
      <c r="B61" s="1">
        <v>-20</v>
      </c>
      <c r="C61" s="1" t="str">
        <v>Mp Bio</v>
      </c>
      <c r="D61" s="1" t="str">
        <v>STOCK</v>
      </c>
      <c r="E61" s="1" t="str">
        <v>Old Stock</v>
      </c>
      <c r="F61" s="1">
        <v>5</v>
      </c>
      <c r="G61" s="1" t="str">
        <v>MP/LS/25-26/1752</v>
      </c>
      <c r="H61" s="2">
        <v>45987</v>
      </c>
      <c r="I61" s="1" t="str">
        <v>092910149</v>
      </c>
      <c r="J61" s="20">
        <v>0</v>
      </c>
    </row>
    <row r="62" spans="1:10" x14ac:dyDescent="0.25">
      <c r="A62" s="1" t="str">
        <v>STOCK</v>
      </c>
      <c r="B62" s="1" t="str">
        <v>RT</v>
      </c>
      <c r="C62" s="1" t="str">
        <v>Sartorius</v>
      </c>
      <c r="D62" s="1" t="str">
        <v>STOCK</v>
      </c>
      <c r="E62" s="1" t="str">
        <v>Old Stock</v>
      </c>
      <c r="F62" s="1">
        <v>25</v>
      </c>
      <c r="G62" s="1" t="str">
        <v>251519303535</v>
      </c>
      <c r="H62" s="2">
        <v>45992</v>
      </c>
      <c r="I62" s="1" t="str">
        <v>16532---K</v>
      </c>
      <c r="J62" s="20">
        <v>0</v>
      </c>
    </row>
    <row r="63" spans="1:10" x14ac:dyDescent="0.25">
      <c r="A63" s="1" t="str">
        <v>STOCK</v>
      </c>
      <c r="B63" s="1">
        <v>4</v>
      </c>
      <c r="C63" s="1" t="str">
        <v>Bethyl</v>
      </c>
      <c r="D63" s="1" t="str">
        <v>STOCK</v>
      </c>
      <c r="E63" s="1" t="str">
        <v>Old Stock</v>
      </c>
      <c r="F63" s="1">
        <v>1</v>
      </c>
      <c r="G63" s="1">
        <v>90234844</v>
      </c>
      <c r="H63" s="2">
        <v>45999</v>
      </c>
      <c r="I63" s="1" t="str">
        <v>A301-862A-T</v>
      </c>
      <c r="J63" s="20">
        <v>0</v>
      </c>
    </row>
    <row r="64" spans="1:10" x14ac:dyDescent="0.25">
      <c r="A64" s="1" t="str">
        <v>STOCK</v>
      </c>
      <c r="B64" s="1" t="str">
        <v>RT</v>
      </c>
      <c r="C64" s="1" t="str">
        <v>Sartorius</v>
      </c>
      <c r="D64" s="1" t="str">
        <v>STOCK</v>
      </c>
      <c r="E64" s="1" t="str">
        <v>Old Stock</v>
      </c>
      <c r="F64" s="1">
        <v>4</v>
      </c>
      <c r="G64" s="1" t="str">
        <v>251519304101</v>
      </c>
      <c r="H64" s="2">
        <v>46014</v>
      </c>
      <c r="I64" s="1" t="str">
        <v>LH-729674</v>
      </c>
      <c r="J64" s="20">
        <v>0</v>
      </c>
    </row>
    <row r="65" spans="1:10" x14ac:dyDescent="0.25">
      <c r="A65" s="1" t="str">
        <v>STOCK</v>
      </c>
      <c r="B65" s="1" t="str">
        <v>RT</v>
      </c>
      <c r="C65" s="1" t="str">
        <v>Mp Bio</v>
      </c>
      <c r="D65" s="1" t="str">
        <v>STOCK</v>
      </c>
      <c r="E65" s="1" t="str">
        <v>Old Stock</v>
      </c>
      <c r="F65" s="1">
        <v>1</v>
      </c>
      <c r="G65" s="1" t="str">
        <v>MP/LS/25-26/1990</v>
      </c>
      <c r="H65" s="2">
        <v>46017</v>
      </c>
      <c r="I65" s="1">
        <v>6539025</v>
      </c>
      <c r="J65" s="20">
        <v>0</v>
      </c>
    </row>
    <row r="66" spans="1:10" x14ac:dyDescent="0.25">
      <c r="A66" s="1" t="str">
        <v>STOCK</v>
      </c>
      <c r="B66" s="1" t="str">
        <v>RT</v>
      </c>
      <c r="C66" s="1" t="str">
        <v>Mp Bio</v>
      </c>
      <c r="D66" s="1" t="str">
        <v>STOCK</v>
      </c>
      <c r="E66" s="1" t="str">
        <v>Old Stock</v>
      </c>
      <c r="F66" s="1">
        <v>1</v>
      </c>
      <c r="G66" s="1" t="str">
        <v>MP/LS/25-26/1990</v>
      </c>
      <c r="H66" s="2">
        <v>46017</v>
      </c>
      <c r="I66" s="1">
        <v>6542050</v>
      </c>
      <c r="J66" s="20">
        <v>0</v>
      </c>
    </row>
    <row r="67" spans="1:10" x14ac:dyDescent="0.25">
      <c r="A67" s="1" t="str">
        <v>STOCK</v>
      </c>
      <c r="B67" s="1" t="str">
        <v>RT</v>
      </c>
      <c r="C67" s="1" t="str">
        <v>Mp Bio</v>
      </c>
      <c r="D67" s="1" t="str">
        <v>STOCK</v>
      </c>
      <c r="E67" s="1" t="str">
        <v>Old Stock</v>
      </c>
      <c r="F67" s="1">
        <v>6</v>
      </c>
      <c r="G67" s="1" t="str">
        <v>MP/LS/25-26/1990</v>
      </c>
      <c r="H67" s="2">
        <v>46017</v>
      </c>
      <c r="I67" s="1">
        <v>6552050</v>
      </c>
      <c r="J67" s="20">
        <v>0</v>
      </c>
    </row>
    <row r="68" spans="1:10" x14ac:dyDescent="0.25">
      <c r="A68" s="1" t="str">
        <v>biogene Stock</v>
      </c>
      <c r="B68" s="1">
        <v>4</v>
      </c>
      <c r="C68" s="1" t="str">
        <v>Dharmacon</v>
      </c>
      <c r="D68" s="1" t="str">
        <v>STOCK</v>
      </c>
      <c r="E68" s="1" t="str">
        <v>Biogene Stock</v>
      </c>
      <c r="F68" s="1">
        <v>3</v>
      </c>
      <c r="G68" s="1" t="str">
        <v>D121825IN3305902G</v>
      </c>
      <c r="H68" s="2">
        <v>46018</v>
      </c>
      <c r="I68" s="1" t="str">
        <v>T-2001-02</v>
      </c>
      <c r="J68" s="20">
        <v>0</v>
      </c>
    </row>
    <row r="69" spans="1:10" x14ac:dyDescent="0.25">
      <c r="A69" s="1" t="str">
        <v>biogene Stock</v>
      </c>
      <c r="B69" s="1">
        <v>4</v>
      </c>
      <c r="C69" s="1" t="str">
        <v>Dharmacon</v>
      </c>
      <c r="D69" s="1" t="str">
        <v>STOCK</v>
      </c>
      <c r="E69" s="1" t="str">
        <v>Biogene Stock</v>
      </c>
      <c r="F69" s="1">
        <v>2</v>
      </c>
      <c r="G69" s="1" t="str">
        <v>D121825IN3305902G</v>
      </c>
      <c r="H69" s="2">
        <v>46018</v>
      </c>
      <c r="I69" s="1" t="str">
        <v>T-2001-03</v>
      </c>
      <c r="J69" s="20">
        <v>0</v>
      </c>
    </row>
    <row r="70" spans="1:10" x14ac:dyDescent="0.25">
      <c r="A70" s="1" t="str">
        <v>Stock</v>
      </c>
      <c r="B70" s="1">
        <v>4</v>
      </c>
      <c r="C70" s="1" t="str">
        <v>Biolegend</v>
      </c>
      <c r="D70" s="1" t="str">
        <v>STOCK</v>
      </c>
      <c r="E70" s="1" t="str">
        <v>Old Stock</v>
      </c>
      <c r="F70" s="1">
        <v>1</v>
      </c>
      <c r="G70" s="1" t="str">
        <v>EED122032</v>
      </c>
      <c r="H70" s="2">
        <v>46018</v>
      </c>
      <c r="I70" s="1">
        <v>663104</v>
      </c>
      <c r="J70" s="20">
        <v>0</v>
      </c>
    </row>
    <row r="71" spans="1:10" x14ac:dyDescent="0.25">
      <c r="A71" s="1" t="str">
        <v>biogene Stock</v>
      </c>
      <c r="B71" s="1">
        <v>4</v>
      </c>
      <c r="C71" s="1" t="str">
        <v>Biolegend</v>
      </c>
      <c r="D71" s="1" t="str">
        <v>STOCK</v>
      </c>
      <c r="E71" s="1" t="str">
        <v>Biogene Stock</v>
      </c>
      <c r="F71" s="1">
        <v>1</v>
      </c>
      <c r="G71" s="1" t="str">
        <v>EED122103</v>
      </c>
      <c r="H71" s="2">
        <v>46018</v>
      </c>
      <c r="I71" s="1">
        <v>300306</v>
      </c>
      <c r="J71" s="20">
        <v>0</v>
      </c>
    </row>
    <row r="72" spans="1:10" x14ac:dyDescent="0.25">
      <c r="A72" s="1" t="str">
        <v>FARCAST</v>
      </c>
      <c r="B72" s="1">
        <v>4</v>
      </c>
      <c r="C72" s="1" t="str">
        <v>Biolegend</v>
      </c>
      <c r="D72" s="1" t="str">
        <v>OutStation</v>
      </c>
      <c r="E72" s="1" t="str">
        <v>Farcast Stock (On Hold)</v>
      </c>
      <c r="F72" s="1">
        <v>1</v>
      </c>
      <c r="G72" s="1" t="str">
        <v>EED122103</v>
      </c>
      <c r="H72" s="2">
        <v>46018</v>
      </c>
      <c r="I72" s="1">
        <v>312118</v>
      </c>
      <c r="J72" s="20">
        <v>35526</v>
      </c>
    </row>
    <row r="73" spans="1:10" x14ac:dyDescent="0.25">
      <c r="A73" s="1" t="str">
        <v>FARCAST</v>
      </c>
      <c r="B73" s="1">
        <v>4</v>
      </c>
      <c r="C73" s="1" t="str">
        <v>Biolegend</v>
      </c>
      <c r="D73" s="1" t="str">
        <v>OutStation</v>
      </c>
      <c r="E73" s="1" t="str">
        <v>Farcast Stock (On Hold)</v>
      </c>
      <c r="F73" s="1">
        <v>1</v>
      </c>
      <c r="G73" s="1" t="str">
        <v>EED122103</v>
      </c>
      <c r="H73" s="2">
        <v>46018</v>
      </c>
      <c r="I73" s="1">
        <v>349506</v>
      </c>
      <c r="J73" s="20">
        <v>27156</v>
      </c>
    </row>
    <row r="74" spans="1:10" x14ac:dyDescent="0.25">
      <c r="A74" s="1" t="str">
        <v>biogene Stock</v>
      </c>
      <c r="B74" s="1">
        <v>4</v>
      </c>
      <c r="C74" s="1" t="str">
        <v>Biolegend</v>
      </c>
      <c r="D74" s="1" t="str">
        <v>STOCK</v>
      </c>
      <c r="E74" s="1" t="str">
        <v>Biogene Stock</v>
      </c>
      <c r="F74" s="1">
        <v>2</v>
      </c>
      <c r="G74" s="1" t="str">
        <v>EED122103</v>
      </c>
      <c r="H74" s="2">
        <v>46018</v>
      </c>
      <c r="I74" s="1">
        <v>420201</v>
      </c>
      <c r="J74" s="20">
        <v>0</v>
      </c>
    </row>
    <row r="75" spans="1:10" x14ac:dyDescent="0.25">
      <c r="A75" s="1" t="str">
        <v>biogene Stock</v>
      </c>
      <c r="B75" s="1">
        <v>4</v>
      </c>
      <c r="C75" s="1" t="str">
        <v>Biolegend</v>
      </c>
      <c r="D75" s="1" t="str">
        <v>STOCK</v>
      </c>
      <c r="E75" s="1" t="str">
        <v>Biogene Stock</v>
      </c>
      <c r="F75" s="1">
        <v>17</v>
      </c>
      <c r="G75" s="1" t="str">
        <v>EED122103</v>
      </c>
      <c r="H75" s="2">
        <v>46018</v>
      </c>
      <c r="I75" s="1">
        <v>420601</v>
      </c>
      <c r="J75" s="20">
        <v>0</v>
      </c>
    </row>
    <row r="76" spans="1:10" x14ac:dyDescent="0.25">
      <c r="A76" s="1" t="str">
        <v>biogene Stock</v>
      </c>
      <c r="B76" s="1">
        <v>4</v>
      </c>
      <c r="C76" s="1" t="str">
        <v>Biolegend</v>
      </c>
      <c r="D76" s="1" t="str">
        <v>STOCK</v>
      </c>
      <c r="E76" s="1" t="str">
        <v>Biogene Stock</v>
      </c>
      <c r="F76" s="1">
        <v>17</v>
      </c>
      <c r="G76" s="1" t="str">
        <v>EED122103</v>
      </c>
      <c r="H76" s="2">
        <v>46018</v>
      </c>
      <c r="I76" s="1">
        <v>420701</v>
      </c>
      <c r="J76" s="20">
        <v>0</v>
      </c>
    </row>
    <row r="77" spans="1:10" x14ac:dyDescent="0.25">
      <c r="A77" s="1" t="str">
        <v>biogene Stock</v>
      </c>
      <c r="B77" s="1">
        <v>4</v>
      </c>
      <c r="C77" s="1" t="str">
        <v>Biolegend</v>
      </c>
      <c r="D77" s="1" t="str">
        <v>STOCK</v>
      </c>
      <c r="E77" s="1" t="str">
        <v>Biogene Stock</v>
      </c>
      <c r="F77" s="1">
        <v>15</v>
      </c>
      <c r="G77" s="1" t="str">
        <v>EED122103</v>
      </c>
      <c r="H77" s="2">
        <v>46018</v>
      </c>
      <c r="I77" s="1">
        <v>420801</v>
      </c>
      <c r="J77" s="20">
        <v>0</v>
      </c>
    </row>
    <row r="78" spans="1:10" x14ac:dyDescent="0.25">
      <c r="A78" s="1" t="str">
        <v>biogene Stock</v>
      </c>
      <c r="B78" s="1">
        <v>-20</v>
      </c>
      <c r="C78" s="1" t="str">
        <v>Biolegend</v>
      </c>
      <c r="D78" s="1" t="str">
        <v>STOCK</v>
      </c>
      <c r="E78" s="1" t="str">
        <v>Biogene Stock</v>
      </c>
      <c r="F78" s="1">
        <v>11</v>
      </c>
      <c r="G78" s="1" t="str">
        <v>EED122103</v>
      </c>
      <c r="H78" s="2">
        <v>46018</v>
      </c>
      <c r="I78" s="1">
        <v>423101</v>
      </c>
      <c r="J78" s="20">
        <v>0</v>
      </c>
    </row>
    <row r="79" spans="1:10" x14ac:dyDescent="0.25">
      <c r="A79" s="1" t="str">
        <v>biogene Stock</v>
      </c>
      <c r="B79" s="1">
        <v>-20</v>
      </c>
      <c r="C79" s="1" t="str">
        <v>Biolegend</v>
      </c>
      <c r="D79" s="1" t="str">
        <v>STOCK</v>
      </c>
      <c r="E79" s="1" t="str">
        <v>Biogene Stock</v>
      </c>
      <c r="F79" s="1">
        <v>16</v>
      </c>
      <c r="G79" s="1" t="str">
        <v>EED122103</v>
      </c>
      <c r="H79" s="2">
        <v>46018</v>
      </c>
      <c r="I79" s="1">
        <v>423303</v>
      </c>
      <c r="J79" s="20">
        <v>0</v>
      </c>
    </row>
    <row r="80" spans="1:10" x14ac:dyDescent="0.25">
      <c r="A80" s="1" t="str">
        <v>biogene Stock</v>
      </c>
      <c r="B80" s="1">
        <v>4</v>
      </c>
      <c r="C80" s="1" t="str">
        <v>Biolegend</v>
      </c>
      <c r="D80" s="1" t="str">
        <v>STOCK</v>
      </c>
      <c r="E80" s="1" t="str">
        <v>Biogene Stock</v>
      </c>
      <c r="F80" s="1">
        <v>16</v>
      </c>
      <c r="G80" s="1" t="str">
        <v>EED122103</v>
      </c>
      <c r="H80" s="2">
        <v>46018</v>
      </c>
      <c r="I80" s="1">
        <v>426803</v>
      </c>
      <c r="J80" s="20">
        <v>0</v>
      </c>
    </row>
    <row r="81" spans="1:10" x14ac:dyDescent="0.25">
      <c r="A81" s="1" t="str">
        <v>biogene Stock</v>
      </c>
      <c r="B81" s="1">
        <v>4</v>
      </c>
      <c r="C81" s="1" t="str">
        <v>Biolegend</v>
      </c>
      <c r="D81" s="1" t="str">
        <v>STOCK</v>
      </c>
      <c r="E81" s="1" t="str">
        <v>Biogene Stock</v>
      </c>
      <c r="F81" s="1">
        <v>18</v>
      </c>
      <c r="G81" s="1" t="str">
        <v>EED122103</v>
      </c>
      <c r="H81" s="2">
        <v>46018</v>
      </c>
      <c r="I81" s="1">
        <v>640914</v>
      </c>
      <c r="J81" s="20">
        <v>0</v>
      </c>
    </row>
    <row r="82" spans="1:10" x14ac:dyDescent="0.25">
      <c r="A82" s="1" t="str">
        <v>biogene Stock</v>
      </c>
      <c r="B82" s="1">
        <v>4</v>
      </c>
      <c r="C82" s="1" t="str">
        <v>Biolegend</v>
      </c>
      <c r="D82" s="1" t="str">
        <v>STOCK</v>
      </c>
      <c r="E82" s="1" t="str">
        <v>Biogene Stock</v>
      </c>
      <c r="F82" s="1">
        <v>20</v>
      </c>
      <c r="G82" s="1" t="str">
        <v>EED122103</v>
      </c>
      <c r="H82" s="2">
        <v>46018</v>
      </c>
      <c r="I82" s="1">
        <v>640932</v>
      </c>
      <c r="J82" s="20">
        <v>0</v>
      </c>
    </row>
    <row r="83" spans="1:10" x14ac:dyDescent="0.25">
      <c r="A83" s="1" t="str">
        <v>FARCAST</v>
      </c>
      <c r="B83" s="1">
        <v>4</v>
      </c>
      <c r="C83" s="1" t="str">
        <v>Biolegend</v>
      </c>
      <c r="D83" s="1" t="str">
        <v>OutStation</v>
      </c>
      <c r="E83" s="1" t="str">
        <v>Farcast Stock (On Hold)</v>
      </c>
      <c r="F83" s="1">
        <v>1</v>
      </c>
      <c r="G83" s="1" t="str">
        <v>EED122144</v>
      </c>
      <c r="H83" s="2">
        <v>46021</v>
      </c>
      <c r="I83" s="1">
        <v>353008</v>
      </c>
      <c r="J83" s="20">
        <v>28179</v>
      </c>
    </row>
    <row r="84" spans="1:10" x14ac:dyDescent="0.25">
      <c r="A84" s="1" t="str">
        <v>biogene Stock</v>
      </c>
      <c r="B84" s="1">
        <v>-20</v>
      </c>
      <c r="C84" s="1" t="str">
        <v>Biolegend</v>
      </c>
      <c r="D84" s="1" t="str">
        <v>STOCK</v>
      </c>
      <c r="E84" s="1" t="str">
        <v>Biogene Stock</v>
      </c>
      <c r="F84" s="1">
        <v>16</v>
      </c>
      <c r="G84" s="1" t="str">
        <v>EED122144</v>
      </c>
      <c r="H84" s="2">
        <v>46021</v>
      </c>
      <c r="I84" s="1">
        <v>423113</v>
      </c>
      <c r="J84" s="20">
        <v>0</v>
      </c>
    </row>
    <row r="85" spans="1:10" x14ac:dyDescent="0.25">
      <c r="A85" s="1" t="str">
        <v>biogene Stock</v>
      </c>
      <c r="B85" s="1">
        <v>4</v>
      </c>
      <c r="C85" s="1" t="str">
        <v>Biolegend</v>
      </c>
      <c r="D85" s="1" t="str">
        <v>STOCK</v>
      </c>
      <c r="E85" s="1" t="str">
        <v>Biogene Stock</v>
      </c>
      <c r="F85" s="1">
        <v>18</v>
      </c>
      <c r="G85" s="1" t="str">
        <v>EED122144</v>
      </c>
      <c r="H85" s="2">
        <v>46021</v>
      </c>
      <c r="I85" s="1">
        <v>424401</v>
      </c>
      <c r="J85" s="20">
        <v>0</v>
      </c>
    </row>
    <row r="86" spans="1:10" x14ac:dyDescent="0.25">
      <c r="A86" s="1" t="str">
        <v>STOCK</v>
      </c>
      <c r="B86" s="1" t="str">
        <v>RT</v>
      </c>
      <c r="C86" s="1" t="str">
        <v>Genei Lab</v>
      </c>
      <c r="D86" s="1" t="str">
        <v>STOCK</v>
      </c>
      <c r="E86" s="1" t="str">
        <v>STOCK</v>
      </c>
      <c r="F86" s="1">
        <v>2</v>
      </c>
      <c r="G86" s="1" t="str">
        <v>2025-26/2091MFG</v>
      </c>
      <c r="H86" s="2">
        <v>46028</v>
      </c>
      <c r="I86" s="1" t="str">
        <v>2600505001730</v>
      </c>
      <c r="J86" s="20">
        <v>0</v>
      </c>
    </row>
    <row r="87" spans="1:10" x14ac:dyDescent="0.25">
      <c r="A87" s="1" t="str">
        <v>STOCK</v>
      </c>
      <c r="B87" s="1">
        <v>-20</v>
      </c>
      <c r="C87" s="1" t="str">
        <v>Genei Lab</v>
      </c>
      <c r="D87" s="1" t="str">
        <v>STOCK</v>
      </c>
      <c r="E87" s="1" t="str">
        <v>STOCK</v>
      </c>
      <c r="F87" s="1">
        <v>2</v>
      </c>
      <c r="G87" s="1" t="str">
        <v>2025-26/2091MFG</v>
      </c>
      <c r="H87" s="2">
        <v>46028</v>
      </c>
      <c r="I87" s="1" t="str">
        <v>2662070501730</v>
      </c>
      <c r="J87" s="20">
        <v>0</v>
      </c>
    </row>
    <row r="88" spans="1:10" x14ac:dyDescent="0.25">
      <c r="A88" s="1" t="str">
        <v>STOCK</v>
      </c>
      <c r="B88" s="1">
        <v>-20</v>
      </c>
      <c r="C88" s="1" t="str">
        <v>Genei Lab</v>
      </c>
      <c r="D88" s="1" t="str">
        <v>STOCK</v>
      </c>
      <c r="E88" s="1" t="str">
        <v>STOCK</v>
      </c>
      <c r="F88" s="1">
        <v>2</v>
      </c>
      <c r="G88" s="1" t="str">
        <v>2025-26/2092MFG</v>
      </c>
      <c r="H88" s="2">
        <v>46028</v>
      </c>
      <c r="I88" s="1" t="str">
        <v>3110492501730</v>
      </c>
      <c r="J88" s="20">
        <v>0</v>
      </c>
    </row>
    <row r="89" spans="1:10" x14ac:dyDescent="0.25">
      <c r="A89" s="1" t="str">
        <v>AIIMS</v>
      </c>
      <c r="B89" s="1" t="str">
        <v>RT</v>
      </c>
      <c r="C89" s="1" t="str">
        <v>Sartorius</v>
      </c>
      <c r="D89" s="1" t="str">
        <v>Local</v>
      </c>
      <c r="E89" s="1" t="str">
        <v>Priyanka Madam-Sample</v>
      </c>
      <c r="F89" s="1">
        <v>1</v>
      </c>
      <c r="G89" s="1" t="str">
        <v>Samples</v>
      </c>
      <c r="H89" s="2">
        <v>46032</v>
      </c>
      <c r="I89" s="1" t="str">
        <v>Sartobind</v>
      </c>
      <c r="J89" s="20">
        <v>0</v>
      </c>
    </row>
    <row r="90" spans="1:10" x14ac:dyDescent="0.25">
      <c r="A90" s="1" t="str">
        <v>NII</v>
      </c>
      <c r="B90" s="1" t="str">
        <v>RT</v>
      </c>
      <c r="C90" s="1" t="str">
        <v>Sartorius</v>
      </c>
      <c r="D90" s="1" t="str">
        <v>Local</v>
      </c>
      <c r="E90" s="1" t="str">
        <v>Priyanka Madam-Sample</v>
      </c>
      <c r="F90" s="1">
        <v>1</v>
      </c>
      <c r="G90" s="1" t="str">
        <v>Samples</v>
      </c>
      <c r="H90" s="2">
        <v>46032</v>
      </c>
      <c r="I90" s="1" t="str">
        <v>Sartobind</v>
      </c>
      <c r="J90" s="20">
        <v>0</v>
      </c>
    </row>
    <row r="91" spans="1:10" x14ac:dyDescent="0.25">
      <c r="A91" s="1" t="str">
        <v>STOCK</v>
      </c>
      <c r="B91" s="1" t="str">
        <v>RT</v>
      </c>
      <c r="C91" s="1" t="str">
        <v>Sartorius</v>
      </c>
      <c r="D91" s="1" t="str">
        <v>STOCK</v>
      </c>
      <c r="E91" s="1" t="str">
        <v>STOCK</v>
      </c>
      <c r="F91" s="1">
        <v>1</v>
      </c>
      <c r="G91" s="1" t="str">
        <v>251519304306</v>
      </c>
      <c r="H91" s="2">
        <v>46041</v>
      </c>
      <c r="I91" s="1" t="str">
        <v>VS0192</v>
      </c>
      <c r="J91" s="20">
        <v>0</v>
      </c>
    </row>
    <row r="92" spans="1:10" x14ac:dyDescent="0.25">
      <c r="A92" s="1" t="str">
        <v>Stock</v>
      </c>
      <c r="B92" s="1">
        <v>4</v>
      </c>
      <c r="C92" s="1" t="str">
        <v>Biolegend</v>
      </c>
      <c r="D92" s="1" t="str">
        <v>STOCK</v>
      </c>
      <c r="E92" s="1" t="str">
        <v>Stock</v>
      </c>
      <c r="F92" s="1">
        <v>1</v>
      </c>
      <c r="G92" s="1" t="str">
        <v>EED122144 - Ret. From IGIB</v>
      </c>
      <c r="H92" s="2">
        <v>46051</v>
      </c>
      <c r="I92" s="1">
        <v>424401</v>
      </c>
      <c r="J92" s="20">
        <v>0</v>
      </c>
    </row>
    <row r="93" spans="1:10" x14ac:dyDescent="0.25">
      <c r="A93" s="1" t="str">
        <v>Stock</v>
      </c>
      <c r="B93" s="1">
        <v>-20</v>
      </c>
      <c r="C93" s="1" t="str">
        <v>Edna</v>
      </c>
      <c r="D93" s="1" t="str">
        <v>STOCK</v>
      </c>
      <c r="E93" s="1" t="str">
        <v>Stock</v>
      </c>
      <c r="F93" s="1">
        <v>1</v>
      </c>
      <c r="G93" s="1" t="str">
        <v>Opening Stock</v>
      </c>
      <c r="H93" s="2">
        <v>46052</v>
      </c>
      <c r="I93" s="1" t="str">
        <v>PM008</v>
      </c>
      <c r="J93" s="20">
        <v>0</v>
      </c>
    </row>
    <row r="94" spans="1:10" x14ac:dyDescent="0.25">
      <c r="A94" s="1" t="str">
        <v>Stock</v>
      </c>
      <c r="B94" s="1">
        <v>4</v>
      </c>
      <c r="C94" s="1" t="str">
        <v>Edna</v>
      </c>
      <c r="D94" s="1" t="str">
        <v>STOCK</v>
      </c>
      <c r="E94" s="1" t="str">
        <v>Stock</v>
      </c>
      <c r="F94" s="1">
        <v>1</v>
      </c>
      <c r="G94" s="1" t="str">
        <v>Opening Stock</v>
      </c>
      <c r="H94" s="2">
        <v>46052</v>
      </c>
      <c r="I94" s="1" t="str">
        <v>SAF-1000</v>
      </c>
      <c r="J94" s="20">
        <v>0</v>
      </c>
    </row>
    <row r="95" spans="1:10" x14ac:dyDescent="0.25">
      <c r="A95" s="1" t="str">
        <v>SAMPLE (PM)</v>
      </c>
      <c r="B95" s="1">
        <v>-20</v>
      </c>
      <c r="C95" s="1" t="str">
        <v>Bestenzymes</v>
      </c>
      <c r="D95" s="1" t="str">
        <v>Local</v>
      </c>
      <c r="E95" s="1" t="str">
        <v>Priyanka Madam-Sample</v>
      </c>
      <c r="F95" s="1">
        <v>4</v>
      </c>
      <c r="G95" s="1" t="str">
        <v>BSM20260204001</v>
      </c>
      <c r="H95" s="2">
        <v>46065</v>
      </c>
      <c r="I95" s="1" t="str">
        <v>EG15565T</v>
      </c>
      <c r="J95" s="20">
        <v>0</v>
      </c>
    </row>
    <row r="96" spans="1:10" x14ac:dyDescent="0.25">
      <c r="A96" s="1" t="str">
        <v>SAMPLE (PM)</v>
      </c>
      <c r="B96" s="1">
        <v>-20</v>
      </c>
      <c r="C96" s="1" t="str">
        <v>Bestenzymes</v>
      </c>
      <c r="D96" s="1" t="str">
        <v>Local</v>
      </c>
      <c r="E96" s="1" t="str">
        <v>Priyanka Madam-Sample</v>
      </c>
      <c r="F96" s="1">
        <v>4</v>
      </c>
      <c r="G96" s="1" t="str">
        <v>BSM20260204001</v>
      </c>
      <c r="H96" s="2">
        <v>46065</v>
      </c>
      <c r="I96" s="1" t="str">
        <v>EG15566T</v>
      </c>
      <c r="J96" s="20">
        <v>0</v>
      </c>
    </row>
    <row r="97" spans="1:10" x14ac:dyDescent="0.25">
      <c r="A97" s="1" t="str">
        <v>SAMPLE (PM)</v>
      </c>
      <c r="B97" s="1">
        <v>-20</v>
      </c>
      <c r="C97" s="1" t="str">
        <v>Bestenzymes</v>
      </c>
      <c r="D97" s="1" t="str">
        <v>Local</v>
      </c>
      <c r="E97" s="1" t="str">
        <v>Priyanka Madam-Sample</v>
      </c>
      <c r="F97" s="1">
        <v>4</v>
      </c>
      <c r="G97" s="1" t="str">
        <v>BSM20260204001</v>
      </c>
      <c r="H97" s="2">
        <v>46065</v>
      </c>
      <c r="I97" s="1" t="str">
        <v>EG15572T</v>
      </c>
      <c r="J97" s="20">
        <v>0</v>
      </c>
    </row>
    <row r="98" spans="1:10" x14ac:dyDescent="0.25">
      <c r="A98" s="1" t="str">
        <v>SAMPLE (PM)</v>
      </c>
      <c r="B98" s="1">
        <v>-20</v>
      </c>
      <c r="C98" s="1" t="str">
        <v>Bestenzymes</v>
      </c>
      <c r="D98" s="1" t="str">
        <v>Local</v>
      </c>
      <c r="E98" s="1" t="str">
        <v>Priyanka Madam-Sample</v>
      </c>
      <c r="F98" s="1">
        <v>4</v>
      </c>
      <c r="G98" s="1" t="str">
        <v>BSM20260204001</v>
      </c>
      <c r="H98" s="2">
        <v>46065</v>
      </c>
      <c r="I98" s="1" t="str">
        <v>EG15581T</v>
      </c>
      <c r="J98" s="20">
        <v>0</v>
      </c>
    </row>
    <row r="99" spans="1:10" x14ac:dyDescent="0.25">
      <c r="A99" s="1" t="str">
        <v>SAMPLE (PM)</v>
      </c>
      <c r="B99" s="1">
        <v>-20</v>
      </c>
      <c r="C99" s="1" t="str">
        <v>Bestenzymes</v>
      </c>
      <c r="D99" s="1" t="str">
        <v>Local</v>
      </c>
      <c r="E99" s="1" t="str">
        <v>Priyanka Madam-Sample</v>
      </c>
      <c r="F99" s="1">
        <v>4</v>
      </c>
      <c r="G99" s="1" t="str">
        <v>BSM20260204001</v>
      </c>
      <c r="H99" s="2">
        <v>46065</v>
      </c>
      <c r="I99" s="1" t="str">
        <v>EG15583T</v>
      </c>
      <c r="J99" s="20">
        <v>0</v>
      </c>
    </row>
    <row r="100" spans="1:10" x14ac:dyDescent="0.25">
      <c r="A100" s="1" t="str">
        <v>SAMPLE (PM)</v>
      </c>
      <c r="B100" s="1">
        <v>-20</v>
      </c>
      <c r="C100" s="1" t="str">
        <v>Bestenzymes</v>
      </c>
      <c r="D100" s="1" t="str">
        <v>Local</v>
      </c>
      <c r="E100" s="1" t="str">
        <v>Priyanka Madam-Sample</v>
      </c>
      <c r="F100" s="1">
        <v>4</v>
      </c>
      <c r="G100" s="1" t="str">
        <v>BSM20260204001</v>
      </c>
      <c r="H100" s="2">
        <v>46065</v>
      </c>
      <c r="I100" s="1" t="str">
        <v>EG15591T</v>
      </c>
      <c r="J100" s="20">
        <v>0</v>
      </c>
    </row>
    <row r="101" spans="1:10" x14ac:dyDescent="0.25">
      <c r="A101" s="1" t="str">
        <v>STOCK</v>
      </c>
      <c r="B101" s="1">
        <v>-20</v>
      </c>
      <c r="C101" s="1" t="str">
        <v>Mp Bio</v>
      </c>
      <c r="D101" s="1" t="str">
        <v>STOCK</v>
      </c>
      <c r="E101" s="1" t="str">
        <v>Stock</v>
      </c>
      <c r="F101" s="1">
        <v>2</v>
      </c>
      <c r="G101" s="1" t="str">
        <v>MP/LS/25-26/2401</v>
      </c>
      <c r="H101" s="2">
        <v>46073</v>
      </c>
      <c r="I101" s="1" t="str">
        <v>092913726</v>
      </c>
      <c r="J101" s="20">
        <v>0</v>
      </c>
    </row>
    <row r="102" spans="1:10" x14ac:dyDescent="0.25">
      <c r="A102" s="1" t="str">
        <v>SAMPLE (PM)</v>
      </c>
      <c r="B102" s="1">
        <v>-20</v>
      </c>
      <c r="C102" s="1" t="str">
        <v>Targetmol</v>
      </c>
      <c r="D102" s="1" t="str">
        <v>Local</v>
      </c>
      <c r="E102" s="1" t="str">
        <v>Priyanka Madam-Sample</v>
      </c>
      <c r="F102" s="1">
        <v>1</v>
      </c>
      <c r="G102" s="1" t="str">
        <v>INV260219-003</v>
      </c>
      <c r="H102" s="2">
        <v>46074</v>
      </c>
      <c r="I102" s="1" t="str">
        <v>T1974</v>
      </c>
      <c r="J102" s="20">
        <v>0</v>
      </c>
    </row>
    <row r="103" spans="1:10" x14ac:dyDescent="0.25">
      <c r="A103" s="1" t="str">
        <v>SAMPLE (PM)</v>
      </c>
      <c r="B103" s="1">
        <v>-20</v>
      </c>
      <c r="C103" s="1" t="str">
        <v>Targetmol</v>
      </c>
      <c r="D103" s="1" t="str">
        <v>Local</v>
      </c>
      <c r="E103" s="1" t="str">
        <v>Priyanka Madam-Sample</v>
      </c>
      <c r="F103" s="1">
        <v>1</v>
      </c>
      <c r="G103" s="1" t="str">
        <v>INV260219-003</v>
      </c>
      <c r="H103" s="2">
        <v>46074</v>
      </c>
      <c r="I103" s="1" t="str">
        <v>T36675</v>
      </c>
      <c r="J103" s="20">
        <v>0</v>
      </c>
    </row>
    <row r="104" spans="1:10" x14ac:dyDescent="0.25">
      <c r="A104" s="1" t="str">
        <v>STOCK</v>
      </c>
      <c r="B104" s="1">
        <v>4</v>
      </c>
      <c r="C104" s="1" t="str">
        <v>Mp Bio</v>
      </c>
      <c r="D104" s="1" t="str">
        <v>STOCK</v>
      </c>
      <c r="E104" s="1" t="str">
        <v>Stock</v>
      </c>
      <c r="F104" s="1">
        <v>2</v>
      </c>
      <c r="G104" s="1" t="str">
        <v>MP/LS/25-26/2466</v>
      </c>
      <c r="H104" s="2">
        <v>46074</v>
      </c>
      <c r="I104" s="1">
        <v>160069</v>
      </c>
      <c r="J104" s="20">
        <v>0</v>
      </c>
    </row>
    <row r="105" spans="1:10" x14ac:dyDescent="0.25">
      <c r="A105" s="1" t="str">
        <v>NII</v>
      </c>
      <c r="B105" s="1">
        <v>4</v>
      </c>
      <c r="C105" s="1" t="str">
        <v>Mp Bio</v>
      </c>
      <c r="D105" s="1" t="str">
        <v>Local</v>
      </c>
      <c r="E105" s="1" t="str">
        <v>Priyanka Madam</v>
      </c>
      <c r="F105" s="1">
        <v>2</v>
      </c>
      <c r="G105" s="1" t="str">
        <v>MP/LS/25-26/2466</v>
      </c>
      <c r="H105" s="2">
        <v>46074</v>
      </c>
      <c r="I105" s="1">
        <v>160069</v>
      </c>
      <c r="J105" s="20">
        <v>0</v>
      </c>
    </row>
    <row r="106" spans="1:10" x14ac:dyDescent="0.25">
      <c r="A106" s="1" t="str">
        <v>NII</v>
      </c>
      <c r="B106" s="1" t="str">
        <v>RT</v>
      </c>
      <c r="C106" s="1" t="str">
        <v>Mp Bio</v>
      </c>
      <c r="D106" s="1" t="str">
        <v>Local</v>
      </c>
      <c r="E106" s="1" t="str">
        <v>Priyanka Madam</v>
      </c>
      <c r="F106" s="1">
        <v>1</v>
      </c>
      <c r="G106" s="1" t="str">
        <v>MP/LS/25-26/2466</v>
      </c>
      <c r="H106" s="2">
        <v>46074</v>
      </c>
      <c r="I106" s="1">
        <v>196055</v>
      </c>
      <c r="J106" s="20">
        <v>0</v>
      </c>
    </row>
    <row r="107" spans="1:10" x14ac:dyDescent="0.25">
      <c r="A107" s="1" t="str">
        <v>STOCK</v>
      </c>
      <c r="B107" s="1">
        <v>-20</v>
      </c>
      <c r="C107" s="1" t="str">
        <v>Dharmacon</v>
      </c>
      <c r="D107" s="1" t="str">
        <v>STOCK</v>
      </c>
      <c r="E107" s="1" t="str">
        <v>Hyderabad Eye Research (Sample )</v>
      </c>
      <c r="F107" s="1">
        <v>1</v>
      </c>
      <c r="G107" s="1" t="str">
        <v>D021926IN3348980G</v>
      </c>
      <c r="H107" s="2">
        <v>46078</v>
      </c>
      <c r="I107" s="1" t="str">
        <v>D-001830-01-05</v>
      </c>
      <c r="J107" s="20">
        <v>0</v>
      </c>
    </row>
    <row r="108" spans="1:10" x14ac:dyDescent="0.25">
      <c r="A108" s="1" t="str">
        <v>STOCK</v>
      </c>
      <c r="B108" s="1" t="str">
        <v>RT</v>
      </c>
      <c r="C108" s="1" t="str">
        <v>Mp Bio</v>
      </c>
      <c r="D108" s="1" t="str">
        <v>STOCK</v>
      </c>
      <c r="E108" s="1" t="str">
        <v>stock</v>
      </c>
      <c r="F108" s="1">
        <v>1</v>
      </c>
      <c r="G108" s="1" t="str">
        <v>MP/LS/25-26/2526</v>
      </c>
      <c r="H108" s="2">
        <v>46090</v>
      </c>
      <c r="I108" s="1">
        <v>19605590</v>
      </c>
      <c r="J108" s="20">
        <v>0</v>
      </c>
    </row>
    <row r="109" spans="1:10" x14ac:dyDescent="0.25">
      <c r="A109" s="1" t="str">
        <v>Sample (PM)</v>
      </c>
      <c r="B109" s="1">
        <v>-20</v>
      </c>
      <c r="C109" s="1" t="str">
        <v>Bio Helix</v>
      </c>
      <c r="D109" s="1" t="str">
        <v>Local</v>
      </c>
      <c r="E109" s="1" t="str">
        <v>Priyanka Madam-Sample</v>
      </c>
      <c r="F109" s="1">
        <v>2</v>
      </c>
      <c r="G109" s="1">
        <v>260226006</v>
      </c>
      <c r="H109" s="2">
        <v>46100</v>
      </c>
      <c r="I109" s="1" t="str">
        <v>PMX10-0500S</v>
      </c>
      <c r="J109" s="20">
        <v>0</v>
      </c>
    </row>
    <row r="110" spans="1:10" x14ac:dyDescent="0.25">
      <c r="A110" s="1" t="str">
        <v>Sample (PM)</v>
      </c>
      <c r="B110" s="1">
        <v>-20</v>
      </c>
      <c r="C110" s="1" t="str">
        <v>Bio Helix</v>
      </c>
      <c r="D110" s="1" t="str">
        <v>Local</v>
      </c>
      <c r="E110" s="1" t="str">
        <v>Priyanka Madam-Sample</v>
      </c>
      <c r="F110" s="1">
        <v>2</v>
      </c>
      <c r="G110" s="1">
        <v>260226006</v>
      </c>
      <c r="H110" s="2">
        <v>46100</v>
      </c>
      <c r="I110" s="1" t="str">
        <v>PMX11-0500S</v>
      </c>
      <c r="J110" s="20">
        <v>0</v>
      </c>
    </row>
    <row r="111" spans="1:10" x14ac:dyDescent="0.25">
      <c r="A111" s="1" t="str">
        <v>Sample (PM)</v>
      </c>
      <c r="B111" s="1">
        <v>-20</v>
      </c>
      <c r="C111" s="1" t="str">
        <v>Bio Helix</v>
      </c>
      <c r="D111" s="1" t="str">
        <v>Local</v>
      </c>
      <c r="E111" s="1" t="str">
        <v>Priyanka Madam-Sample</v>
      </c>
      <c r="F111" s="1">
        <v>2</v>
      </c>
      <c r="G111" s="1">
        <v>260226006</v>
      </c>
      <c r="H111" s="2">
        <v>46100</v>
      </c>
      <c r="I111" s="1" t="str">
        <v>PMX12-0500S</v>
      </c>
      <c r="J111" s="20">
        <v>0</v>
      </c>
    </row>
    <row r="112" spans="1:10" x14ac:dyDescent="0.25">
      <c r="A112" s="1" t="str">
        <v>Sample (PM)</v>
      </c>
      <c r="B112" s="1">
        <v>-20</v>
      </c>
      <c r="C112" s="1" t="str">
        <v>Bio Helix</v>
      </c>
      <c r="D112" s="1" t="str">
        <v>Local</v>
      </c>
      <c r="E112" s="1" t="str">
        <v>Priyanka Madam-Sample</v>
      </c>
      <c r="F112" s="1">
        <v>2</v>
      </c>
      <c r="G112" s="1">
        <v>260226006</v>
      </c>
      <c r="H112" s="2">
        <v>46100</v>
      </c>
      <c r="I112" s="1" t="str">
        <v>PMX13-0500S</v>
      </c>
      <c r="J112" s="20">
        <v>0</v>
      </c>
    </row>
    <row r="113" spans="1:10" x14ac:dyDescent="0.25">
      <c r="A113" s="1" t="str">
        <v>STOCK</v>
      </c>
      <c r="B113" s="1" t="str">
        <v>RT</v>
      </c>
      <c r="C113" s="1" t="str">
        <v>Biotium</v>
      </c>
      <c r="D113" s="1" t="str">
        <v>STOCK</v>
      </c>
      <c r="E113" s="1">
        <v>0</v>
      </c>
      <c r="F113" s="1">
        <v>1</v>
      </c>
      <c r="G113" s="1" t="str">
        <v>I252634-IN</v>
      </c>
      <c r="H113" s="2">
        <v>46102</v>
      </c>
      <c r="I113" s="1">
        <v>41003</v>
      </c>
      <c r="J113" s="20">
        <v>0</v>
      </c>
    </row>
    <row r="114" spans="1:10" x14ac:dyDescent="0.25">
      <c r="A114" s="1" t="str">
        <v>STOCK</v>
      </c>
      <c r="B114" s="1" t="str">
        <v>RT</v>
      </c>
      <c r="C114" s="1" t="str">
        <v>Mp Bio</v>
      </c>
      <c r="D114" s="1" t="str">
        <v>STOCK</v>
      </c>
      <c r="E114" s="1">
        <v>0</v>
      </c>
      <c r="F114" s="1">
        <v>2</v>
      </c>
      <c r="G114" s="1" t="str">
        <v>MP/LS/25-26/2726</v>
      </c>
      <c r="H114" s="2">
        <v>46108</v>
      </c>
      <c r="I114" s="1" t="str">
        <v>0210313301</v>
      </c>
      <c r="J114" s="20">
        <v>0</v>
      </c>
    </row>
    <row r="115" spans="1:10" x14ac:dyDescent="0.25">
      <c r="A115" s="1" t="str">
        <v>STOCK</v>
      </c>
      <c r="B115" s="1">
        <v>4</v>
      </c>
      <c r="C115" s="1" t="str">
        <v>Mp Bio</v>
      </c>
      <c r="D115" s="1" t="str">
        <v>STOCK</v>
      </c>
      <c r="E115" s="1">
        <v>0</v>
      </c>
      <c r="F115" s="1">
        <v>2</v>
      </c>
      <c r="G115" s="1" t="str">
        <v>MP/LS/25-26/2726</v>
      </c>
      <c r="H115" s="2">
        <v>46108</v>
      </c>
      <c r="I115" s="1" t="str">
        <v>0216006925</v>
      </c>
      <c r="J115" s="20">
        <v>0</v>
      </c>
    </row>
    <row r="116" spans="1:10" x14ac:dyDescent="0.25">
      <c r="A116" s="1" t="str">
        <v>STOCK</v>
      </c>
      <c r="B116" s="1" t="str">
        <v>RT</v>
      </c>
      <c r="C116" s="1" t="str">
        <v>Sartorius</v>
      </c>
      <c r="D116" s="1" t="str">
        <v>STOCK</v>
      </c>
      <c r="E116" s="1">
        <v>0</v>
      </c>
      <c r="F116" s="1">
        <v>4</v>
      </c>
      <c r="G116" s="1" t="str">
        <v>251519305684</v>
      </c>
      <c r="H116" s="2">
        <v>46111</v>
      </c>
      <c r="I116" s="1" t="str">
        <v>180E05---E</v>
      </c>
      <c r="J116" s="20">
        <v>0</v>
      </c>
    </row>
    <row r="117" spans="1:10" x14ac:dyDescent="0.25">
      <c r="A117" s="1" t="str">
        <v>BSP DAIGNOSTICS</v>
      </c>
      <c r="B117" s="1">
        <v>4</v>
      </c>
      <c r="C117" s="1" t="str">
        <v>Biolegend</v>
      </c>
      <c r="D117" s="1" t="str">
        <v>Local</v>
      </c>
      <c r="E117" s="1" t="str">
        <v>DEMO (CAT: 567903)</v>
      </c>
      <c r="F117" s="1">
        <v>1</v>
      </c>
      <c r="G117" s="1" t="str">
        <v>EED124492</v>
      </c>
      <c r="H117" s="2">
        <v>46112</v>
      </c>
      <c r="I117" s="1">
        <v>567903</v>
      </c>
      <c r="J117" s="20">
        <v>0</v>
      </c>
    </row>
    <row r="118" spans="1:10" x14ac:dyDescent="0.25">
      <c r="A118" s="1" t="str">
        <v>STOCK</v>
      </c>
      <c r="B118" s="1">
        <v>-20</v>
      </c>
      <c r="C118" s="1" t="str">
        <v>MP BIO</v>
      </c>
      <c r="D118" s="1" t="str">
        <v>STOCK</v>
      </c>
      <c r="E118" s="1">
        <v>0</v>
      </c>
      <c r="F118" s="1">
        <v>12</v>
      </c>
      <c r="G118" s="1" t="str">
        <v>MP/LS/26-27/0009</v>
      </c>
      <c r="H118" s="2">
        <v>46121</v>
      </c>
      <c r="I118" s="1" t="str">
        <v>092913726</v>
      </c>
      <c r="J118" s="20">
        <v>0</v>
      </c>
    </row>
    <row r="119" spans="1:10" x14ac:dyDescent="0.25">
      <c r="A119" s="1" t="str">
        <v>NII</v>
      </c>
      <c r="B119" s="1">
        <v>4</v>
      </c>
      <c r="C119" s="1" t="str">
        <v>BioLegend</v>
      </c>
      <c r="D119" s="1" t="str">
        <v>Local</v>
      </c>
      <c r="E119" s="1" t="str">
        <v>Priyanka Madam - FOC</v>
      </c>
      <c r="F119" s="1">
        <v>1</v>
      </c>
      <c r="G119" s="1" t="str">
        <v>EED124822</v>
      </c>
      <c r="H119" s="2">
        <v>46128</v>
      </c>
      <c r="I119" s="1">
        <v>424601</v>
      </c>
      <c r="J119" s="20">
        <v>0</v>
      </c>
    </row>
    <row r="120" spans="1:10" x14ac:dyDescent="0.25">
      <c r="A120" s="1" t="str">
        <v>STOCK</v>
      </c>
      <c r="B120" s="1" t="str">
        <v>RT</v>
      </c>
      <c r="C120" s="1" t="str">
        <v>SARTORIUS</v>
      </c>
      <c r="D120" s="1" t="str">
        <v>STOCK</v>
      </c>
      <c r="E120" s="1">
        <v>0</v>
      </c>
      <c r="F120" s="1">
        <v>2</v>
      </c>
      <c r="G120" s="1" t="str">
        <v>261519300120</v>
      </c>
      <c r="H120" s="2">
        <v>46127</v>
      </c>
      <c r="I120" s="1" t="str">
        <v>180E05---E</v>
      </c>
      <c r="J120" s="20">
        <v>0</v>
      </c>
    </row>
    <row r="121" spans="1:10" x14ac:dyDescent="0.25">
      <c r="A121" s="1" t="str">
        <v>STOCK</v>
      </c>
      <c r="B121" s="1" t="str">
        <v>RT</v>
      </c>
      <c r="C121" s="1" t="str">
        <v>SARTORIUS</v>
      </c>
      <c r="D121" s="1" t="str">
        <v>STOCK</v>
      </c>
      <c r="E121" s="1">
        <v>0</v>
      </c>
      <c r="F121" s="1">
        <v>5</v>
      </c>
      <c r="G121" s="1" t="str">
        <v>261519300120</v>
      </c>
      <c r="H121" s="2">
        <v>46127</v>
      </c>
      <c r="I121" s="1" t="str">
        <v>180E05---E</v>
      </c>
      <c r="J121" s="20">
        <v>0</v>
      </c>
    </row>
    <row r="122" spans="1:10" x14ac:dyDescent="0.25">
      <c r="A122" s="1" t="str">
        <v>STOCK</v>
      </c>
      <c r="B122" s="1" t="str">
        <v>RT</v>
      </c>
      <c r="C122" s="1" t="str">
        <v>SARTORIUS</v>
      </c>
      <c r="D122" s="1" t="str">
        <v>STOCK</v>
      </c>
      <c r="E122" s="1">
        <v>0</v>
      </c>
      <c r="F122" s="1">
        <v>7</v>
      </c>
      <c r="G122" s="1" t="str">
        <v>261519300120</v>
      </c>
      <c r="H122" s="2">
        <v>46127</v>
      </c>
      <c r="I122" s="1" t="str">
        <v>180E04---E</v>
      </c>
      <c r="J122" s="20">
        <v>0</v>
      </c>
    </row>
    <row r="123" spans="1:10" x14ac:dyDescent="0.25">
      <c r="A123" s="1" t="str">
        <v>STOCK</v>
      </c>
      <c r="B123" s="1" t="str">
        <v>RT</v>
      </c>
      <c r="C123" s="1" t="str">
        <v>SARTORIUS</v>
      </c>
      <c r="D123" s="1" t="str">
        <v>STOCK</v>
      </c>
      <c r="E123" s="1">
        <v>0</v>
      </c>
      <c r="F123" s="1">
        <v>1</v>
      </c>
      <c r="G123" s="1" t="str">
        <v>261519300120</v>
      </c>
      <c r="H123" s="2">
        <v>46127</v>
      </c>
      <c r="I123" s="1" t="str">
        <v>LH-747061</v>
      </c>
      <c r="J123" s="20">
        <v>0</v>
      </c>
    </row>
    <row r="124" spans="1:10" x14ac:dyDescent="0.25">
      <c r="A124" s="1" t="str">
        <v>STOCK</v>
      </c>
      <c r="B124" s="1" t="str">
        <v>RT</v>
      </c>
      <c r="C124" s="1" t="str">
        <v>SARTORIUS</v>
      </c>
      <c r="D124" s="1" t="str">
        <v>STOCK</v>
      </c>
      <c r="E124" s="1">
        <v>0</v>
      </c>
      <c r="F124" s="1">
        <v>27</v>
      </c>
      <c r="G124" s="1" t="str">
        <v>261519300214</v>
      </c>
      <c r="H124" s="2">
        <v>46133</v>
      </c>
      <c r="I124" s="1" t="str">
        <v>16532---K</v>
      </c>
      <c r="J124" s="20">
        <v>0</v>
      </c>
    </row>
    <row r="125" spans="1:10" x14ac:dyDescent="0.25">
      <c r="A125" s="1" t="str">
        <v>STOCK</v>
      </c>
      <c r="B125" s="1">
        <v>4</v>
      </c>
      <c r="C125" s="1" t="str">
        <v>MP BIO</v>
      </c>
      <c r="D125" s="1" t="str">
        <v>STOCK</v>
      </c>
      <c r="E125" s="1">
        <v>0</v>
      </c>
      <c r="F125" s="1">
        <v>10</v>
      </c>
      <c r="G125" s="1" t="str">
        <v>MP/LS/26-27/0110</v>
      </c>
      <c r="H125" s="2">
        <v>46134</v>
      </c>
      <c r="I125" s="1" t="str">
        <v>091261254</v>
      </c>
      <c r="J125" s="20">
        <v>0</v>
      </c>
    </row>
    <row r="126" spans="1:10" x14ac:dyDescent="0.25">
      <c r="A126" s="1" t="str">
        <v>STOCK</v>
      </c>
      <c r="B126" s="1">
        <v>4</v>
      </c>
      <c r="C126" s="1" t="str">
        <v>MP BIO</v>
      </c>
      <c r="D126" s="1" t="str">
        <v>STOCK</v>
      </c>
      <c r="E126" s="1">
        <v>0</v>
      </c>
      <c r="F126" s="1">
        <v>20</v>
      </c>
      <c r="G126" s="1" t="str">
        <v>MP/L2627/034</v>
      </c>
      <c r="H126" s="2">
        <v>46135</v>
      </c>
      <c r="I126" s="1" t="str">
        <v>091261254</v>
      </c>
      <c r="J126" s="20">
        <v>0</v>
      </c>
    </row>
    <row r="127" spans="1:10" x14ac:dyDescent="0.25">
      <c r="A127" s="1" t="str">
        <v>NIIH</v>
      </c>
      <c r="B127" s="1">
        <v>4</v>
      </c>
      <c r="C127" s="1" t="str">
        <v>MABTECH</v>
      </c>
      <c r="D127" s="1" t="str">
        <v>OutStation</v>
      </c>
      <c r="E127" s="1" t="str">
        <v>PO PENDING</v>
      </c>
      <c r="F127" s="1">
        <v>2</v>
      </c>
      <c r="G127" s="1" t="str">
        <v>SE043614</v>
      </c>
      <c r="H127" s="2">
        <v>46141</v>
      </c>
      <c r="I127" s="1" t="str">
        <v>3420-4APW-2</v>
      </c>
      <c r="J127" s="20">
        <v>131285</v>
      </c>
    </row>
    <row r="128" spans="1:10" x14ac:dyDescent="0.25">
      <c r="A128" s="1" t="str">
        <v>NIIH</v>
      </c>
      <c r="B128" s="1">
        <v>4</v>
      </c>
      <c r="C128" s="1" t="str">
        <v>MABTECH</v>
      </c>
      <c r="D128" s="1" t="str">
        <v>OutStation</v>
      </c>
      <c r="E128" s="1" t="str">
        <v>PO PENDING</v>
      </c>
      <c r="F128" s="1">
        <v>1</v>
      </c>
      <c r="G128" s="1" t="str">
        <v>SE043614</v>
      </c>
      <c r="H128" s="2">
        <v>46141</v>
      </c>
      <c r="I128" s="1" t="str">
        <v>3420-4AST-2</v>
      </c>
      <c r="J128" s="20">
        <v>74865</v>
      </c>
    </row>
    <row r="129" spans="1:10" x14ac:dyDescent="0.25">
      <c r="A129" s="1" t="str">
        <v>IMTECH</v>
      </c>
      <c r="B129" s="1">
        <v>4</v>
      </c>
      <c r="C129" s="1" t="str">
        <v>BioLegend</v>
      </c>
      <c r="D129" s="1" t="str">
        <v>OutStation</v>
      </c>
      <c r="E129" s="1" t="str">
        <v>Back Order</v>
      </c>
      <c r="F129" s="1">
        <v>1</v>
      </c>
      <c r="G129" s="1" t="str">
        <v>EED125744</v>
      </c>
      <c r="H129" s="2">
        <v>46153</v>
      </c>
      <c r="I129" s="1">
        <v>127106</v>
      </c>
      <c r="J129" s="20">
        <v>31790.5</v>
      </c>
    </row>
    <row r="130" spans="1:10" x14ac:dyDescent="0.25">
      <c r="A130" s="1" t="str">
        <v>STOCK</v>
      </c>
      <c r="B130" s="1">
        <v>4</v>
      </c>
      <c r="C130" s="1" t="str">
        <v>BioLegend</v>
      </c>
      <c r="D130" s="1" t="str">
        <v>STOCK</v>
      </c>
      <c r="E130" s="1">
        <v>0</v>
      </c>
      <c r="F130" s="1">
        <v>1</v>
      </c>
      <c r="G130" s="1" t="str">
        <v>EED125744</v>
      </c>
      <c r="H130" s="2">
        <v>46153</v>
      </c>
      <c r="I130" s="1">
        <v>131220</v>
      </c>
      <c r="J130" s="20">
        <v>0</v>
      </c>
    </row>
    <row r="131" spans="1:10" x14ac:dyDescent="0.25">
      <c r="A131" s="1" t="str">
        <v>Imtech</v>
      </c>
      <c r="B131" s="1">
        <v>4</v>
      </c>
      <c r="C131" s="1" t="str">
        <v>BioLegend</v>
      </c>
      <c r="D131" s="1" t="str">
        <v>OutStation</v>
      </c>
      <c r="E131" s="1" t="str">
        <v>Back Order</v>
      </c>
      <c r="F131" s="1">
        <v>1</v>
      </c>
      <c r="G131" s="1" t="str">
        <v>EED125744</v>
      </c>
      <c r="H131" s="2">
        <v>46153</v>
      </c>
      <c r="I131" s="1">
        <v>366908</v>
      </c>
      <c r="J131" s="20">
        <v>46546.5</v>
      </c>
    </row>
    <row r="132" spans="1:10" x14ac:dyDescent="0.25">
      <c r="A132" s="1" t="str">
        <v>AIIMS</v>
      </c>
      <c r="B132" s="1">
        <v>4</v>
      </c>
      <c r="C132" s="1" t="str">
        <v>BIOLEGEND</v>
      </c>
      <c r="D132" s="1" t="str">
        <v>Local</v>
      </c>
      <c r="E132" s="1">
        <v>0</v>
      </c>
      <c r="F132" s="1">
        <v>1</v>
      </c>
      <c r="G132" s="1" t="str">
        <v>SHP0003987</v>
      </c>
      <c r="H132" s="2">
        <v>46158</v>
      </c>
      <c r="I132" s="1">
        <v>405210</v>
      </c>
      <c r="J132" s="20">
        <v>15996</v>
      </c>
    </row>
    <row r="133" spans="1:10" x14ac:dyDescent="0.25">
      <c r="A133" s="1" t="str">
        <v>STOCK</v>
      </c>
      <c r="B133" s="1" t="str">
        <v>RT</v>
      </c>
      <c r="C133" s="1" t="str">
        <v>SARTORIUS</v>
      </c>
      <c r="D133" s="1" t="str">
        <v>STOCK</v>
      </c>
      <c r="E133" s="1">
        <v>0</v>
      </c>
      <c r="F133" s="1">
        <v>5</v>
      </c>
      <c r="G133" s="1" t="str">
        <v>261519300484</v>
      </c>
      <c r="H133" s="2">
        <v>46160</v>
      </c>
      <c r="I133" s="1" t="str">
        <v>16553--K</v>
      </c>
      <c r="J133" s="20">
        <v>0</v>
      </c>
    </row>
    <row r="134" spans="1:10" x14ac:dyDescent="0.25">
      <c r="A134" s="1" t="str">
        <v>STOCK</v>
      </c>
      <c r="B134" s="1" t="str">
        <v>RT</v>
      </c>
      <c r="C134" s="1" t="str">
        <v>SARTORIUS</v>
      </c>
      <c r="D134" s="1" t="str">
        <v>STOCK</v>
      </c>
      <c r="E134" s="1">
        <v>0</v>
      </c>
      <c r="F134" s="1">
        <v>1</v>
      </c>
      <c r="G134" s="1" t="str">
        <v>261519300552</v>
      </c>
      <c r="H134" s="2">
        <v>46160</v>
      </c>
      <c r="I134" s="1" t="str">
        <v>H2O-S-PACK</v>
      </c>
      <c r="J134" s="20">
        <v>0</v>
      </c>
    </row>
    <row r="135" spans="1:10" x14ac:dyDescent="0.25">
      <c r="A135" s="1" t="str">
        <v>STOCK</v>
      </c>
      <c r="B135" s="1" t="str">
        <v>RT</v>
      </c>
      <c r="C135" s="1" t="str">
        <v>SARTORIUS</v>
      </c>
      <c r="D135" s="1" t="str">
        <v>STOCK</v>
      </c>
      <c r="E135" s="1">
        <v>0</v>
      </c>
      <c r="F135" s="1">
        <v>1</v>
      </c>
      <c r="G135" s="1" t="str">
        <v>261519300552</v>
      </c>
      <c r="H135" s="2">
        <v>46160</v>
      </c>
      <c r="I135" s="1" t="str">
        <v>5441307H4-CE</v>
      </c>
      <c r="J135" s="20">
        <v>0</v>
      </c>
    </row>
    <row r="136" spans="1:10" x14ac:dyDescent="0.25">
      <c r="A136" s="1" t="str">
        <v>STOCK</v>
      </c>
      <c r="B136" s="1" t="str">
        <v>RT</v>
      </c>
      <c r="C136" s="1" t="str">
        <v>SARTORIUS</v>
      </c>
      <c r="D136" s="1" t="str">
        <v>STOCK</v>
      </c>
      <c r="E136" s="1">
        <v>0</v>
      </c>
      <c r="F136" s="1">
        <v>1</v>
      </c>
      <c r="G136" s="1" t="str">
        <v>261519300552</v>
      </c>
      <c r="H136" s="2">
        <v>46160</v>
      </c>
      <c r="I136" s="1" t="str">
        <v>H2O-CBS-5-S</v>
      </c>
      <c r="J136" s="20">
        <v>0</v>
      </c>
    </row>
    <row r="137" spans="1:10" x14ac:dyDescent="0.25">
      <c r="A137" s="1" t="str">
        <v>STOCK</v>
      </c>
      <c r="B137" s="1" t="str">
        <v>RT</v>
      </c>
      <c r="C137" s="1" t="str">
        <v>SARTORIUS</v>
      </c>
      <c r="D137" s="1" t="str">
        <v>STOCK</v>
      </c>
      <c r="E137" s="1">
        <v>0</v>
      </c>
      <c r="F137" s="1">
        <v>1</v>
      </c>
      <c r="G137" s="1" t="str">
        <v>261519300552</v>
      </c>
      <c r="H137" s="2">
        <v>46160</v>
      </c>
      <c r="I137" s="1" t="str">
        <v>H2O-CPR</v>
      </c>
      <c r="J137" s="20">
        <v>0</v>
      </c>
    </row>
    <row r="138" spans="1:10" x14ac:dyDescent="0.25">
      <c r="A138" s="1" t="str">
        <v>STOCK</v>
      </c>
      <c r="B138" s="1" t="str">
        <v>RT</v>
      </c>
      <c r="C138" s="1" t="str">
        <v>SARTORIUS</v>
      </c>
      <c r="D138" s="1" t="str">
        <v>STOCK</v>
      </c>
      <c r="E138" s="1">
        <v>0</v>
      </c>
      <c r="F138" s="1">
        <v>1</v>
      </c>
      <c r="G138" s="1" t="str">
        <v>261519300552</v>
      </c>
      <c r="H138" s="2">
        <v>46160</v>
      </c>
      <c r="I138" s="1" t="str">
        <v>H2O-MA-UV-T</v>
      </c>
      <c r="J138" s="20">
        <v>0</v>
      </c>
    </row>
    <row r="139" spans="1:10" x14ac:dyDescent="0.25">
      <c r="A139" s="1" t="str">
        <v>STOCK</v>
      </c>
      <c r="B139" s="1" t="str">
        <v>RT</v>
      </c>
      <c r="C139" s="1" t="str">
        <v>SARTORIUS</v>
      </c>
      <c r="D139" s="1" t="str">
        <v>STOCK</v>
      </c>
      <c r="E139" s="1">
        <v>0</v>
      </c>
      <c r="F139" s="1">
        <v>1</v>
      </c>
      <c r="G139" s="1" t="str">
        <v>261519300552</v>
      </c>
      <c r="H139" s="2">
        <v>46160</v>
      </c>
      <c r="I139" s="1" t="str">
        <v>H2O-CUF</v>
      </c>
      <c r="J139" s="20">
        <v>0</v>
      </c>
    </row>
    <row r="140" spans="1:10" x14ac:dyDescent="0.25">
      <c r="A140" s="1" t="str">
        <v>AIIMS</v>
      </c>
      <c r="B140" s="1">
        <v>-20</v>
      </c>
      <c r="C140" s="1" t="str">
        <v>TARGETMOL</v>
      </c>
      <c r="D140" s="1" t="str">
        <v>Local</v>
      </c>
      <c r="E140" s="1">
        <v>0</v>
      </c>
      <c r="F140" s="1">
        <v>1</v>
      </c>
      <c r="G140" s="1" t="str">
        <v>INV260515-090</v>
      </c>
      <c r="H140" s="2">
        <v>46161</v>
      </c>
      <c r="I140" s="1" t="str">
        <v>T1894</v>
      </c>
      <c r="J140" s="20">
        <v>3480</v>
      </c>
    </row>
    <row r="141" spans="1:10" x14ac:dyDescent="0.25">
      <c r="A141" s="1" t="str">
        <v>IISER PUNE</v>
      </c>
      <c r="B141" s="1">
        <v>-20</v>
      </c>
      <c r="C141" s="1" t="str">
        <v>Dharmacon</v>
      </c>
      <c r="D141" s="1" t="str">
        <v>OutStation</v>
      </c>
      <c r="E141" s="1" t="str">
        <v>Dispatch Details pending</v>
      </c>
      <c r="F141" s="1">
        <v>1</v>
      </c>
      <c r="G141" s="1" t="str">
        <v>O051526IN3360560G</v>
      </c>
      <c r="H141" s="2">
        <v>46163</v>
      </c>
      <c r="I141" s="1" t="str">
        <v>CTM-1245420</v>
      </c>
      <c r="J141" s="20">
        <v>23409</v>
      </c>
    </row>
    <row r="142" spans="1:10" x14ac:dyDescent="0.25">
      <c r="A142" s="1" t="str">
        <v>IISER PUNE</v>
      </c>
      <c r="B142" s="1">
        <v>-20</v>
      </c>
      <c r="C142" s="1" t="str">
        <v>Dharmacon</v>
      </c>
      <c r="D142" s="1" t="str">
        <v>OutStation</v>
      </c>
      <c r="E142" s="1" t="str">
        <v>Dispatch Details pending</v>
      </c>
      <c r="F142" s="1">
        <v>1</v>
      </c>
      <c r="G142" s="1" t="str">
        <v>O051526IN3360560G</v>
      </c>
      <c r="H142" s="2">
        <v>46163</v>
      </c>
      <c r="I142" s="1" t="str">
        <v>CTM-1245421</v>
      </c>
      <c r="J142" s="20">
        <v>25474.5</v>
      </c>
    </row>
    <row r="143" spans="1:10" x14ac:dyDescent="0.25">
      <c r="A143" s="1" t="str">
        <v>IISER PUNE</v>
      </c>
      <c r="B143" s="1">
        <v>-20</v>
      </c>
      <c r="C143" s="1" t="str">
        <v>Dharmacon</v>
      </c>
      <c r="D143" s="1" t="str">
        <v>OutStation</v>
      </c>
      <c r="E143" s="1" t="str">
        <v>Dispatch Details pending</v>
      </c>
      <c r="F143" s="1">
        <v>1</v>
      </c>
      <c r="G143" s="1" t="str">
        <v>O051526IN3360560G</v>
      </c>
      <c r="H143" s="2">
        <v>46163</v>
      </c>
      <c r="I143" s="1" t="str">
        <v>CTM-1245424</v>
      </c>
      <c r="J143" s="20">
        <v>29605.5</v>
      </c>
    </row>
    <row r="144" spans="1:10" x14ac:dyDescent="0.25">
      <c r="A144" s="1" t="str">
        <v>IISER PUNE</v>
      </c>
      <c r="B144" s="1">
        <v>-20</v>
      </c>
      <c r="C144" s="1" t="str">
        <v>Dharmacon</v>
      </c>
      <c r="D144" s="1" t="str">
        <v>OutStation</v>
      </c>
      <c r="E144" s="1" t="str">
        <v>Dispatch Details pending</v>
      </c>
      <c r="F144" s="1">
        <v>1</v>
      </c>
      <c r="G144" s="1" t="str">
        <v>O051526IN3360560G</v>
      </c>
      <c r="H144" s="2">
        <v>46163</v>
      </c>
      <c r="I144" s="1" t="str">
        <v>CTM-1245423</v>
      </c>
      <c r="J144" s="20">
        <v>31671</v>
      </c>
    </row>
    <row r="145" spans="1:10" x14ac:dyDescent="0.25">
      <c r="A145" s="1" t="str">
        <v>IISER PUNE</v>
      </c>
      <c r="B145" s="1">
        <v>-20</v>
      </c>
      <c r="C145" s="1" t="str">
        <v>Dharmacon</v>
      </c>
      <c r="D145" s="1" t="str">
        <v>OutStation</v>
      </c>
      <c r="E145" s="1" t="str">
        <v>Dispatch Details pending</v>
      </c>
      <c r="F145" s="1">
        <v>1</v>
      </c>
      <c r="G145" s="1" t="str">
        <v>O051526IN3360560G</v>
      </c>
      <c r="H145" s="2">
        <v>46163</v>
      </c>
      <c r="I145" s="1" t="str">
        <v>CTM-1245422</v>
      </c>
      <c r="J145" s="20">
        <v>27540</v>
      </c>
    </row>
    <row r="146" spans="1:10" x14ac:dyDescent="0.25">
      <c r="A146" s="1" t="str">
        <v>ANTHOM</v>
      </c>
      <c r="B146" s="1">
        <v>4</v>
      </c>
      <c r="C146" s="1" t="str">
        <v>BIOXCELL</v>
      </c>
      <c r="D146" s="1" t="str">
        <v>OutStation</v>
      </c>
      <c r="E146" s="1" t="str">
        <v>Payment Pending</v>
      </c>
      <c r="F146" s="1">
        <v>1</v>
      </c>
      <c r="G146" s="1">
        <v>190172</v>
      </c>
      <c r="H146" s="2">
        <v>46164</v>
      </c>
      <c r="I146" s="1" t="str">
        <v>BE0146</v>
      </c>
      <c r="J146" s="20">
        <v>298770</v>
      </c>
    </row>
    <row r="147" spans="1:10" x14ac:dyDescent="0.25">
      <c r="A147" s="1" t="str">
        <v>ANTHOM</v>
      </c>
      <c r="B147" s="1">
        <v>4</v>
      </c>
      <c r="C147" s="1" t="str">
        <v>BIOXCELL</v>
      </c>
      <c r="D147" s="1" t="str">
        <v>OutStation</v>
      </c>
      <c r="E147" s="1" t="str">
        <v>Payment Pending</v>
      </c>
      <c r="F147" s="1">
        <v>1</v>
      </c>
      <c r="G147" s="1">
        <v>190172</v>
      </c>
      <c r="H147" s="2">
        <v>46164</v>
      </c>
      <c r="I147" s="1" t="str">
        <v>IP0070</v>
      </c>
      <c r="J147" s="20">
        <v>8754.3799999999992</v>
      </c>
    </row>
    <row r="148" spans="1:10" x14ac:dyDescent="0.25">
      <c r="A148" s="1" t="str">
        <v>Amrita</v>
      </c>
      <c r="B148" s="1">
        <v>4</v>
      </c>
      <c r="C148" s="1" t="str">
        <v>BIOLEGEND</v>
      </c>
      <c r="D148" s="1" t="str">
        <v>Local</v>
      </c>
      <c r="E148" s="1">
        <v>0</v>
      </c>
      <c r="F148" s="1">
        <v>1</v>
      </c>
      <c r="G148" s="1" t="str">
        <v>SHP0005963</v>
      </c>
      <c r="H148" s="2">
        <v>46165</v>
      </c>
      <c r="I148" s="1">
        <v>350509</v>
      </c>
      <c r="J148" s="20">
        <v>0</v>
      </c>
    </row>
    <row r="149" spans="1:10" x14ac:dyDescent="0.25">
      <c r="A149" s="1" t="str">
        <v>Aiims</v>
      </c>
      <c r="B149" s="1">
        <v>4</v>
      </c>
      <c r="C149" s="1" t="str">
        <v>BIOLEGEND</v>
      </c>
      <c r="D149" s="1" t="str">
        <v>Local</v>
      </c>
      <c r="E149" s="1">
        <v>0</v>
      </c>
      <c r="F149" s="1">
        <v>1</v>
      </c>
      <c r="G149" s="1" t="str">
        <v>SHP0005963</v>
      </c>
      <c r="H149" s="2">
        <v>46165</v>
      </c>
      <c r="I149" s="1">
        <v>317408</v>
      </c>
      <c r="J149" s="20">
        <v>5812.5</v>
      </c>
    </row>
    <row r="150" spans="1:10" x14ac:dyDescent="0.25">
      <c r="A150" s="1" t="str">
        <v>Premas</v>
      </c>
      <c r="B150" s="1">
        <v>4</v>
      </c>
      <c r="C150" s="1" t="str">
        <v>BIOLEGEND</v>
      </c>
      <c r="D150" s="1" t="str">
        <v>Local</v>
      </c>
      <c r="E150" s="1">
        <v>0</v>
      </c>
      <c r="F150" s="1">
        <v>1</v>
      </c>
      <c r="G150" s="1" t="str">
        <v>SHP0005963</v>
      </c>
      <c r="H150" s="2">
        <v>46165</v>
      </c>
      <c r="I150" s="1">
        <v>353418</v>
      </c>
      <c r="J150" s="20">
        <v>39263.050000000003</v>
      </c>
    </row>
    <row r="151" spans="1:10" x14ac:dyDescent="0.25">
      <c r="A151" s="1" t="str">
        <v>Premas</v>
      </c>
      <c r="B151" s="1">
        <v>4</v>
      </c>
      <c r="C151" s="1" t="str">
        <v>BIOLEGEND</v>
      </c>
      <c r="D151" s="1" t="str">
        <v>Local</v>
      </c>
      <c r="E151" s="1">
        <v>0</v>
      </c>
      <c r="F151" s="1">
        <v>1</v>
      </c>
      <c r="G151" s="1" t="str">
        <v>SHP0005963</v>
      </c>
      <c r="H151" s="2">
        <v>46165</v>
      </c>
      <c r="I151" s="1">
        <v>384814</v>
      </c>
      <c r="J151" s="20">
        <v>20932.75</v>
      </c>
    </row>
    <row r="152" spans="1:10" x14ac:dyDescent="0.25">
      <c r="A152" s="1" t="str">
        <v>Premas</v>
      </c>
      <c r="B152" s="1">
        <v>4</v>
      </c>
      <c r="C152" s="1" t="str">
        <v>BIOLEGEND</v>
      </c>
      <c r="D152" s="1" t="str">
        <v>Local</v>
      </c>
      <c r="E152" s="1">
        <v>0</v>
      </c>
      <c r="F152" s="1">
        <v>1</v>
      </c>
      <c r="G152" s="1" t="str">
        <v>SHP0005963</v>
      </c>
      <c r="H152" s="2">
        <v>46165</v>
      </c>
      <c r="I152" s="1">
        <v>351344</v>
      </c>
      <c r="J152" s="20">
        <v>37905.25</v>
      </c>
    </row>
    <row r="153" spans="1:10" x14ac:dyDescent="0.25">
      <c r="A153" s="1" t="str">
        <v>imtech</v>
      </c>
      <c r="B153" s="1">
        <v>4</v>
      </c>
      <c r="C153" s="1" t="str">
        <v>BIOLEGEND</v>
      </c>
      <c r="D153" s="1" t="str">
        <v>OutStation</v>
      </c>
      <c r="E153" s="1">
        <v>0</v>
      </c>
      <c r="F153" s="1">
        <v>1</v>
      </c>
      <c r="G153" s="1" t="str">
        <v>SHP0005963</v>
      </c>
      <c r="H153" s="2">
        <v>46165</v>
      </c>
      <c r="I153" s="1">
        <v>149035</v>
      </c>
      <c r="J153" s="20">
        <v>17251.5</v>
      </c>
    </row>
    <row r="154" spans="1:10" x14ac:dyDescent="0.25">
      <c r="A154" s="1" t="str">
        <v>imtech</v>
      </c>
      <c r="B154" s="1">
        <v>4</v>
      </c>
      <c r="C154" s="1" t="str">
        <v>BIOLEGEND</v>
      </c>
      <c r="D154" s="1" t="str">
        <v>OutStation</v>
      </c>
      <c r="E154" s="1">
        <v>0</v>
      </c>
      <c r="F154" s="1">
        <v>1</v>
      </c>
      <c r="G154" s="1" t="str">
        <v>SHP0005963</v>
      </c>
      <c r="H154" s="2">
        <v>46165</v>
      </c>
      <c r="I154" s="1">
        <v>305014</v>
      </c>
      <c r="J154" s="20">
        <v>28969.5</v>
      </c>
    </row>
    <row r="155" spans="1:10" x14ac:dyDescent="0.25">
      <c r="A155" s="1" t="str">
        <v>IIT Bombay</v>
      </c>
      <c r="B155" s="1">
        <v>4</v>
      </c>
      <c r="C155" s="1" t="str">
        <v>BIOLEGEND</v>
      </c>
      <c r="D155" s="1" t="str">
        <v>OutStation</v>
      </c>
      <c r="E155" s="1">
        <v>0</v>
      </c>
      <c r="F155" s="1">
        <v>1</v>
      </c>
      <c r="G155" s="1" t="str">
        <v>SHP0005963</v>
      </c>
      <c r="H155" s="2">
        <v>46165</v>
      </c>
      <c r="I155" s="1">
        <v>327807</v>
      </c>
      <c r="J155" s="20">
        <v>15577.5</v>
      </c>
    </row>
    <row r="156" spans="1:10" x14ac:dyDescent="0.25">
      <c r="A156" s="1" t="str">
        <v>IGIB</v>
      </c>
      <c r="B156" s="1">
        <v>20</v>
      </c>
      <c r="C156" s="1" t="str">
        <v>BIOLEGEND</v>
      </c>
      <c r="D156" s="1" t="str">
        <v>Local</v>
      </c>
      <c r="E156" s="1">
        <v>0</v>
      </c>
      <c r="F156" s="1">
        <v>1</v>
      </c>
      <c r="G156" s="1" t="str">
        <v>SHP0005963</v>
      </c>
      <c r="H156" s="2">
        <v>46165</v>
      </c>
      <c r="I156" s="1">
        <v>423105</v>
      </c>
      <c r="J156" s="20">
        <v>0</v>
      </c>
    </row>
    <row r="157" spans="1:10" x14ac:dyDescent="0.25">
      <c r="A157" s="1" t="str">
        <v>NIAB</v>
      </c>
      <c r="B157" s="1">
        <v>4</v>
      </c>
      <c r="C157" s="1" t="str">
        <v>BIOLEGEND</v>
      </c>
      <c r="D157" s="1" t="str">
        <v>OutStation</v>
      </c>
      <c r="E157" s="1">
        <v>0</v>
      </c>
      <c r="F157" s="1">
        <v>1</v>
      </c>
      <c r="G157" s="1" t="str">
        <v>SHP0005963</v>
      </c>
      <c r="H157" s="2">
        <v>46165</v>
      </c>
      <c r="I157" s="1">
        <v>127624</v>
      </c>
      <c r="J157" s="20">
        <v>27997.200000000001</v>
      </c>
    </row>
    <row r="158" spans="1:10" x14ac:dyDescent="0.25">
      <c r="A158" s="1" t="str">
        <v>NIAB</v>
      </c>
      <c r="B158" s="1">
        <v>4</v>
      </c>
      <c r="C158" s="1" t="str">
        <v>BIOLEGEND</v>
      </c>
      <c r="D158" s="1" t="str">
        <v>OutStation</v>
      </c>
      <c r="E158" s="1">
        <v>0</v>
      </c>
      <c r="F158" s="1">
        <v>1</v>
      </c>
      <c r="G158" s="1" t="str">
        <v>SHP0005963</v>
      </c>
      <c r="H158" s="2">
        <v>46165</v>
      </c>
      <c r="I158" s="1">
        <v>117353</v>
      </c>
      <c r="J158" s="20">
        <v>27442.799999999999</v>
      </c>
    </row>
    <row r="159" spans="1:10" x14ac:dyDescent="0.25">
      <c r="A159" s="1" t="str">
        <v>NIAB</v>
      </c>
      <c r="B159" s="1">
        <v>4</v>
      </c>
      <c r="C159" s="1" t="str">
        <v>BIOLEGEND</v>
      </c>
      <c r="D159" s="1" t="str">
        <v>OutStation</v>
      </c>
      <c r="E159" s="1">
        <v>0</v>
      </c>
      <c r="F159" s="1">
        <v>1</v>
      </c>
      <c r="G159" s="1" t="str">
        <v>SHP0005963</v>
      </c>
      <c r="H159" s="2">
        <v>46165</v>
      </c>
      <c r="I159" s="1">
        <v>141723</v>
      </c>
      <c r="J159" s="20">
        <v>27997.200000000001</v>
      </c>
    </row>
    <row r="160" spans="1:10" x14ac:dyDescent="0.25">
      <c r="A160" s="1" t="str">
        <v>NIAB</v>
      </c>
      <c r="B160" s="1">
        <v>4</v>
      </c>
      <c r="C160" s="1" t="str">
        <v>BIOLEGEND</v>
      </c>
      <c r="D160" s="1" t="str">
        <v>OutStation</v>
      </c>
      <c r="E160" s="1">
        <v>0</v>
      </c>
      <c r="F160" s="1">
        <v>1</v>
      </c>
      <c r="G160" s="1" t="str">
        <v>SHP0005963</v>
      </c>
      <c r="H160" s="2">
        <v>46165</v>
      </c>
      <c r="I160" s="1">
        <v>155327</v>
      </c>
      <c r="J160" s="20">
        <v>26980.799999999999</v>
      </c>
    </row>
    <row r="161" spans="1:10" x14ac:dyDescent="0.25">
      <c r="A161" s="1" t="str">
        <v>NIAB</v>
      </c>
      <c r="B161" s="1">
        <v>4</v>
      </c>
      <c r="C161" s="1" t="str">
        <v>BIOLEGEND</v>
      </c>
      <c r="D161" s="1" t="str">
        <v>OutStation</v>
      </c>
      <c r="E161" s="1">
        <v>0</v>
      </c>
      <c r="F161" s="1">
        <v>1</v>
      </c>
      <c r="G161" s="1" t="str">
        <v>SHP0005963</v>
      </c>
      <c r="H161" s="2">
        <v>46165</v>
      </c>
      <c r="I161" s="1">
        <v>104714</v>
      </c>
      <c r="J161" s="20">
        <v>24393.599999999999</v>
      </c>
    </row>
    <row r="162" spans="1:10" x14ac:dyDescent="0.25">
      <c r="A162" s="1" t="str">
        <v>NIAB</v>
      </c>
      <c r="B162" s="1">
        <v>4</v>
      </c>
      <c r="C162" s="1" t="str">
        <v>BIOLEGEND</v>
      </c>
      <c r="D162" s="1" t="str">
        <v>OutStation</v>
      </c>
      <c r="E162" s="1">
        <v>0</v>
      </c>
      <c r="F162" s="1">
        <v>1</v>
      </c>
      <c r="G162" s="1" t="str">
        <v>SHP0005963</v>
      </c>
      <c r="H162" s="2">
        <v>46165</v>
      </c>
      <c r="I162" s="1">
        <v>105024</v>
      </c>
      <c r="J162" s="20">
        <v>21159.599999999999</v>
      </c>
    </row>
    <row r="163" spans="1:10" x14ac:dyDescent="0.25">
      <c r="A163" s="1" t="str">
        <v>miranda house</v>
      </c>
      <c r="B163" s="1">
        <v>4</v>
      </c>
      <c r="C163" s="1" t="str">
        <v>BIOLEGEND</v>
      </c>
      <c r="D163" s="1" t="str">
        <v>Local</v>
      </c>
      <c r="E163" s="1">
        <v>0</v>
      </c>
      <c r="F163" s="1">
        <v>1</v>
      </c>
      <c r="G163" s="1" t="str">
        <v>SHP0005963</v>
      </c>
      <c r="H163" s="2">
        <v>46165</v>
      </c>
      <c r="I163" s="1">
        <v>317343</v>
      </c>
      <c r="J163" s="20">
        <v>21080</v>
      </c>
    </row>
    <row r="164" spans="1:10" x14ac:dyDescent="0.25">
      <c r="A164" s="1" t="str">
        <v>miranda house</v>
      </c>
      <c r="B164" s="1">
        <v>4</v>
      </c>
      <c r="C164" s="1" t="str">
        <v>BIOLEGEND</v>
      </c>
      <c r="D164" s="1" t="str">
        <v>Local</v>
      </c>
      <c r="E164" s="1">
        <v>0</v>
      </c>
      <c r="F164" s="1">
        <v>1</v>
      </c>
      <c r="G164" s="1" t="str">
        <v>SHP0005963</v>
      </c>
      <c r="H164" s="2">
        <v>46165</v>
      </c>
      <c r="I164" s="1">
        <v>519503</v>
      </c>
      <c r="J164" s="20">
        <v>17786.25</v>
      </c>
    </row>
    <row r="165" spans="1:10" x14ac:dyDescent="0.25">
      <c r="A165" s="1" t="str">
        <v>neuberg</v>
      </c>
      <c r="B165" s="1">
        <v>4</v>
      </c>
      <c r="C165" s="1" t="str">
        <v>BIOLEGEND</v>
      </c>
      <c r="D165" s="1" t="str">
        <v>OutStation</v>
      </c>
      <c r="E165" s="1">
        <v>0</v>
      </c>
      <c r="F165" s="1">
        <v>1</v>
      </c>
      <c r="G165" s="1" t="str">
        <v>SHP0005963</v>
      </c>
      <c r="H165" s="2">
        <v>46165</v>
      </c>
      <c r="I165" s="1">
        <v>306740</v>
      </c>
      <c r="J165" s="20">
        <v>47197.5</v>
      </c>
    </row>
    <row r="166" spans="1:10" x14ac:dyDescent="0.25">
      <c r="A166" s="1" t="str">
        <v>Priyanka Madam</v>
      </c>
      <c r="B166" s="1">
        <v>4</v>
      </c>
      <c r="C166" s="1" t="str">
        <v>BIOLEGEND</v>
      </c>
      <c r="D166" s="1" t="str">
        <v>Local</v>
      </c>
      <c r="E166" s="1">
        <v>0</v>
      </c>
      <c r="F166" s="1">
        <v>1</v>
      </c>
      <c r="G166" s="1" t="str">
        <v>SHP0005963</v>
      </c>
      <c r="H166" s="2">
        <v>46165</v>
      </c>
      <c r="I166" s="1">
        <v>141719</v>
      </c>
      <c r="J166" s="20">
        <v>0</v>
      </c>
    </row>
    <row r="167" spans="1:10" x14ac:dyDescent="0.25">
      <c r="A167" s="1" t="str">
        <v>ICGEB</v>
      </c>
      <c r="B167" s="1">
        <v>4</v>
      </c>
      <c r="C167" s="1" t="str">
        <v>BIOLEGEND</v>
      </c>
      <c r="D167" s="1" t="str">
        <v>Local</v>
      </c>
      <c r="E167" s="1">
        <v>0</v>
      </c>
      <c r="F167" s="1">
        <v>1</v>
      </c>
      <c r="G167" s="1" t="str">
        <v>SHP0005963</v>
      </c>
      <c r="H167" s="2">
        <v>46165</v>
      </c>
      <c r="I167" s="1">
        <v>424902</v>
      </c>
      <c r="J167" s="20">
        <v>0</v>
      </c>
    </row>
    <row r="168" spans="1:10" x14ac:dyDescent="0.25">
      <c r="A168" s="1" t="str">
        <v>SPM</v>
      </c>
      <c r="B168" s="1">
        <v>4</v>
      </c>
      <c r="C168" s="1" t="str">
        <v>BIOLEGEND</v>
      </c>
      <c r="D168" s="1" t="str">
        <v>Local</v>
      </c>
      <c r="E168" s="1">
        <v>0</v>
      </c>
      <c r="F168" s="1">
        <v>2</v>
      </c>
      <c r="G168" s="1" t="str">
        <v>SHP0005963</v>
      </c>
      <c r="H168" s="2">
        <v>46165</v>
      </c>
      <c r="I168" s="1">
        <v>100302</v>
      </c>
      <c r="J168" s="20">
        <v>13680</v>
      </c>
    </row>
    <row r="169" spans="1:10" x14ac:dyDescent="0.25">
      <c r="A169" s="1" t="str">
        <v>aragen</v>
      </c>
      <c r="B169" s="1">
        <v>4</v>
      </c>
      <c r="C169" s="1" t="str">
        <v>BIOLEGEND</v>
      </c>
      <c r="D169" s="1" t="str">
        <v>OutStation</v>
      </c>
      <c r="E169" s="1">
        <v>0</v>
      </c>
      <c r="F169" s="1">
        <v>2</v>
      </c>
      <c r="G169" s="1" t="str">
        <v>SHP0005963</v>
      </c>
      <c r="H169" s="2">
        <v>46165</v>
      </c>
      <c r="I169" s="1">
        <v>422302</v>
      </c>
      <c r="J169" s="20">
        <v>46143.5</v>
      </c>
    </row>
    <row r="170" spans="1:10" x14ac:dyDescent="0.25">
      <c r="A170" s="1" t="str">
        <v>NCCS</v>
      </c>
      <c r="B170" s="1">
        <v>4</v>
      </c>
      <c r="C170" s="1" t="str">
        <v>BIOLEGEND</v>
      </c>
      <c r="D170" s="1" t="str">
        <v>OutStation</v>
      </c>
      <c r="E170" s="1">
        <v>0</v>
      </c>
      <c r="F170" s="1">
        <v>1</v>
      </c>
      <c r="G170" s="1" t="str">
        <v>SHP0005963</v>
      </c>
      <c r="H170" s="2">
        <v>46165</v>
      </c>
      <c r="I170" s="1">
        <v>104766</v>
      </c>
      <c r="J170" s="20">
        <v>27436.75</v>
      </c>
    </row>
    <row r="171" spans="1:10" x14ac:dyDescent="0.25">
      <c r="A171" s="1" t="str">
        <v>NCCS</v>
      </c>
      <c r="B171" s="1">
        <v>4</v>
      </c>
      <c r="C171" s="1" t="str">
        <v>BIOLEGEND</v>
      </c>
      <c r="D171" s="1" t="str">
        <v>OutStation</v>
      </c>
      <c r="E171" s="1">
        <v>0</v>
      </c>
      <c r="F171" s="1">
        <v>1</v>
      </c>
      <c r="G171" s="1" t="str">
        <v>SHP0005963</v>
      </c>
      <c r="H171" s="2">
        <v>46165</v>
      </c>
      <c r="I171" s="1">
        <v>155316</v>
      </c>
      <c r="J171" s="20">
        <v>31823.439999999999</v>
      </c>
    </row>
    <row r="172" spans="1:10" x14ac:dyDescent="0.25">
      <c r="A172" s="1" t="str">
        <v>NCCS</v>
      </c>
      <c r="B172" s="1">
        <v>4</v>
      </c>
      <c r="C172" s="1" t="str">
        <v>BIOLEGEND</v>
      </c>
      <c r="D172" s="1" t="str">
        <v>OutStation</v>
      </c>
      <c r="E172" s="1">
        <v>0</v>
      </c>
      <c r="F172" s="1">
        <v>1</v>
      </c>
      <c r="G172" s="1" t="str">
        <v>SHP0005963</v>
      </c>
      <c r="H172" s="2">
        <v>46165</v>
      </c>
      <c r="I172" s="1">
        <v>165804</v>
      </c>
      <c r="J172" s="20">
        <v>23528.61</v>
      </c>
    </row>
    <row r="173" spans="1:10" x14ac:dyDescent="0.25">
      <c r="A173" s="1" t="str">
        <v>NCCS</v>
      </c>
      <c r="B173" s="1">
        <v>4</v>
      </c>
      <c r="C173" s="1" t="str">
        <v>BIOLEGEND</v>
      </c>
      <c r="D173" s="1" t="str">
        <v>OutStation</v>
      </c>
      <c r="E173" s="1">
        <v>0</v>
      </c>
      <c r="F173" s="1">
        <v>1</v>
      </c>
      <c r="G173" s="1" t="str">
        <v>SHP0005963</v>
      </c>
      <c r="H173" s="2">
        <v>46165</v>
      </c>
      <c r="I173" s="1">
        <v>696812</v>
      </c>
      <c r="J173" s="20">
        <v>31504.41</v>
      </c>
    </row>
    <row r="174" spans="1:10" x14ac:dyDescent="0.25">
      <c r="A174" s="1" t="str">
        <v>NCCS</v>
      </c>
      <c r="B174" s="1">
        <v>4</v>
      </c>
      <c r="C174" s="1" t="str">
        <v>BIOLEGEND</v>
      </c>
      <c r="D174" s="1" t="str">
        <v>OutStation</v>
      </c>
      <c r="E174" s="1">
        <v>0</v>
      </c>
      <c r="F174" s="1">
        <v>1</v>
      </c>
      <c r="G174" s="1" t="str">
        <v>SHP0005963</v>
      </c>
      <c r="H174" s="2">
        <v>46165</v>
      </c>
      <c r="I174" s="1">
        <v>426803</v>
      </c>
      <c r="J174" s="20">
        <v>22013.21</v>
      </c>
    </row>
    <row r="175" spans="1:10" x14ac:dyDescent="0.25">
      <c r="A175" s="1" t="str">
        <v>Aurigine Service</v>
      </c>
      <c r="B175" s="1">
        <v>4</v>
      </c>
      <c r="C175" s="1" t="str">
        <v>APEXBIO</v>
      </c>
      <c r="D175" s="1" t="str">
        <v>OutStation</v>
      </c>
      <c r="E175" s="1">
        <v>0</v>
      </c>
      <c r="F175" s="1">
        <v>1</v>
      </c>
      <c r="G175" s="1" t="str">
        <v>300089416, 300089415</v>
      </c>
      <c r="H175" s="2">
        <v>46168</v>
      </c>
      <c r="I175" s="1" t="str">
        <v>F1639-.1</v>
      </c>
      <c r="J175" s="20">
        <v>13950</v>
      </c>
    </row>
    <row r="176" spans="1:10" x14ac:dyDescent="0.25">
      <c r="A176" s="1" t="str">
        <v>TIGS</v>
      </c>
      <c r="B176" s="1">
        <v>4</v>
      </c>
      <c r="C176" s="1" t="str">
        <v>APEXBIO</v>
      </c>
      <c r="D176" s="1" t="str">
        <v>OutStation</v>
      </c>
      <c r="E176" s="1">
        <v>0</v>
      </c>
      <c r="F176" s="1">
        <v>2</v>
      </c>
      <c r="G176" s="1" t="str">
        <v>300089416, 300089415</v>
      </c>
      <c r="H176" s="2">
        <v>46168</v>
      </c>
      <c r="I176" s="1" t="str">
        <v>B8131-.1</v>
      </c>
      <c r="J176" s="20">
        <v>139965</v>
      </c>
    </row>
    <row r="177" spans="1:10" x14ac:dyDescent="0.25">
      <c r="A177" s="1"/>
      <c r="B177" s="1"/>
      <c r="C177" s="1"/>
      <c r="D177" s="1"/>
      <c r="E177" s="1"/>
      <c r="F177" s="1"/>
      <c r="G177" s="1"/>
      <c r="H177" s="2"/>
      <c r="I177" s="1"/>
      <c r="J177" s="20"/>
    </row>
    <row r="178" spans="1:10" x14ac:dyDescent="0.25">
      <c r="A178" s="1"/>
      <c r="B178" s="1"/>
      <c r="C178" s="1"/>
      <c r="D178" s="1"/>
      <c r="E178" s="1"/>
      <c r="F178" s="1"/>
      <c r="G178" s="1"/>
      <c r="H178" s="2"/>
      <c r="I178" s="1"/>
      <c r="J178" s="20"/>
    </row>
    <row r="179" spans="1:10" x14ac:dyDescent="0.25">
      <c r="A179" s="1"/>
      <c r="B179" s="1"/>
      <c r="C179" s="1"/>
      <c r="D179" s="1"/>
      <c r="E179" s="1"/>
      <c r="F179" s="1"/>
      <c r="G179" s="1"/>
      <c r="H179" s="2"/>
      <c r="I179" s="1"/>
      <c r="J179" s="20"/>
    </row>
    <row r="180" spans="1:10" x14ac:dyDescent="0.25">
      <c r="A180" s="1"/>
      <c r="B180" s="1"/>
      <c r="C180" s="1"/>
      <c r="D180" s="1"/>
      <c r="E180" s="1"/>
      <c r="F180" s="1"/>
      <c r="G180" s="1"/>
      <c r="H180" s="2"/>
      <c r="I180" s="1"/>
      <c r="J180" s="20"/>
    </row>
    <row r="181" spans="1:10" x14ac:dyDescent="0.25">
      <c r="A181" s="1"/>
      <c r="B181" s="1"/>
      <c r="C181" s="1"/>
      <c r="D181" s="1"/>
      <c r="E181" s="1"/>
      <c r="F181" s="1"/>
      <c r="G181" s="1"/>
      <c r="H181" s="2"/>
      <c r="I181" s="1"/>
      <c r="J181" s="20"/>
    </row>
    <row r="182" spans="1:10" x14ac:dyDescent="0.25">
      <c r="A182" s="1"/>
      <c r="B182" s="1"/>
      <c r="C182" s="1"/>
      <c r="D182" s="1"/>
      <c r="E182" s="1"/>
      <c r="F182" s="1"/>
      <c r="G182" s="1"/>
      <c r="H182" s="2"/>
      <c r="I182" s="1"/>
      <c r="J182" s="20"/>
    </row>
    <row r="183" spans="1:10" x14ac:dyDescent="0.25">
      <c r="A183" s="1"/>
      <c r="B183" s="1"/>
      <c r="C183" s="1"/>
      <c r="D183" s="1"/>
      <c r="E183" s="1"/>
      <c r="F183" s="1"/>
      <c r="G183" s="1"/>
      <c r="H183" s="2"/>
      <c r="I183" s="1"/>
      <c r="J183" s="20"/>
    </row>
    <row r="184" spans="1:10" x14ac:dyDescent="0.25">
      <c r="A184" s="1"/>
      <c r="B184" s="1"/>
      <c r="C184" s="1"/>
      <c r="D184" s="1"/>
      <c r="E184" s="1"/>
      <c r="F184" s="1"/>
      <c r="G184" s="1"/>
      <c r="H184" s="2"/>
      <c r="I184" s="1"/>
      <c r="J184" s="20"/>
    </row>
    <row r="185" spans="1:10" x14ac:dyDescent="0.25">
      <c r="A185" s="1"/>
      <c r="B185" s="1"/>
      <c r="C185" s="1"/>
      <c r="D185" s="1"/>
      <c r="E185" s="1"/>
      <c r="F185" s="1"/>
      <c r="G185" s="1"/>
      <c r="H185" s="2"/>
      <c r="I185" s="1"/>
      <c r="J185" s="20"/>
    </row>
    <row r="186" spans="1:10" x14ac:dyDescent="0.25">
      <c r="A186" s="1"/>
      <c r="B186" s="1"/>
      <c r="C186" s="1"/>
      <c r="D186" s="1"/>
      <c r="E186" s="1"/>
      <c r="F186" s="1"/>
      <c r="G186" s="1"/>
      <c r="H186" s="2"/>
      <c r="I186" s="1"/>
      <c r="J186" s="20"/>
    </row>
    <row r="187" spans="1:10" x14ac:dyDescent="0.25">
      <c r="A187" s="1"/>
      <c r="B187" s="1"/>
      <c r="C187" s="1"/>
      <c r="D187" s="1"/>
      <c r="E187" s="1"/>
      <c r="F187" s="1"/>
      <c r="G187" s="1"/>
      <c r="H187" s="2"/>
      <c r="I187" s="1"/>
      <c r="J187" s="20"/>
    </row>
    <row r="188" spans="1:10" x14ac:dyDescent="0.25">
      <c r="A188" s="1"/>
      <c r="B188" s="1"/>
      <c r="C188" s="1"/>
      <c r="D188" s="1"/>
      <c r="E188" s="1"/>
      <c r="F188" s="1"/>
      <c r="G188" s="1"/>
      <c r="H188" s="2"/>
      <c r="I188" s="1"/>
      <c r="J188" s="20"/>
    </row>
    <row r="189" spans="1:10" x14ac:dyDescent="0.25">
      <c r="A189" s="1"/>
      <c r="B189" s="1"/>
      <c r="C189" s="1"/>
      <c r="D189" s="1"/>
      <c r="E189" s="1"/>
      <c r="F189" s="1"/>
      <c r="G189" s="1"/>
      <c r="H189" s="2"/>
      <c r="I189" s="1"/>
      <c r="J189" s="20"/>
    </row>
    <row r="190" spans="1:10" x14ac:dyDescent="0.25">
      <c r="A190" s="1"/>
      <c r="B190" s="1"/>
      <c r="C190" s="1"/>
      <c r="D190" s="1"/>
      <c r="E190" s="1"/>
      <c r="F190" s="1"/>
      <c r="G190" s="1"/>
      <c r="H190" s="2"/>
      <c r="I190" s="1"/>
      <c r="J190" s="20"/>
    </row>
    <row r="191" spans="1:10" x14ac:dyDescent="0.25">
      <c r="A191" s="1"/>
      <c r="B191" s="1"/>
      <c r="C191" s="1"/>
      <c r="D191" s="1"/>
      <c r="E191" s="1"/>
      <c r="F191" s="1"/>
      <c r="G191" s="1"/>
      <c r="H191" s="2"/>
      <c r="I191" s="1"/>
      <c r="J191" s="20"/>
    </row>
    <row r="192" spans="1:10" x14ac:dyDescent="0.25">
      <c r="A192" s="1"/>
      <c r="B192" s="1"/>
      <c r="C192" s="1"/>
      <c r="D192" s="1"/>
      <c r="E192" s="1"/>
      <c r="F192" s="1"/>
      <c r="G192" s="1"/>
      <c r="H192" s="2"/>
      <c r="I192" s="1"/>
      <c r="J192" s="20"/>
    </row>
    <row r="193" spans="1:10" x14ac:dyDescent="0.25">
      <c r="A193" s="1"/>
      <c r="B193" s="1"/>
      <c r="C193" s="1"/>
      <c r="D193" s="1"/>
      <c r="E193" s="1"/>
      <c r="F193" s="1"/>
      <c r="G193" s="1"/>
      <c r="H193" s="2"/>
      <c r="I193" s="1"/>
      <c r="J193" s="20"/>
    </row>
    <row r="194" spans="1:10" x14ac:dyDescent="0.25">
      <c r="A194" s="1"/>
      <c r="B194" s="1"/>
      <c r="C194" s="1"/>
      <c r="D194" s="1"/>
      <c r="E194" s="1"/>
      <c r="F194" s="1"/>
      <c r="G194" s="1"/>
      <c r="H194" s="2"/>
      <c r="I194" s="1"/>
      <c r="J194" s="20"/>
    </row>
    <row r="195" spans="1:10" x14ac:dyDescent="0.25">
      <c r="A195" s="1"/>
      <c r="B195" s="1"/>
      <c r="C195" s="1"/>
      <c r="D195" s="1"/>
      <c r="E195" s="1"/>
      <c r="F195" s="1"/>
      <c r="G195" s="1"/>
      <c r="H195" s="2"/>
      <c r="I195" s="1"/>
      <c r="J195" s="20"/>
    </row>
    <row r="196" spans="1:10" x14ac:dyDescent="0.25">
      <c r="A196" s="1"/>
      <c r="B196" s="1"/>
      <c r="C196" s="1"/>
      <c r="D196" s="1"/>
      <c r="E196" s="1"/>
      <c r="F196" s="1"/>
      <c r="G196" s="1"/>
      <c r="H196" s="2"/>
      <c r="I196" s="1"/>
      <c r="J196" s="20"/>
    </row>
    <row r="197" spans="1:10" x14ac:dyDescent="0.25">
      <c r="A197" s="1"/>
      <c r="B197" s="1"/>
      <c r="C197" s="1"/>
      <c r="D197" s="1"/>
      <c r="E197" s="1"/>
      <c r="F197" s="1"/>
      <c r="G197" s="1"/>
      <c r="H197" s="2"/>
      <c r="I197" s="1"/>
      <c r="J197" s="20"/>
    </row>
    <row r="198" spans="1:10" x14ac:dyDescent="0.25">
      <c r="A198" s="1"/>
      <c r="B198" s="1"/>
      <c r="C198" s="1"/>
      <c r="D198" s="1"/>
      <c r="E198" s="1"/>
      <c r="F198" s="1"/>
      <c r="G198" s="1"/>
      <c r="H198" s="2"/>
      <c r="I198" s="1"/>
      <c r="J198" s="20"/>
    </row>
    <row r="199" spans="1:10" x14ac:dyDescent="0.25">
      <c r="A199" s="1"/>
      <c r="B199" s="1"/>
      <c r="C199" s="1"/>
      <c r="D199" s="1"/>
      <c r="E199" s="1"/>
      <c r="F199" s="1"/>
      <c r="G199" s="1"/>
      <c r="H199" s="2"/>
      <c r="I199" s="1"/>
      <c r="J199" s="20"/>
    </row>
    <row r="200" spans="1:10" x14ac:dyDescent="0.25">
      <c r="A200" s="1"/>
      <c r="B200" s="1"/>
      <c r="C200" s="1"/>
      <c r="D200" s="1"/>
      <c r="E200" s="1"/>
      <c r="F200" s="1"/>
      <c r="G200" s="1"/>
      <c r="H200" s="2"/>
      <c r="I200" s="1"/>
      <c r="J200" s="20"/>
    </row>
    <row r="201" spans="1:10" x14ac:dyDescent="0.25">
      <c r="A201" s="1"/>
      <c r="B201" s="1"/>
      <c r="C201" s="1"/>
      <c r="D201" s="1"/>
      <c r="E201" s="1"/>
      <c r="F201" s="1"/>
      <c r="G201" s="1"/>
      <c r="H201" s="2"/>
      <c r="I201" s="1"/>
      <c r="J201" s="20"/>
    </row>
    <row r="202" spans="1:10" x14ac:dyDescent="0.25">
      <c r="A202" s="1"/>
      <c r="B202" s="1"/>
      <c r="C202" s="1"/>
      <c r="D202" s="1"/>
      <c r="E202" s="1"/>
      <c r="F202" s="1"/>
      <c r="G202" s="1"/>
      <c r="H202" s="2"/>
      <c r="I202" s="1"/>
      <c r="J202" s="20"/>
    </row>
    <row r="203" spans="1:10" x14ac:dyDescent="0.25">
      <c r="A203" s="1"/>
      <c r="B203" s="1"/>
      <c r="C203" s="1"/>
      <c r="D203" s="1"/>
      <c r="E203" s="1"/>
      <c r="F203" s="1"/>
      <c r="G203" s="1"/>
      <c r="H203" s="2"/>
      <c r="I203" s="1"/>
      <c r="J203" s="20"/>
    </row>
    <row r="204" spans="1:10" x14ac:dyDescent="0.25">
      <c r="A204" s="1"/>
      <c r="B204" s="1"/>
      <c r="C204" s="1"/>
      <c r="D204" s="1"/>
      <c r="E204" s="1"/>
      <c r="F204" s="1"/>
      <c r="G204" s="1"/>
      <c r="H204" s="2"/>
      <c r="I204" s="1"/>
      <c r="J204" s="20"/>
    </row>
    <row r="205" spans="1:10" x14ac:dyDescent="0.25">
      <c r="A205" s="1"/>
      <c r="B205" s="1"/>
      <c r="C205" s="1"/>
      <c r="D205" s="1"/>
      <c r="E205" s="1"/>
      <c r="F205" s="1"/>
      <c r="G205" s="1"/>
      <c r="H205" s="2"/>
      <c r="I205" s="1"/>
      <c r="J205" s="20"/>
    </row>
    <row r="206" spans="1:10" x14ac:dyDescent="0.25">
      <c r="A206" s="1"/>
      <c r="B206" s="1"/>
      <c r="C206" s="1"/>
      <c r="D206" s="1"/>
      <c r="E206" s="1"/>
      <c r="F206" s="1"/>
      <c r="G206" s="1"/>
      <c r="H206" s="2"/>
      <c r="I206" s="1"/>
      <c r="J206" s="20"/>
    </row>
    <row r="207" spans="1:10" x14ac:dyDescent="0.25">
      <c r="A207" s="1"/>
      <c r="B207" s="1"/>
      <c r="C207" s="1"/>
      <c r="D207" s="1"/>
      <c r="E207" s="1"/>
      <c r="F207" s="1"/>
      <c r="G207" s="1"/>
      <c r="H207" s="2"/>
      <c r="I207" s="1"/>
      <c r="J207" s="20"/>
    </row>
    <row r="208" spans="1:10" x14ac:dyDescent="0.25">
      <c r="A208" s="1"/>
      <c r="B208" s="1"/>
      <c r="C208" s="1"/>
      <c r="D208" s="1"/>
      <c r="E208" s="1"/>
      <c r="F208" s="1"/>
      <c r="G208" s="1"/>
      <c r="H208" s="2"/>
      <c r="I208" s="1"/>
      <c r="J208" s="20"/>
    </row>
    <row r="209" spans="1:10" x14ac:dyDescent="0.25">
      <c r="A209" s="1"/>
      <c r="B209" s="1"/>
      <c r="C209" s="1"/>
      <c r="D209" s="1"/>
      <c r="E209" s="1"/>
      <c r="F209" s="1"/>
      <c r="G209" s="1"/>
      <c r="H209" s="2"/>
      <c r="I209" s="1"/>
      <c r="J209" s="20"/>
    </row>
    <row r="210" spans="1:10" x14ac:dyDescent="0.25">
      <c r="A210" s="1"/>
      <c r="B210" s="1"/>
      <c r="C210" s="1"/>
      <c r="D210" s="1"/>
      <c r="E210" s="1"/>
      <c r="F210" s="1"/>
      <c r="G210" s="1"/>
      <c r="H210" s="2"/>
      <c r="I210" s="1"/>
      <c r="J210" s="20"/>
    </row>
    <row r="211" spans="1:10" x14ac:dyDescent="0.25">
      <c r="A211" s="1"/>
      <c r="B211" s="1"/>
      <c r="C211" s="1"/>
      <c r="D211" s="1"/>
      <c r="E211" s="1"/>
      <c r="F211" s="1"/>
      <c r="G211" s="1"/>
      <c r="H211" s="2"/>
      <c r="I211" s="1"/>
      <c r="J211" s="20"/>
    </row>
    <row r="212" spans="1:10" x14ac:dyDescent="0.25">
      <c r="A212" s="1"/>
      <c r="B212" s="1"/>
      <c r="C212" s="1"/>
      <c r="D212" s="1"/>
      <c r="E212" s="1"/>
      <c r="F212" s="1"/>
      <c r="G212" s="1"/>
      <c r="H212" s="2"/>
      <c r="I212" s="1"/>
      <c r="J212" s="20"/>
    </row>
    <row r="213" spans="1:10" x14ac:dyDescent="0.25">
      <c r="A213" s="1"/>
      <c r="B213" s="1"/>
      <c r="C213" s="1"/>
      <c r="D213" s="1"/>
      <c r="E213" s="1"/>
      <c r="F213" s="1"/>
      <c r="G213" s="1"/>
      <c r="H213" s="2"/>
      <c r="I213" s="1"/>
      <c r="J213" s="20"/>
    </row>
    <row r="214" spans="1:10" x14ac:dyDescent="0.25">
      <c r="A214" s="1"/>
      <c r="B214" s="1"/>
      <c r="C214" s="1"/>
      <c r="D214" s="1"/>
      <c r="E214" s="1"/>
      <c r="F214" s="1"/>
      <c r="G214" s="1"/>
      <c r="H214" s="2"/>
      <c r="I214" s="1"/>
      <c r="J214" s="20"/>
    </row>
    <row r="215" spans="1:10" x14ac:dyDescent="0.25">
      <c r="A215" s="1"/>
      <c r="B215" s="1"/>
      <c r="C215" s="1"/>
      <c r="D215" s="1"/>
      <c r="E215" s="1"/>
      <c r="F215" s="1"/>
      <c r="G215" s="1"/>
      <c r="H215" s="2"/>
      <c r="I215" s="1"/>
      <c r="J215" s="20"/>
    </row>
    <row r="216" spans="1:10" x14ac:dyDescent="0.25">
      <c r="A216" s="1"/>
      <c r="B216" s="1"/>
      <c r="C216" s="1"/>
      <c r="D216" s="1"/>
      <c r="E216" s="1"/>
      <c r="F216" s="1"/>
      <c r="G216" s="1"/>
      <c r="H216" s="2"/>
      <c r="I216" s="1"/>
      <c r="J216" s="20"/>
    </row>
    <row r="217" spans="1:10" x14ac:dyDescent="0.25">
      <c r="A217" s="1"/>
      <c r="B217" s="1"/>
      <c r="C217" s="1"/>
      <c r="D217" s="1"/>
      <c r="E217" s="1"/>
      <c r="F217" s="1"/>
      <c r="G217" s="1"/>
      <c r="H217" s="2"/>
      <c r="I217" s="1"/>
      <c r="J217" s="20"/>
    </row>
    <row r="218" spans="1:10" x14ac:dyDescent="0.25">
      <c r="A218" s="1"/>
      <c r="B218" s="1"/>
      <c r="C218" s="1"/>
      <c r="D218" s="1"/>
      <c r="E218" s="1"/>
      <c r="F218" s="1"/>
      <c r="G218" s="1"/>
      <c r="H218" s="2"/>
      <c r="I218" s="1"/>
      <c r="J218" s="20"/>
    </row>
    <row r="219" spans="1:10" x14ac:dyDescent="0.25">
      <c r="A219" s="1"/>
      <c r="B219" s="1"/>
      <c r="C219" s="1"/>
      <c r="D219" s="1"/>
      <c r="E219" s="1"/>
      <c r="F219" s="1"/>
      <c r="G219" s="1"/>
      <c r="H219" s="2"/>
      <c r="I219" s="1"/>
      <c r="J219" s="20"/>
    </row>
    <row r="220" spans="1:10" x14ac:dyDescent="0.25">
      <c r="A220" s="1"/>
      <c r="B220" s="1"/>
      <c r="C220" s="1"/>
      <c r="D220" s="1"/>
      <c r="E220" s="1"/>
      <c r="F220" s="1"/>
      <c r="G220" s="1"/>
      <c r="H220" s="2"/>
      <c r="I220" s="1"/>
      <c r="J220" s="20"/>
    </row>
    <row r="221" spans="1:10" x14ac:dyDescent="0.25">
      <c r="A221" s="1"/>
      <c r="B221" s="1"/>
      <c r="C221" s="1"/>
      <c r="D221" s="1"/>
      <c r="E221" s="1"/>
      <c r="F221" s="1"/>
      <c r="G221" s="1"/>
      <c r="H221" s="2"/>
      <c r="I221" s="1"/>
      <c r="J221" s="20"/>
    </row>
    <row r="222" spans="1:10" x14ac:dyDescent="0.25">
      <c r="A222" s="1"/>
      <c r="B222" s="1"/>
      <c r="C222" s="1"/>
      <c r="D222" s="1"/>
      <c r="E222" s="1"/>
      <c r="F222" s="1"/>
      <c r="G222" s="1"/>
      <c r="H222" s="2"/>
      <c r="I222" s="1"/>
      <c r="J222" s="20"/>
    </row>
    <row r="223" spans="1:10" x14ac:dyDescent="0.25">
      <c r="A223" s="1"/>
      <c r="B223" s="1"/>
      <c r="C223" s="1"/>
      <c r="D223" s="1"/>
      <c r="E223" s="1"/>
      <c r="F223" s="1"/>
      <c r="G223" s="1"/>
      <c r="H223" s="2"/>
      <c r="I223" s="1"/>
      <c r="J223" s="20"/>
    </row>
    <row r="224" spans="1:10" x14ac:dyDescent="0.25">
      <c r="A224" s="1"/>
      <c r="B224" s="1"/>
      <c r="C224" s="1"/>
      <c r="D224" s="1"/>
      <c r="E224" s="1"/>
      <c r="F224" s="1"/>
      <c r="G224" s="1"/>
      <c r="H224" s="2"/>
      <c r="I224" s="1"/>
      <c r="J224" s="20"/>
    </row>
    <row r="225" spans="1:10" x14ac:dyDescent="0.25">
      <c r="A225" s="1"/>
      <c r="B225" s="1"/>
      <c r="C225" s="1"/>
      <c r="D225" s="1"/>
      <c r="E225" s="1"/>
      <c r="F225" s="1"/>
      <c r="G225" s="1"/>
      <c r="H225" s="2"/>
      <c r="I225" s="1"/>
      <c r="J225" s="20"/>
    </row>
    <row r="226" spans="1:10" x14ac:dyDescent="0.25">
      <c r="A226" s="1"/>
      <c r="B226" s="1"/>
      <c r="C226" s="1"/>
      <c r="D226" s="1"/>
      <c r="E226" s="1"/>
      <c r="F226" s="1"/>
      <c r="G226" s="1"/>
      <c r="H226" s="2"/>
      <c r="I226" s="1"/>
      <c r="J226" s="20"/>
    </row>
    <row r="227" spans="1:10" x14ac:dyDescent="0.25">
      <c r="A227" s="1"/>
      <c r="B227" s="1"/>
      <c r="C227" s="1"/>
      <c r="D227" s="1"/>
      <c r="E227" s="1"/>
      <c r="F227" s="1"/>
      <c r="G227" s="1"/>
      <c r="H227" s="2"/>
      <c r="I227" s="1"/>
      <c r="J227" s="20"/>
    </row>
    <row r="228" spans="1:10" x14ac:dyDescent="0.25">
      <c r="A228" s="1"/>
      <c r="B228" s="1"/>
      <c r="C228" s="1"/>
      <c r="D228" s="1"/>
      <c r="E228" s="1"/>
      <c r="F228" s="1"/>
      <c r="G228" s="1"/>
      <c r="H228" s="2"/>
      <c r="I228" s="1"/>
      <c r="J228" s="20"/>
    </row>
    <row r="229" spans="1:10" x14ac:dyDescent="0.25">
      <c r="A229" s="1"/>
      <c r="B229" s="1"/>
      <c r="C229" s="1"/>
      <c r="D229" s="1"/>
      <c r="E229" s="1"/>
      <c r="F229" s="1"/>
      <c r="G229" s="1"/>
      <c r="H229" s="2"/>
      <c r="I229" s="1"/>
      <c r="J229" s="20"/>
    </row>
    <row r="230" spans="1:10" x14ac:dyDescent="0.25">
      <c r="A230" s="1"/>
      <c r="B230" s="1"/>
      <c r="C230" s="1"/>
      <c r="D230" s="1"/>
      <c r="E230" s="1"/>
      <c r="F230" s="1"/>
      <c r="G230" s="1"/>
      <c r="H230" s="2"/>
      <c r="I230" s="1"/>
      <c r="J230" s="20"/>
    </row>
    <row r="231" spans="1:10" x14ac:dyDescent="0.25">
      <c r="A231" s="1"/>
      <c r="B231" s="1"/>
      <c r="C231" s="1"/>
      <c r="D231" s="1"/>
      <c r="E231" s="1"/>
      <c r="F231" s="1"/>
      <c r="G231" s="1"/>
      <c r="H231" s="2"/>
      <c r="I231" s="1"/>
      <c r="J231" s="20"/>
    </row>
    <row r="232" spans="1:10" x14ac:dyDescent="0.25">
      <c r="A232" s="1"/>
      <c r="B232" s="1"/>
      <c r="C232" s="1"/>
      <c r="D232" s="1"/>
      <c r="E232" s="1"/>
      <c r="F232" s="1"/>
      <c r="G232" s="1"/>
      <c r="H232" s="2"/>
      <c r="I232" s="1"/>
      <c r="J232" s="20"/>
    </row>
    <row r="233" spans="1:10" x14ac:dyDescent="0.25">
      <c r="A233" s="1"/>
      <c r="B233" s="1"/>
      <c r="C233" s="1"/>
      <c r="D233" s="1"/>
      <c r="E233" s="1"/>
      <c r="F233" s="1"/>
      <c r="G233" s="1"/>
      <c r="H233" s="2"/>
      <c r="I233" s="1"/>
      <c r="J233" s="20"/>
    </row>
    <row r="234" spans="1:10" x14ac:dyDescent="0.25">
      <c r="A234" s="1"/>
      <c r="B234" s="1"/>
      <c r="C234" s="1"/>
      <c r="D234" s="1"/>
      <c r="E234" s="1"/>
      <c r="F234" s="1"/>
      <c r="G234" s="1"/>
      <c r="H234" s="2"/>
      <c r="I234" s="1"/>
      <c r="J234" s="20"/>
    </row>
    <row r="235" spans="1:10" x14ac:dyDescent="0.25">
      <c r="A235" s="1"/>
      <c r="B235" s="1"/>
      <c r="C235" s="1"/>
      <c r="D235" s="1"/>
      <c r="E235" s="1"/>
      <c r="F235" s="1"/>
      <c r="G235" s="1"/>
      <c r="H235" s="2"/>
      <c r="I235" s="1"/>
      <c r="J235" s="20"/>
    </row>
    <row r="236" spans="1:10" x14ac:dyDescent="0.25">
      <c r="A236" s="1"/>
      <c r="B236" s="1"/>
      <c r="C236" s="1"/>
      <c r="D236" s="1"/>
      <c r="E236" s="1"/>
      <c r="F236" s="1"/>
      <c r="G236" s="1"/>
      <c r="H236" s="2"/>
      <c r="I236" s="1"/>
      <c r="J236" s="20"/>
    </row>
    <row r="237" spans="1:10" x14ac:dyDescent="0.25">
      <c r="A237" s="1"/>
      <c r="B237" s="1"/>
      <c r="C237" s="1"/>
      <c r="D237" s="1"/>
      <c r="E237" s="1"/>
      <c r="F237" s="1"/>
      <c r="G237" s="1"/>
      <c r="H237" s="2"/>
      <c r="I237" s="1"/>
      <c r="J237" s="20"/>
    </row>
    <row r="238" spans="1:10" x14ac:dyDescent="0.25">
      <c r="A238" s="1"/>
      <c r="B238" s="1"/>
      <c r="C238" s="1"/>
      <c r="D238" s="1"/>
      <c r="E238" s="1"/>
      <c r="F238" s="1"/>
      <c r="G238" s="1"/>
      <c r="H238" s="2"/>
      <c r="I238" s="1"/>
      <c r="J238" s="20"/>
    </row>
    <row r="239" spans="1:10" x14ac:dyDescent="0.25">
      <c r="A239" s="1"/>
      <c r="B239" s="1"/>
      <c r="C239" s="1"/>
      <c r="D239" s="1"/>
      <c r="E239" s="1"/>
      <c r="F239" s="1"/>
      <c r="G239" s="1"/>
      <c r="H239" s="2"/>
      <c r="I239" s="1"/>
      <c r="J239" s="20"/>
    </row>
    <row r="240" spans="1:10" x14ac:dyDescent="0.25">
      <c r="A240" s="1"/>
      <c r="B240" s="1"/>
      <c r="C240" s="1"/>
      <c r="D240" s="1"/>
      <c r="E240" s="1"/>
      <c r="F240" s="1"/>
      <c r="G240" s="1"/>
      <c r="H240" s="2"/>
      <c r="I240" s="1"/>
      <c r="J240" s="20"/>
    </row>
    <row r="241" spans="1:10" x14ac:dyDescent="0.25">
      <c r="A241" s="1"/>
      <c r="B241" s="1"/>
      <c r="C241" s="1"/>
      <c r="D241" s="1"/>
      <c r="E241" s="1"/>
      <c r="F241" s="1"/>
      <c r="G241" s="1"/>
      <c r="H241" s="2"/>
      <c r="I241" s="1"/>
      <c r="J241" s="20"/>
    </row>
  </sheetData>
  <sheetProtection sheet="1" objects="1" scenarios="1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390"/>
  <sheetViews>
    <sheetView topLeftCell="A360" workbookViewId="0">
      <selection activeCell="A390" sqref="A390"/>
    </sheetView>
  </sheetViews>
  <sheetFormatPr defaultRowHeight="15.75" x14ac:dyDescent="0.25"/>
  <cols>
    <col min="1" max="1" width="9" style="17" bestFit="1" customWidth="1"/>
    <col min="2" max="2" width="42.85546875" style="17" bestFit="1" customWidth="1"/>
    <col min="3" max="3" width="26" style="17" bestFit="1" customWidth="1"/>
    <col min="4" max="4" width="24.42578125" style="14" bestFit="1" customWidth="1"/>
    <col min="5" max="5" width="18.5703125" style="14" bestFit="1" customWidth="1"/>
    <col min="6" max="6" width="24.140625" style="14" bestFit="1" customWidth="1"/>
    <col min="7" max="7" width="15.42578125" style="14" bestFit="1" customWidth="1"/>
    <col min="8" max="8" width="12.7109375" style="14" bestFit="1" customWidth="1"/>
    <col min="9" max="16384" width="9.140625" style="14"/>
  </cols>
  <sheetData>
    <row r="1" spans="1:8" x14ac:dyDescent="0.25">
      <c r="A1" s="12" t="s">
        <v>323</v>
      </c>
      <c r="B1" s="13" t="s">
        <v>7</v>
      </c>
      <c r="C1" s="13" t="s">
        <v>60</v>
      </c>
      <c r="D1" s="13" t="s">
        <v>216</v>
      </c>
      <c r="E1" s="13" t="s">
        <v>219</v>
      </c>
      <c r="F1" s="13" t="s">
        <v>263</v>
      </c>
      <c r="G1" s="13" t="s">
        <v>521</v>
      </c>
      <c r="H1" s="13" t="s">
        <v>522</v>
      </c>
    </row>
    <row r="2" spans="1:8" x14ac:dyDescent="0.25">
      <c r="A2" s="15">
        <v>1</v>
      </c>
      <c r="B2" s="24" t="s">
        <v>460</v>
      </c>
      <c r="C2" s="15" t="s">
        <v>64</v>
      </c>
      <c r="D2" s="16" t="s">
        <v>217</v>
      </c>
      <c r="E2" s="25"/>
      <c r="F2" s="25"/>
      <c r="G2" s="25"/>
      <c r="H2" s="25"/>
    </row>
    <row r="3" spans="1:8" x14ac:dyDescent="0.25">
      <c r="A3" s="15">
        <f>A2+1</f>
        <v>2</v>
      </c>
      <c r="B3" s="15" t="s">
        <v>44</v>
      </c>
      <c r="C3" s="15" t="s">
        <v>64</v>
      </c>
      <c r="D3" s="15" t="s">
        <v>217</v>
      </c>
      <c r="E3" s="15"/>
      <c r="F3" s="24"/>
      <c r="G3" s="24"/>
      <c r="H3" s="24"/>
    </row>
    <row r="4" spans="1:8" x14ac:dyDescent="0.25">
      <c r="A4" s="15">
        <f t="shared" ref="A4:A67" si="0">A3+1</f>
        <v>3</v>
      </c>
      <c r="B4" s="15" t="s">
        <v>90</v>
      </c>
      <c r="C4" s="15" t="s">
        <v>64</v>
      </c>
      <c r="D4" s="15" t="s">
        <v>217</v>
      </c>
      <c r="E4" s="15"/>
      <c r="F4" s="24"/>
      <c r="G4" s="24"/>
      <c r="H4" s="24"/>
    </row>
    <row r="5" spans="1:8" x14ac:dyDescent="0.25">
      <c r="A5" s="15">
        <f t="shared" si="0"/>
        <v>4</v>
      </c>
      <c r="B5" s="15" t="s">
        <v>91</v>
      </c>
      <c r="C5" s="15" t="s">
        <v>186</v>
      </c>
      <c r="D5" s="15" t="s">
        <v>217</v>
      </c>
      <c r="E5" s="15"/>
      <c r="F5" s="24"/>
      <c r="G5" s="24"/>
      <c r="H5" s="24"/>
    </row>
    <row r="6" spans="1:8" x14ac:dyDescent="0.25">
      <c r="A6" s="15">
        <f t="shared" si="0"/>
        <v>5</v>
      </c>
      <c r="B6" s="15" t="s">
        <v>92</v>
      </c>
      <c r="C6" s="15" t="s">
        <v>66</v>
      </c>
      <c r="D6" s="15" t="s">
        <v>218</v>
      </c>
      <c r="E6" s="15"/>
      <c r="F6" s="24" t="s">
        <v>264</v>
      </c>
      <c r="G6" s="24"/>
      <c r="H6" s="24"/>
    </row>
    <row r="7" spans="1:8" x14ac:dyDescent="0.25">
      <c r="A7" s="15">
        <f t="shared" si="0"/>
        <v>6</v>
      </c>
      <c r="B7" s="15" t="s">
        <v>33</v>
      </c>
      <c r="C7" s="15" t="s">
        <v>83</v>
      </c>
      <c r="D7" s="15" t="s">
        <v>218</v>
      </c>
      <c r="E7" s="15"/>
      <c r="F7" s="24"/>
      <c r="G7" s="24"/>
      <c r="H7" s="24"/>
    </row>
    <row r="8" spans="1:8" x14ac:dyDescent="0.25">
      <c r="A8" s="15">
        <f t="shared" si="0"/>
        <v>7</v>
      </c>
      <c r="B8" s="15" t="s">
        <v>431</v>
      </c>
      <c r="C8" s="15" t="s">
        <v>66</v>
      </c>
      <c r="D8" s="16" t="s">
        <v>218</v>
      </c>
      <c r="E8" s="25"/>
      <c r="F8" s="25" t="s">
        <v>266</v>
      </c>
      <c r="G8" s="25"/>
      <c r="H8" s="25"/>
    </row>
    <row r="9" spans="1:8" x14ac:dyDescent="0.25">
      <c r="A9" s="15">
        <f t="shared" si="0"/>
        <v>8</v>
      </c>
      <c r="B9" s="15" t="s">
        <v>432</v>
      </c>
      <c r="C9" s="15" t="s">
        <v>212</v>
      </c>
      <c r="D9" s="16" t="s">
        <v>217</v>
      </c>
      <c r="E9" s="25"/>
      <c r="F9" s="25" t="s">
        <v>303</v>
      </c>
      <c r="G9" s="25"/>
      <c r="H9" s="25"/>
    </row>
    <row r="10" spans="1:8" x14ac:dyDescent="0.25">
      <c r="A10" s="15">
        <f t="shared" si="0"/>
        <v>9</v>
      </c>
      <c r="B10" s="25" t="s">
        <v>506</v>
      </c>
      <c r="C10" s="15" t="s">
        <v>80</v>
      </c>
      <c r="D10" s="25" t="s">
        <v>218</v>
      </c>
      <c r="E10" s="25"/>
      <c r="F10" s="25"/>
      <c r="G10" s="25"/>
      <c r="H10" s="25"/>
    </row>
    <row r="11" spans="1:8" x14ac:dyDescent="0.25">
      <c r="A11" s="15">
        <f t="shared" si="0"/>
        <v>10</v>
      </c>
      <c r="B11" s="15" t="s">
        <v>93</v>
      </c>
      <c r="C11" s="15" t="s">
        <v>63</v>
      </c>
      <c r="D11" s="15" t="s">
        <v>218</v>
      </c>
      <c r="E11" s="15" t="s">
        <v>235</v>
      </c>
      <c r="F11" s="24" t="s">
        <v>303</v>
      </c>
      <c r="G11" s="24"/>
      <c r="H11" s="24"/>
    </row>
    <row r="12" spans="1:8" x14ac:dyDescent="0.25">
      <c r="A12" s="15">
        <f t="shared" si="0"/>
        <v>11</v>
      </c>
      <c r="B12" s="15" t="s">
        <v>559</v>
      </c>
      <c r="C12" s="15" t="s">
        <v>294</v>
      </c>
      <c r="D12" s="25" t="s">
        <v>218</v>
      </c>
      <c r="E12" s="25"/>
      <c r="F12" s="25"/>
      <c r="G12" s="25"/>
      <c r="H12" s="25"/>
    </row>
    <row r="13" spans="1:8" x14ac:dyDescent="0.25">
      <c r="A13" s="15">
        <f t="shared" si="0"/>
        <v>12</v>
      </c>
      <c r="B13" s="24" t="s">
        <v>314</v>
      </c>
      <c r="C13" s="15" t="s">
        <v>62</v>
      </c>
      <c r="D13" s="16" t="s">
        <v>218</v>
      </c>
      <c r="E13" s="24"/>
      <c r="F13" s="24"/>
      <c r="G13" s="24"/>
      <c r="H13" s="24"/>
    </row>
    <row r="14" spans="1:8" x14ac:dyDescent="0.25">
      <c r="A14" s="15">
        <f t="shared" si="0"/>
        <v>13</v>
      </c>
      <c r="B14" s="24" t="s">
        <v>497</v>
      </c>
      <c r="C14" s="15" t="s">
        <v>212</v>
      </c>
      <c r="D14" s="25" t="s">
        <v>217</v>
      </c>
      <c r="E14" s="25"/>
      <c r="F14" s="25"/>
      <c r="G14" s="25"/>
      <c r="H14" s="25"/>
    </row>
    <row r="15" spans="1:8" x14ac:dyDescent="0.25">
      <c r="A15" s="15">
        <f t="shared" si="0"/>
        <v>14</v>
      </c>
      <c r="B15" s="26" t="s">
        <v>483</v>
      </c>
      <c r="C15" s="15" t="s">
        <v>80</v>
      </c>
      <c r="D15" s="25" t="s">
        <v>218</v>
      </c>
      <c r="E15" s="25"/>
      <c r="F15" s="25"/>
      <c r="G15" s="25"/>
      <c r="H15" s="25"/>
    </row>
    <row r="16" spans="1:8" x14ac:dyDescent="0.25">
      <c r="A16" s="15">
        <f t="shared" si="0"/>
        <v>15</v>
      </c>
      <c r="B16" s="15" t="s">
        <v>415</v>
      </c>
      <c r="C16" s="15" t="s">
        <v>416</v>
      </c>
      <c r="D16" s="16" t="s">
        <v>218</v>
      </c>
      <c r="E16" s="25"/>
      <c r="F16" s="25"/>
      <c r="G16" s="25"/>
      <c r="H16" s="25"/>
    </row>
    <row r="17" spans="1:8" x14ac:dyDescent="0.25">
      <c r="A17" s="15">
        <f t="shared" si="0"/>
        <v>16</v>
      </c>
      <c r="B17" s="15" t="s">
        <v>1132</v>
      </c>
      <c r="C17" s="15" t="s">
        <v>365</v>
      </c>
      <c r="D17" s="25" t="s">
        <v>218</v>
      </c>
      <c r="E17" s="25"/>
      <c r="F17" s="25"/>
      <c r="G17" s="25"/>
      <c r="H17" s="25"/>
    </row>
    <row r="18" spans="1:8" x14ac:dyDescent="0.25">
      <c r="A18" s="15">
        <f t="shared" si="0"/>
        <v>17</v>
      </c>
      <c r="B18" s="16" t="s">
        <v>298</v>
      </c>
      <c r="C18" s="15" t="s">
        <v>80</v>
      </c>
      <c r="D18" s="16" t="s">
        <v>218</v>
      </c>
      <c r="E18" s="16" t="s">
        <v>235</v>
      </c>
      <c r="F18" s="24" t="s">
        <v>303</v>
      </c>
      <c r="G18" s="24"/>
      <c r="H18" s="24"/>
    </row>
    <row r="19" spans="1:8" x14ac:dyDescent="0.25">
      <c r="A19" s="15">
        <f t="shared" si="0"/>
        <v>18</v>
      </c>
      <c r="B19" s="15" t="s">
        <v>94</v>
      </c>
      <c r="C19" s="15" t="s">
        <v>64</v>
      </c>
      <c r="D19" s="15" t="s">
        <v>217</v>
      </c>
      <c r="E19" s="15" t="s">
        <v>229</v>
      </c>
      <c r="F19" s="24" t="s">
        <v>303</v>
      </c>
      <c r="G19" s="24"/>
      <c r="H19" s="24"/>
    </row>
    <row r="20" spans="1:8" x14ac:dyDescent="0.25">
      <c r="A20" s="15">
        <f t="shared" si="0"/>
        <v>19</v>
      </c>
      <c r="B20" s="15" t="s">
        <v>382</v>
      </c>
      <c r="C20" s="15" t="s">
        <v>383</v>
      </c>
      <c r="D20" s="16" t="s">
        <v>218</v>
      </c>
      <c r="E20" s="25"/>
      <c r="F20" s="25"/>
      <c r="G20" s="25"/>
      <c r="H20" s="25"/>
    </row>
    <row r="21" spans="1:8" x14ac:dyDescent="0.25">
      <c r="A21" s="15">
        <f t="shared" si="0"/>
        <v>20</v>
      </c>
      <c r="B21" s="16" t="s">
        <v>552</v>
      </c>
      <c r="C21" s="15" t="s">
        <v>198</v>
      </c>
      <c r="D21" s="16" t="s">
        <v>218</v>
      </c>
      <c r="E21" s="16"/>
      <c r="F21" s="24"/>
      <c r="G21" s="24"/>
      <c r="H21" s="24"/>
    </row>
    <row r="22" spans="1:8" x14ac:dyDescent="0.25">
      <c r="A22" s="15">
        <f t="shared" si="0"/>
        <v>21</v>
      </c>
      <c r="B22" s="25" t="s">
        <v>469</v>
      </c>
      <c r="C22" s="15" t="s">
        <v>361</v>
      </c>
      <c r="D22" s="25" t="s">
        <v>218</v>
      </c>
      <c r="E22" s="25"/>
      <c r="F22" s="25"/>
      <c r="G22" s="25"/>
      <c r="H22" s="25"/>
    </row>
    <row r="23" spans="1:8" x14ac:dyDescent="0.25">
      <c r="A23" s="15">
        <f t="shared" si="0"/>
        <v>22</v>
      </c>
      <c r="B23" s="15" t="s">
        <v>234</v>
      </c>
      <c r="C23" s="15" t="s">
        <v>63</v>
      </c>
      <c r="D23" s="15" t="s">
        <v>218</v>
      </c>
      <c r="E23" s="15" t="s">
        <v>227</v>
      </c>
      <c r="F23" s="24" t="s">
        <v>264</v>
      </c>
      <c r="G23" s="24"/>
      <c r="H23" s="24"/>
    </row>
    <row r="24" spans="1:8" x14ac:dyDescent="0.25">
      <c r="A24" s="15">
        <f t="shared" si="0"/>
        <v>23</v>
      </c>
      <c r="B24" s="15" t="s">
        <v>95</v>
      </c>
      <c r="C24" s="15" t="s">
        <v>66</v>
      </c>
      <c r="D24" s="15" t="s">
        <v>218</v>
      </c>
      <c r="E24" s="15"/>
      <c r="F24" s="24" t="s">
        <v>264</v>
      </c>
      <c r="G24" s="24"/>
      <c r="H24" s="24"/>
    </row>
    <row r="25" spans="1:8" x14ac:dyDescent="0.25">
      <c r="A25" s="15">
        <f t="shared" si="0"/>
        <v>24</v>
      </c>
      <c r="B25" s="24" t="s">
        <v>461</v>
      </c>
      <c r="C25" s="15" t="s">
        <v>468</v>
      </c>
      <c r="D25" s="16" t="s">
        <v>218</v>
      </c>
      <c r="E25" s="25"/>
      <c r="F25" s="25"/>
      <c r="G25" s="25"/>
      <c r="H25" s="25"/>
    </row>
    <row r="26" spans="1:8" x14ac:dyDescent="0.25">
      <c r="A26" s="15">
        <f t="shared" si="0"/>
        <v>25</v>
      </c>
      <c r="B26" s="15" t="s">
        <v>448</v>
      </c>
      <c r="C26" s="15" t="s">
        <v>67</v>
      </c>
      <c r="D26" s="16" t="s">
        <v>218</v>
      </c>
      <c r="E26" s="25"/>
      <c r="F26" s="25"/>
      <c r="G26" s="25"/>
      <c r="H26" s="25"/>
    </row>
    <row r="27" spans="1:8" x14ac:dyDescent="0.25">
      <c r="A27" s="15">
        <f t="shared" si="0"/>
        <v>26</v>
      </c>
      <c r="B27" s="15" t="s">
        <v>376</v>
      </c>
      <c r="C27" s="15" t="s">
        <v>69</v>
      </c>
      <c r="D27" s="16" t="s">
        <v>217</v>
      </c>
      <c r="E27" s="25"/>
      <c r="F27" s="25"/>
      <c r="G27" s="25"/>
      <c r="H27" s="25"/>
    </row>
    <row r="28" spans="1:8" x14ac:dyDescent="0.25">
      <c r="A28" s="15">
        <f t="shared" si="0"/>
        <v>27</v>
      </c>
      <c r="B28" s="15" t="s">
        <v>443</v>
      </c>
      <c r="C28" s="15" t="s">
        <v>444</v>
      </c>
      <c r="D28" s="16" t="s">
        <v>218</v>
      </c>
      <c r="E28" s="25"/>
      <c r="F28" s="25"/>
      <c r="G28" s="25"/>
      <c r="H28" s="25"/>
    </row>
    <row r="29" spans="1:8" x14ac:dyDescent="0.25">
      <c r="A29" s="15">
        <f t="shared" si="0"/>
        <v>28</v>
      </c>
      <c r="B29" s="15" t="s">
        <v>96</v>
      </c>
      <c r="C29" s="15" t="s">
        <v>72</v>
      </c>
      <c r="D29" s="15" t="s">
        <v>217</v>
      </c>
      <c r="E29" s="15" t="s">
        <v>229</v>
      </c>
      <c r="F29" s="24"/>
      <c r="G29" s="24"/>
      <c r="H29" s="24"/>
    </row>
    <row r="30" spans="1:8" x14ac:dyDescent="0.25">
      <c r="A30" s="15">
        <f t="shared" si="0"/>
        <v>29</v>
      </c>
      <c r="B30" s="15" t="s">
        <v>445</v>
      </c>
      <c r="C30" s="15" t="s">
        <v>212</v>
      </c>
      <c r="D30" s="16" t="s">
        <v>217</v>
      </c>
      <c r="E30" s="25"/>
      <c r="F30" s="25"/>
      <c r="G30" s="25"/>
      <c r="H30" s="25"/>
    </row>
    <row r="31" spans="1:8" x14ac:dyDescent="0.25">
      <c r="A31" s="15">
        <f t="shared" si="0"/>
        <v>30</v>
      </c>
      <c r="B31" s="15" t="s">
        <v>364</v>
      </c>
      <c r="C31" s="15" t="s">
        <v>365</v>
      </c>
      <c r="D31" s="16" t="s">
        <v>218</v>
      </c>
      <c r="E31" s="25"/>
      <c r="F31" s="25"/>
      <c r="G31" s="25"/>
      <c r="H31" s="25"/>
    </row>
    <row r="32" spans="1:8" x14ac:dyDescent="0.25">
      <c r="A32" s="15">
        <f t="shared" si="0"/>
        <v>31</v>
      </c>
      <c r="B32" s="16" t="s">
        <v>290</v>
      </c>
      <c r="C32" s="15" t="s">
        <v>291</v>
      </c>
      <c r="D32" s="16" t="s">
        <v>218</v>
      </c>
      <c r="E32" s="16"/>
      <c r="F32" s="24"/>
      <c r="G32" s="24"/>
      <c r="H32" s="24"/>
    </row>
    <row r="33" spans="1:8" x14ac:dyDescent="0.25">
      <c r="A33" s="15">
        <f t="shared" si="0"/>
        <v>32</v>
      </c>
      <c r="B33" s="15" t="s">
        <v>267</v>
      </c>
      <c r="C33" s="15" t="s">
        <v>67</v>
      </c>
      <c r="D33" s="16" t="s">
        <v>218</v>
      </c>
      <c r="E33" s="25"/>
      <c r="F33" s="25"/>
      <c r="G33" s="25"/>
      <c r="H33" s="25"/>
    </row>
    <row r="34" spans="1:8" x14ac:dyDescent="0.25">
      <c r="A34" s="15">
        <f t="shared" si="0"/>
        <v>33</v>
      </c>
      <c r="B34" s="15" t="s">
        <v>356</v>
      </c>
      <c r="C34" s="15" t="s">
        <v>357</v>
      </c>
      <c r="D34" s="16" t="s">
        <v>218</v>
      </c>
      <c r="E34" s="24"/>
      <c r="F34" s="24"/>
      <c r="G34" s="24"/>
      <c r="H34" s="24"/>
    </row>
    <row r="35" spans="1:8" x14ac:dyDescent="0.25">
      <c r="A35" s="15">
        <f t="shared" si="0"/>
        <v>34</v>
      </c>
      <c r="B35" s="15" t="s">
        <v>491</v>
      </c>
      <c r="C35" s="15" t="s">
        <v>71</v>
      </c>
      <c r="D35" s="25" t="s">
        <v>218</v>
      </c>
      <c r="E35" s="25"/>
      <c r="F35" s="25"/>
      <c r="G35" s="25"/>
      <c r="H35" s="25"/>
    </row>
    <row r="36" spans="1:8" x14ac:dyDescent="0.25">
      <c r="A36" s="15">
        <f t="shared" si="0"/>
        <v>35</v>
      </c>
      <c r="B36" s="15" t="s">
        <v>395</v>
      </c>
      <c r="C36" s="15" t="s">
        <v>396</v>
      </c>
      <c r="D36" s="16" t="s">
        <v>217</v>
      </c>
      <c r="E36" s="25"/>
      <c r="F36" s="25"/>
      <c r="G36" s="25"/>
      <c r="H36" s="25"/>
    </row>
    <row r="37" spans="1:8" x14ac:dyDescent="0.25">
      <c r="A37" s="15">
        <f t="shared" si="0"/>
        <v>36</v>
      </c>
      <c r="B37" s="15" t="s">
        <v>247</v>
      </c>
      <c r="C37" s="15" t="s">
        <v>71</v>
      </c>
      <c r="D37" s="15" t="s">
        <v>218</v>
      </c>
      <c r="E37" s="24"/>
      <c r="F37" s="24"/>
      <c r="G37" s="24"/>
      <c r="H37" s="24"/>
    </row>
    <row r="38" spans="1:8" x14ac:dyDescent="0.25">
      <c r="A38" s="15">
        <f t="shared" si="0"/>
        <v>37</v>
      </c>
      <c r="B38" s="15" t="s">
        <v>233</v>
      </c>
      <c r="C38" s="15" t="s">
        <v>62</v>
      </c>
      <c r="D38" s="15" t="s">
        <v>218</v>
      </c>
      <c r="E38" s="15" t="s">
        <v>227</v>
      </c>
      <c r="F38" s="24" t="s">
        <v>303</v>
      </c>
      <c r="G38" s="24"/>
      <c r="H38" s="24"/>
    </row>
    <row r="39" spans="1:8" x14ac:dyDescent="0.25">
      <c r="A39" s="15">
        <f t="shared" si="0"/>
        <v>38</v>
      </c>
      <c r="B39" s="24" t="s">
        <v>475</v>
      </c>
      <c r="C39" s="15" t="s">
        <v>257</v>
      </c>
      <c r="D39" s="25" t="s">
        <v>257</v>
      </c>
      <c r="E39" s="25"/>
      <c r="F39" s="25"/>
      <c r="G39" s="25"/>
      <c r="H39" s="25"/>
    </row>
    <row r="40" spans="1:8" x14ac:dyDescent="0.25">
      <c r="A40" s="15">
        <f t="shared" si="0"/>
        <v>39</v>
      </c>
      <c r="B40" s="15" t="s">
        <v>51</v>
      </c>
      <c r="C40" s="15" t="s">
        <v>67</v>
      </c>
      <c r="D40" s="15" t="s">
        <v>218</v>
      </c>
      <c r="E40" s="15" t="s">
        <v>227</v>
      </c>
      <c r="F40" s="24"/>
      <c r="G40" s="24"/>
      <c r="H40" s="24"/>
    </row>
    <row r="41" spans="1:8" x14ac:dyDescent="0.25">
      <c r="A41" s="15">
        <f t="shared" si="0"/>
        <v>40</v>
      </c>
      <c r="B41" s="15" t="s">
        <v>451</v>
      </c>
      <c r="C41" s="15" t="s">
        <v>62</v>
      </c>
      <c r="D41" s="16" t="s">
        <v>218</v>
      </c>
      <c r="E41" s="25"/>
      <c r="F41" s="25"/>
      <c r="G41" s="25"/>
      <c r="H41" s="25"/>
    </row>
    <row r="42" spans="1:8" x14ac:dyDescent="0.25">
      <c r="A42" s="15">
        <f t="shared" si="0"/>
        <v>41</v>
      </c>
      <c r="B42" s="24" t="s">
        <v>485</v>
      </c>
      <c r="C42" s="15" t="s">
        <v>365</v>
      </c>
      <c r="D42" s="25" t="s">
        <v>218</v>
      </c>
      <c r="E42" s="25"/>
      <c r="F42" s="25"/>
      <c r="G42" s="25"/>
      <c r="H42" s="25"/>
    </row>
    <row r="43" spans="1:8" x14ac:dyDescent="0.25">
      <c r="A43" s="15">
        <f t="shared" si="0"/>
        <v>42</v>
      </c>
      <c r="B43" s="15" t="s">
        <v>97</v>
      </c>
      <c r="C43" s="15" t="s">
        <v>63</v>
      </c>
      <c r="D43" s="15" t="s">
        <v>218</v>
      </c>
      <c r="E43" s="15"/>
      <c r="F43" s="24"/>
      <c r="G43" s="24"/>
      <c r="H43" s="24"/>
    </row>
    <row r="44" spans="1:8" x14ac:dyDescent="0.25">
      <c r="A44" s="15">
        <f t="shared" si="0"/>
        <v>43</v>
      </c>
      <c r="B44" s="15" t="s">
        <v>379</v>
      </c>
      <c r="C44" s="15" t="s">
        <v>365</v>
      </c>
      <c r="D44" s="16" t="s">
        <v>218</v>
      </c>
      <c r="E44" s="25"/>
      <c r="F44" s="25"/>
      <c r="G44" s="25"/>
      <c r="H44" s="25"/>
    </row>
    <row r="45" spans="1:8" x14ac:dyDescent="0.25">
      <c r="A45" s="15">
        <f t="shared" si="0"/>
        <v>44</v>
      </c>
      <c r="B45" s="15" t="s">
        <v>336</v>
      </c>
      <c r="C45" s="15" t="s">
        <v>67</v>
      </c>
      <c r="D45" s="15" t="s">
        <v>218</v>
      </c>
      <c r="E45" s="13" t="s">
        <v>339</v>
      </c>
      <c r="F45" s="15"/>
      <c r="G45" s="15"/>
      <c r="H45" s="15"/>
    </row>
    <row r="46" spans="1:8" x14ac:dyDescent="0.25">
      <c r="A46" s="15">
        <f t="shared" si="0"/>
        <v>45</v>
      </c>
      <c r="B46" s="16" t="s">
        <v>543</v>
      </c>
      <c r="C46" s="15" t="s">
        <v>63</v>
      </c>
      <c r="D46" s="16" t="s">
        <v>218</v>
      </c>
      <c r="E46" s="16"/>
      <c r="F46" s="24"/>
      <c r="G46" s="24"/>
      <c r="H46" s="24"/>
    </row>
    <row r="47" spans="1:8" x14ac:dyDescent="0.25">
      <c r="A47" s="15">
        <f t="shared" si="0"/>
        <v>46</v>
      </c>
      <c r="B47" s="15" t="s">
        <v>334</v>
      </c>
      <c r="C47" s="15" t="s">
        <v>335</v>
      </c>
      <c r="D47" s="16" t="s">
        <v>218</v>
      </c>
      <c r="E47" s="24"/>
      <c r="F47" s="24"/>
      <c r="G47" s="24"/>
      <c r="H47" s="24"/>
    </row>
    <row r="48" spans="1:8" x14ac:dyDescent="0.25">
      <c r="A48" s="15">
        <f t="shared" si="0"/>
        <v>47</v>
      </c>
      <c r="B48" s="15" t="s">
        <v>487</v>
      </c>
      <c r="C48" s="15" t="s">
        <v>212</v>
      </c>
      <c r="D48" s="25" t="s">
        <v>217</v>
      </c>
      <c r="E48" s="25"/>
      <c r="F48" s="25"/>
      <c r="G48" s="25"/>
      <c r="H48" s="25"/>
    </row>
    <row r="49" spans="1:8" x14ac:dyDescent="0.25">
      <c r="A49" s="15">
        <f t="shared" si="0"/>
        <v>48</v>
      </c>
      <c r="B49" s="15" t="s">
        <v>355</v>
      </c>
      <c r="C49" s="15" t="s">
        <v>76</v>
      </c>
      <c r="D49" s="16" t="s">
        <v>218</v>
      </c>
      <c r="E49" s="24"/>
      <c r="F49" s="24"/>
      <c r="G49" s="24"/>
      <c r="H49" s="24"/>
    </row>
    <row r="50" spans="1:8" x14ac:dyDescent="0.25">
      <c r="A50" s="15">
        <f t="shared" si="0"/>
        <v>49</v>
      </c>
      <c r="B50" s="15" t="s">
        <v>352</v>
      </c>
      <c r="C50" s="15" t="s">
        <v>212</v>
      </c>
      <c r="D50" s="16" t="s">
        <v>217</v>
      </c>
      <c r="E50" s="24" t="s">
        <v>229</v>
      </c>
      <c r="F50" s="24"/>
      <c r="G50" s="24"/>
      <c r="H50" s="24"/>
    </row>
    <row r="51" spans="1:8" x14ac:dyDescent="0.25">
      <c r="A51" s="15">
        <f t="shared" si="0"/>
        <v>50</v>
      </c>
      <c r="B51" s="15" t="s">
        <v>98</v>
      </c>
      <c r="C51" s="15" t="s">
        <v>64</v>
      </c>
      <c r="D51" s="15" t="s">
        <v>217</v>
      </c>
      <c r="E51" s="15"/>
      <c r="F51" s="24" t="s">
        <v>264</v>
      </c>
      <c r="G51" s="24"/>
      <c r="H51" s="24"/>
    </row>
    <row r="52" spans="1:8" x14ac:dyDescent="0.25">
      <c r="A52" s="15">
        <f t="shared" si="0"/>
        <v>51</v>
      </c>
      <c r="B52" s="15" t="s">
        <v>32</v>
      </c>
      <c r="C52" s="15" t="s">
        <v>67</v>
      </c>
      <c r="D52" s="15" t="s">
        <v>218</v>
      </c>
      <c r="E52" s="15" t="s">
        <v>231</v>
      </c>
      <c r="F52" s="24" t="s">
        <v>264</v>
      </c>
      <c r="G52" s="24"/>
      <c r="H52" s="24"/>
    </row>
    <row r="53" spans="1:8" x14ac:dyDescent="0.25">
      <c r="A53" s="15">
        <f t="shared" si="0"/>
        <v>52</v>
      </c>
      <c r="B53" s="15" t="s">
        <v>99</v>
      </c>
      <c r="C53" s="15" t="s">
        <v>61</v>
      </c>
      <c r="D53" s="15" t="s">
        <v>218</v>
      </c>
      <c r="E53" s="15"/>
      <c r="F53" s="24"/>
      <c r="G53" s="24"/>
      <c r="H53" s="24"/>
    </row>
    <row r="54" spans="1:8" x14ac:dyDescent="0.25">
      <c r="A54" s="15">
        <f t="shared" si="0"/>
        <v>53</v>
      </c>
      <c r="B54" s="16" t="s">
        <v>557</v>
      </c>
      <c r="C54" s="15" t="s">
        <v>558</v>
      </c>
      <c r="D54" s="16" t="s">
        <v>217</v>
      </c>
      <c r="E54" s="16"/>
      <c r="F54" s="24"/>
      <c r="G54" s="24"/>
      <c r="H54" s="24"/>
    </row>
    <row r="55" spans="1:8" x14ac:dyDescent="0.25">
      <c r="A55" s="15">
        <f t="shared" si="0"/>
        <v>54</v>
      </c>
      <c r="B55" s="15" t="s">
        <v>100</v>
      </c>
      <c r="C55" s="15" t="s">
        <v>62</v>
      </c>
      <c r="D55" s="15" t="s">
        <v>218</v>
      </c>
      <c r="E55" s="15"/>
      <c r="F55" s="24"/>
      <c r="G55" s="24"/>
      <c r="H55" s="24"/>
    </row>
    <row r="56" spans="1:8" x14ac:dyDescent="0.25">
      <c r="A56" s="15">
        <f t="shared" si="0"/>
        <v>55</v>
      </c>
      <c r="B56" s="15" t="s">
        <v>101</v>
      </c>
      <c r="C56" s="15" t="s">
        <v>73</v>
      </c>
      <c r="D56" s="15" t="s">
        <v>218</v>
      </c>
      <c r="E56" s="15" t="s">
        <v>227</v>
      </c>
      <c r="F56" s="24" t="s">
        <v>303</v>
      </c>
      <c r="G56" s="24"/>
      <c r="H56" s="24"/>
    </row>
    <row r="57" spans="1:8" x14ac:dyDescent="0.25">
      <c r="A57" s="15">
        <f t="shared" si="0"/>
        <v>56</v>
      </c>
      <c r="B57" s="24" t="s">
        <v>476</v>
      </c>
      <c r="C57" s="15" t="s">
        <v>257</v>
      </c>
      <c r="D57" s="25" t="s">
        <v>257</v>
      </c>
      <c r="E57" s="25"/>
      <c r="F57" s="25"/>
      <c r="G57" s="25"/>
      <c r="H57" s="25"/>
    </row>
    <row r="58" spans="1:8" x14ac:dyDescent="0.25">
      <c r="A58" s="15">
        <f t="shared" si="0"/>
        <v>57</v>
      </c>
      <c r="B58" s="15" t="s">
        <v>39</v>
      </c>
      <c r="C58" s="15" t="s">
        <v>62</v>
      </c>
      <c r="D58" s="15" t="s">
        <v>218</v>
      </c>
      <c r="E58" s="15"/>
      <c r="F58" s="24"/>
      <c r="G58" s="24"/>
      <c r="H58" s="24"/>
    </row>
    <row r="59" spans="1:8" x14ac:dyDescent="0.25">
      <c r="A59" s="15">
        <f t="shared" si="0"/>
        <v>58</v>
      </c>
      <c r="B59" s="15" t="s">
        <v>102</v>
      </c>
      <c r="C59" s="15" t="s">
        <v>66</v>
      </c>
      <c r="D59" s="15" t="s">
        <v>218</v>
      </c>
      <c r="E59" s="15"/>
      <c r="F59" s="24"/>
      <c r="G59" s="24"/>
      <c r="H59" s="24"/>
    </row>
    <row r="60" spans="1:8" x14ac:dyDescent="0.25">
      <c r="A60" s="15">
        <f t="shared" si="0"/>
        <v>59</v>
      </c>
      <c r="B60" s="15" t="s">
        <v>507</v>
      </c>
      <c r="C60" s="15" t="s">
        <v>64</v>
      </c>
      <c r="D60" s="15" t="s">
        <v>217</v>
      </c>
      <c r="E60" s="15"/>
      <c r="F60" s="24"/>
      <c r="G60" s="24"/>
      <c r="H60" s="24"/>
    </row>
    <row r="61" spans="1:8" x14ac:dyDescent="0.25">
      <c r="A61" s="15">
        <f t="shared" si="0"/>
        <v>60</v>
      </c>
      <c r="B61" s="15" t="s">
        <v>366</v>
      </c>
      <c r="C61" s="15" t="s">
        <v>212</v>
      </c>
      <c r="D61" s="16" t="s">
        <v>217</v>
      </c>
      <c r="E61" s="25"/>
      <c r="F61" s="25"/>
      <c r="G61" s="25"/>
      <c r="H61" s="25"/>
    </row>
    <row r="62" spans="1:8" x14ac:dyDescent="0.25">
      <c r="A62" s="15">
        <f t="shared" si="0"/>
        <v>61</v>
      </c>
      <c r="B62" s="15" t="s">
        <v>103</v>
      </c>
      <c r="C62" s="15" t="s">
        <v>64</v>
      </c>
      <c r="D62" s="15" t="s">
        <v>217</v>
      </c>
      <c r="E62" s="15"/>
      <c r="F62" s="24"/>
      <c r="G62" s="24"/>
      <c r="H62" s="24"/>
    </row>
    <row r="63" spans="1:8" x14ac:dyDescent="0.25">
      <c r="A63" s="15">
        <f t="shared" si="0"/>
        <v>62</v>
      </c>
      <c r="B63" s="15" t="s">
        <v>490</v>
      </c>
      <c r="C63" s="15" t="s">
        <v>494</v>
      </c>
      <c r="D63" s="25" t="s">
        <v>217</v>
      </c>
      <c r="E63" s="25"/>
      <c r="F63" s="25"/>
      <c r="G63" s="25"/>
      <c r="H63" s="25"/>
    </row>
    <row r="64" spans="1:8" x14ac:dyDescent="0.25">
      <c r="A64" s="15">
        <f t="shared" si="0"/>
        <v>63</v>
      </c>
      <c r="B64" s="15" t="s">
        <v>360</v>
      </c>
      <c r="C64" s="15" t="s">
        <v>361</v>
      </c>
      <c r="D64" s="16" t="s">
        <v>218</v>
      </c>
      <c r="E64" s="25" t="s">
        <v>227</v>
      </c>
      <c r="F64" s="25"/>
      <c r="G64" s="25"/>
      <c r="H64" s="25"/>
    </row>
    <row r="65" spans="1:8" x14ac:dyDescent="0.25">
      <c r="A65" s="15">
        <f t="shared" si="0"/>
        <v>64</v>
      </c>
      <c r="B65" s="15" t="s">
        <v>104</v>
      </c>
      <c r="C65" s="15" t="s">
        <v>62</v>
      </c>
      <c r="D65" s="15" t="s">
        <v>218</v>
      </c>
      <c r="E65" s="15" t="s">
        <v>227</v>
      </c>
      <c r="F65" s="24" t="s">
        <v>264</v>
      </c>
      <c r="G65" s="24"/>
      <c r="H65" s="24"/>
    </row>
    <row r="66" spans="1:8" x14ac:dyDescent="0.25">
      <c r="A66" s="15">
        <f t="shared" si="0"/>
        <v>65</v>
      </c>
      <c r="B66" s="16" t="s">
        <v>548</v>
      </c>
      <c r="C66" s="15" t="s">
        <v>63</v>
      </c>
      <c r="D66" s="16" t="s">
        <v>218</v>
      </c>
      <c r="E66" s="16"/>
      <c r="F66" s="24"/>
      <c r="G66" s="24"/>
      <c r="H66" s="24"/>
    </row>
    <row r="67" spans="1:8" x14ac:dyDescent="0.25">
      <c r="A67" s="15">
        <f t="shared" si="0"/>
        <v>66</v>
      </c>
      <c r="B67" s="15" t="s">
        <v>377</v>
      </c>
      <c r="C67" s="15" t="s">
        <v>67</v>
      </c>
      <c r="D67" s="16" t="s">
        <v>218</v>
      </c>
      <c r="E67" s="25"/>
      <c r="F67" s="25"/>
      <c r="G67" s="25"/>
      <c r="H67" s="25"/>
    </row>
    <row r="68" spans="1:8" x14ac:dyDescent="0.25">
      <c r="A68" s="15">
        <f t="shared" ref="A68:A131" si="1">A67+1</f>
        <v>67</v>
      </c>
      <c r="B68" s="15" t="s">
        <v>207</v>
      </c>
      <c r="C68" s="15" t="s">
        <v>66</v>
      </c>
      <c r="D68" s="15" t="s">
        <v>218</v>
      </c>
      <c r="E68" s="15"/>
      <c r="F68" s="24"/>
      <c r="G68" s="24"/>
      <c r="H68" s="24"/>
    </row>
    <row r="69" spans="1:8" x14ac:dyDescent="0.25">
      <c r="A69" s="15">
        <f t="shared" si="1"/>
        <v>68</v>
      </c>
      <c r="B69" s="24" t="s">
        <v>345</v>
      </c>
      <c r="C69" s="15" t="s">
        <v>212</v>
      </c>
      <c r="D69" s="16" t="s">
        <v>217</v>
      </c>
      <c r="E69" s="24"/>
      <c r="F69" s="24"/>
      <c r="G69" s="24"/>
      <c r="H69" s="24"/>
    </row>
    <row r="70" spans="1:8" x14ac:dyDescent="0.25">
      <c r="A70" s="15">
        <f t="shared" si="1"/>
        <v>69</v>
      </c>
      <c r="B70" s="16" t="s">
        <v>542</v>
      </c>
      <c r="C70" s="15" t="s">
        <v>63</v>
      </c>
      <c r="D70" s="16" t="s">
        <v>218</v>
      </c>
      <c r="E70" s="16"/>
      <c r="F70" s="24"/>
      <c r="G70" s="24"/>
      <c r="H70" s="24"/>
    </row>
    <row r="71" spans="1:8" x14ac:dyDescent="0.25">
      <c r="A71" s="15">
        <f t="shared" si="1"/>
        <v>70</v>
      </c>
      <c r="B71" s="15" t="s">
        <v>105</v>
      </c>
      <c r="C71" s="15" t="s">
        <v>64</v>
      </c>
      <c r="D71" s="15" t="s">
        <v>217</v>
      </c>
      <c r="E71" s="15" t="s">
        <v>229</v>
      </c>
      <c r="F71" s="24" t="s">
        <v>264</v>
      </c>
      <c r="G71" s="24"/>
      <c r="H71" s="24"/>
    </row>
    <row r="72" spans="1:8" x14ac:dyDescent="0.25">
      <c r="A72" s="15">
        <f t="shared" si="1"/>
        <v>71</v>
      </c>
      <c r="B72" s="15" t="s">
        <v>425</v>
      </c>
      <c r="C72" s="15" t="s">
        <v>62</v>
      </c>
      <c r="D72" s="16" t="s">
        <v>218</v>
      </c>
      <c r="E72" s="25"/>
      <c r="F72" s="25"/>
      <c r="G72" s="25"/>
      <c r="H72" s="25"/>
    </row>
    <row r="73" spans="1:8" x14ac:dyDescent="0.25">
      <c r="A73" s="15">
        <f t="shared" si="1"/>
        <v>72</v>
      </c>
      <c r="B73" s="15" t="s">
        <v>426</v>
      </c>
      <c r="C73" s="15" t="s">
        <v>67</v>
      </c>
      <c r="D73" s="16" t="s">
        <v>218</v>
      </c>
      <c r="E73" s="25"/>
      <c r="F73" s="25" t="s">
        <v>327</v>
      </c>
      <c r="G73" s="25"/>
      <c r="H73" s="25"/>
    </row>
    <row r="74" spans="1:8" x14ac:dyDescent="0.25">
      <c r="A74" s="15">
        <f t="shared" si="1"/>
        <v>73</v>
      </c>
      <c r="B74" s="15" t="s">
        <v>213</v>
      </c>
      <c r="C74" s="15" t="s">
        <v>70</v>
      </c>
      <c r="D74" s="15" t="s">
        <v>218</v>
      </c>
      <c r="E74" s="24"/>
      <c r="F74" s="24"/>
      <c r="G74" s="24"/>
      <c r="H74" s="24"/>
    </row>
    <row r="75" spans="1:8" x14ac:dyDescent="0.25">
      <c r="A75" s="15">
        <f t="shared" si="1"/>
        <v>74</v>
      </c>
      <c r="B75" s="16" t="s">
        <v>302</v>
      </c>
      <c r="C75" s="15" t="s">
        <v>64</v>
      </c>
      <c r="D75" s="16" t="s">
        <v>217</v>
      </c>
      <c r="E75" s="16" t="s">
        <v>229</v>
      </c>
      <c r="F75" s="24" t="s">
        <v>264</v>
      </c>
      <c r="G75" s="24"/>
      <c r="H75" s="24"/>
    </row>
    <row r="76" spans="1:8" x14ac:dyDescent="0.25">
      <c r="A76" s="15">
        <f t="shared" si="1"/>
        <v>75</v>
      </c>
      <c r="B76" s="15" t="s">
        <v>371</v>
      </c>
      <c r="C76" s="15" t="s">
        <v>372</v>
      </c>
      <c r="D76" s="16" t="s">
        <v>218</v>
      </c>
      <c r="E76" s="25"/>
      <c r="F76" s="25"/>
      <c r="G76" s="25"/>
      <c r="H76" s="25"/>
    </row>
    <row r="77" spans="1:8" x14ac:dyDescent="0.25">
      <c r="A77" s="15">
        <f t="shared" si="1"/>
        <v>76</v>
      </c>
      <c r="B77" s="15" t="s">
        <v>429</v>
      </c>
      <c r="C77" s="15" t="s">
        <v>66</v>
      </c>
      <c r="D77" s="16" t="s">
        <v>218</v>
      </c>
      <c r="E77" s="25" t="s">
        <v>232</v>
      </c>
      <c r="F77" s="25" t="s">
        <v>303</v>
      </c>
      <c r="G77" s="25"/>
      <c r="H77" s="25"/>
    </row>
    <row r="78" spans="1:8" x14ac:dyDescent="0.25">
      <c r="A78" s="15">
        <f t="shared" si="1"/>
        <v>77</v>
      </c>
      <c r="B78" s="15" t="s">
        <v>106</v>
      </c>
      <c r="C78" s="15" t="s">
        <v>71</v>
      </c>
      <c r="D78" s="15" t="s">
        <v>218</v>
      </c>
      <c r="E78" s="15" t="s">
        <v>227</v>
      </c>
      <c r="F78" s="24" t="s">
        <v>264</v>
      </c>
      <c r="G78" s="24"/>
      <c r="H78" s="24"/>
    </row>
    <row r="79" spans="1:8" x14ac:dyDescent="0.25">
      <c r="A79" s="15">
        <f t="shared" si="1"/>
        <v>78</v>
      </c>
      <c r="B79" s="16" t="s">
        <v>282</v>
      </c>
      <c r="C79" s="15" t="s">
        <v>71</v>
      </c>
      <c r="D79" s="16" t="s">
        <v>218</v>
      </c>
      <c r="E79" s="16" t="s">
        <v>227</v>
      </c>
      <c r="F79" s="24" t="s">
        <v>264</v>
      </c>
      <c r="G79" s="24"/>
      <c r="H79" s="24"/>
    </row>
    <row r="80" spans="1:8" x14ac:dyDescent="0.25">
      <c r="A80" s="15">
        <f t="shared" si="1"/>
        <v>79</v>
      </c>
      <c r="B80" s="24" t="s">
        <v>514</v>
      </c>
      <c r="C80" s="15" t="s">
        <v>365</v>
      </c>
      <c r="D80" s="25" t="s">
        <v>218</v>
      </c>
      <c r="E80" s="25"/>
      <c r="F80" s="25"/>
      <c r="G80" s="25"/>
      <c r="H80" s="25"/>
    </row>
    <row r="81" spans="1:8" x14ac:dyDescent="0.25">
      <c r="A81" s="15">
        <f t="shared" si="1"/>
        <v>80</v>
      </c>
      <c r="B81" s="15" t="s">
        <v>50</v>
      </c>
      <c r="C81" s="15" t="s">
        <v>69</v>
      </c>
      <c r="D81" s="15" t="s">
        <v>217</v>
      </c>
      <c r="E81" s="15" t="s">
        <v>229</v>
      </c>
      <c r="F81" s="24"/>
      <c r="G81" s="24"/>
      <c r="H81" s="24"/>
    </row>
    <row r="82" spans="1:8" x14ac:dyDescent="0.25">
      <c r="A82" s="15">
        <f t="shared" si="1"/>
        <v>81</v>
      </c>
      <c r="B82" s="16" t="s">
        <v>544</v>
      </c>
      <c r="C82" s="15" t="s">
        <v>70</v>
      </c>
      <c r="D82" s="16" t="s">
        <v>218</v>
      </c>
      <c r="E82" s="16"/>
      <c r="F82" s="24"/>
      <c r="G82" s="24"/>
      <c r="H82" s="24"/>
    </row>
    <row r="83" spans="1:8" x14ac:dyDescent="0.25">
      <c r="A83" s="15">
        <f t="shared" si="1"/>
        <v>82</v>
      </c>
      <c r="B83" s="15" t="s">
        <v>1145</v>
      </c>
      <c r="C83" s="15" t="s">
        <v>1146</v>
      </c>
      <c r="D83" s="25" t="s">
        <v>218</v>
      </c>
      <c r="E83" s="25"/>
      <c r="F83" s="25"/>
      <c r="G83" s="25"/>
      <c r="H83" s="25"/>
    </row>
    <row r="84" spans="1:8" x14ac:dyDescent="0.25">
      <c r="A84" s="15">
        <f t="shared" si="1"/>
        <v>83</v>
      </c>
      <c r="B84" s="15" t="s">
        <v>423</v>
      </c>
      <c r="C84" s="15" t="s">
        <v>191</v>
      </c>
      <c r="D84" s="16" t="s">
        <v>218</v>
      </c>
      <c r="E84" s="25" t="s">
        <v>227</v>
      </c>
      <c r="F84" s="25"/>
      <c r="G84" s="25"/>
      <c r="H84" s="25"/>
    </row>
    <row r="85" spans="1:8" x14ac:dyDescent="0.25">
      <c r="A85" s="15">
        <f t="shared" si="1"/>
        <v>84</v>
      </c>
      <c r="B85" s="15" t="s">
        <v>436</v>
      </c>
      <c r="C85" s="15" t="s">
        <v>212</v>
      </c>
      <c r="D85" s="16" t="s">
        <v>217</v>
      </c>
      <c r="E85" s="25"/>
      <c r="F85" s="25" t="s">
        <v>303</v>
      </c>
      <c r="G85" s="25"/>
      <c r="H85" s="25"/>
    </row>
    <row r="86" spans="1:8" x14ac:dyDescent="0.25">
      <c r="A86" s="15">
        <f t="shared" si="1"/>
        <v>85</v>
      </c>
      <c r="B86" s="15" t="s">
        <v>427</v>
      </c>
      <c r="C86" s="15" t="s">
        <v>294</v>
      </c>
      <c r="D86" s="16" t="s">
        <v>218</v>
      </c>
      <c r="E86" s="25"/>
      <c r="F86" s="25" t="s">
        <v>327</v>
      </c>
      <c r="G86" s="25"/>
      <c r="H86" s="25"/>
    </row>
    <row r="87" spans="1:8" x14ac:dyDescent="0.25">
      <c r="A87" s="15">
        <f t="shared" si="1"/>
        <v>86</v>
      </c>
      <c r="B87" s="16" t="s">
        <v>107</v>
      </c>
      <c r="C87" s="15" t="s">
        <v>62</v>
      </c>
      <c r="D87" s="16" t="s">
        <v>218</v>
      </c>
      <c r="E87" s="16"/>
      <c r="F87" s="24"/>
      <c r="G87" s="24"/>
      <c r="H87" s="24"/>
    </row>
    <row r="88" spans="1:8" x14ac:dyDescent="0.25">
      <c r="A88" s="15">
        <f t="shared" si="1"/>
        <v>87</v>
      </c>
      <c r="B88" s="16" t="s">
        <v>528</v>
      </c>
      <c r="C88" s="15" t="s">
        <v>212</v>
      </c>
      <c r="D88" s="16" t="s">
        <v>217</v>
      </c>
      <c r="E88" s="16"/>
      <c r="F88" s="24"/>
      <c r="G88" s="24"/>
      <c r="H88" s="24"/>
    </row>
    <row r="89" spans="1:8" x14ac:dyDescent="0.25">
      <c r="A89" s="15">
        <f t="shared" si="1"/>
        <v>88</v>
      </c>
      <c r="B89" s="15" t="s">
        <v>407</v>
      </c>
      <c r="C89" s="15" t="s">
        <v>408</v>
      </c>
      <c r="D89" s="16" t="s">
        <v>248</v>
      </c>
      <c r="E89" s="25"/>
      <c r="F89" s="25"/>
      <c r="G89" s="25"/>
      <c r="H89" s="25"/>
    </row>
    <row r="90" spans="1:8" x14ac:dyDescent="0.25">
      <c r="A90" s="15">
        <f t="shared" si="1"/>
        <v>89</v>
      </c>
      <c r="B90" s="15" t="s">
        <v>560</v>
      </c>
      <c r="C90" s="15" t="s">
        <v>294</v>
      </c>
      <c r="D90" s="25" t="s">
        <v>218</v>
      </c>
      <c r="E90" s="25"/>
      <c r="F90" s="25"/>
      <c r="G90" s="25"/>
      <c r="H90" s="25"/>
    </row>
    <row r="91" spans="1:8" x14ac:dyDescent="0.25">
      <c r="A91" s="15">
        <f t="shared" si="1"/>
        <v>90</v>
      </c>
      <c r="B91" s="16" t="s">
        <v>108</v>
      </c>
      <c r="C91" s="15" t="s">
        <v>64</v>
      </c>
      <c r="D91" s="16" t="s">
        <v>217</v>
      </c>
      <c r="E91" s="16"/>
      <c r="F91" s="24" t="s">
        <v>327</v>
      </c>
      <c r="G91" s="24"/>
      <c r="H91" s="24"/>
    </row>
    <row r="92" spans="1:8" x14ac:dyDescent="0.25">
      <c r="A92" s="15">
        <f t="shared" si="1"/>
        <v>91</v>
      </c>
      <c r="B92" s="16" t="s">
        <v>534</v>
      </c>
      <c r="C92" s="15" t="s">
        <v>66</v>
      </c>
      <c r="D92" s="16" t="s">
        <v>218</v>
      </c>
      <c r="E92" s="16"/>
      <c r="F92" s="24"/>
      <c r="G92" s="24"/>
      <c r="H92" s="24"/>
    </row>
    <row r="93" spans="1:8" x14ac:dyDescent="0.25">
      <c r="A93" s="15">
        <f t="shared" si="1"/>
        <v>92</v>
      </c>
      <c r="B93" s="16" t="s">
        <v>109</v>
      </c>
      <c r="C93" s="15" t="s">
        <v>187</v>
      </c>
      <c r="D93" s="16" t="s">
        <v>218</v>
      </c>
      <c r="E93" s="16"/>
      <c r="F93" s="24"/>
      <c r="G93" s="24"/>
      <c r="H93" s="24"/>
    </row>
    <row r="94" spans="1:8" x14ac:dyDescent="0.25">
      <c r="A94" s="15">
        <f t="shared" si="1"/>
        <v>93</v>
      </c>
      <c r="B94" s="15" t="s">
        <v>110</v>
      </c>
      <c r="C94" s="15" t="s">
        <v>64</v>
      </c>
      <c r="D94" s="15" t="s">
        <v>217</v>
      </c>
      <c r="E94" s="15"/>
      <c r="F94" s="24"/>
      <c r="G94" s="24"/>
      <c r="H94" s="24"/>
    </row>
    <row r="95" spans="1:8" x14ac:dyDescent="0.25">
      <c r="A95" s="15">
        <f t="shared" si="1"/>
        <v>94</v>
      </c>
      <c r="B95" s="24" t="s">
        <v>464</v>
      </c>
      <c r="C95" s="15" t="s">
        <v>73</v>
      </c>
      <c r="D95" s="16" t="s">
        <v>218</v>
      </c>
      <c r="E95" s="25"/>
      <c r="F95" s="25"/>
      <c r="G95" s="25"/>
      <c r="H95" s="25"/>
    </row>
    <row r="96" spans="1:8" x14ac:dyDescent="0.25">
      <c r="A96" s="15">
        <f t="shared" si="1"/>
        <v>95</v>
      </c>
      <c r="B96" s="15" t="s">
        <v>424</v>
      </c>
      <c r="C96" s="15" t="s">
        <v>349</v>
      </c>
      <c r="D96" s="16" t="s">
        <v>218</v>
      </c>
      <c r="E96" s="25" t="s">
        <v>239</v>
      </c>
      <c r="F96" s="25"/>
      <c r="G96" s="25"/>
      <c r="H96" s="25"/>
    </row>
    <row r="97" spans="1:8" x14ac:dyDescent="0.25">
      <c r="A97" s="15">
        <f t="shared" si="1"/>
        <v>96</v>
      </c>
      <c r="B97" s="15" t="s">
        <v>250</v>
      </c>
      <c r="C97" s="15" t="s">
        <v>64</v>
      </c>
      <c r="D97" s="15" t="s">
        <v>217</v>
      </c>
      <c r="E97" s="24"/>
      <c r="F97" s="24"/>
      <c r="G97" s="24"/>
      <c r="H97" s="24"/>
    </row>
    <row r="98" spans="1:8" x14ac:dyDescent="0.25">
      <c r="A98" s="15">
        <f t="shared" si="1"/>
        <v>97</v>
      </c>
      <c r="B98" s="15" t="s">
        <v>1104</v>
      </c>
      <c r="C98" s="15" t="s">
        <v>63</v>
      </c>
      <c r="D98" s="25" t="s">
        <v>218</v>
      </c>
      <c r="E98" s="25"/>
      <c r="F98" s="25"/>
      <c r="G98" s="25"/>
      <c r="H98" s="25"/>
    </row>
    <row r="99" spans="1:8" x14ac:dyDescent="0.25">
      <c r="A99" s="15">
        <f t="shared" si="1"/>
        <v>98</v>
      </c>
      <c r="B99" s="15" t="s">
        <v>242</v>
      </c>
      <c r="C99" s="15" t="s">
        <v>61</v>
      </c>
      <c r="D99" s="15" t="s">
        <v>218</v>
      </c>
      <c r="E99" s="15" t="s">
        <v>211</v>
      </c>
      <c r="F99" s="24" t="s">
        <v>264</v>
      </c>
      <c r="G99" s="24"/>
      <c r="H99" s="24"/>
    </row>
    <row r="100" spans="1:8" x14ac:dyDescent="0.25">
      <c r="A100" s="15">
        <f t="shared" si="1"/>
        <v>99</v>
      </c>
      <c r="B100" s="15" t="s">
        <v>450</v>
      </c>
      <c r="C100" s="15" t="s">
        <v>62</v>
      </c>
      <c r="D100" s="16" t="s">
        <v>218</v>
      </c>
      <c r="E100" s="25"/>
      <c r="F100" s="25"/>
      <c r="G100" s="25"/>
      <c r="H100" s="25"/>
    </row>
    <row r="101" spans="1:8" x14ac:dyDescent="0.25">
      <c r="A101" s="15">
        <f t="shared" si="1"/>
        <v>100</v>
      </c>
      <c r="B101" s="16" t="s">
        <v>284</v>
      </c>
      <c r="C101" s="15" t="s">
        <v>188</v>
      </c>
      <c r="D101" s="16" t="s">
        <v>218</v>
      </c>
      <c r="E101" s="16"/>
      <c r="F101" s="24"/>
      <c r="G101" s="24"/>
      <c r="H101" s="24"/>
    </row>
    <row r="102" spans="1:8" x14ac:dyDescent="0.25">
      <c r="A102" s="15">
        <f t="shared" si="1"/>
        <v>101</v>
      </c>
      <c r="B102" s="16" t="s">
        <v>283</v>
      </c>
      <c r="C102" s="15" t="s">
        <v>188</v>
      </c>
      <c r="D102" s="16" t="s">
        <v>218</v>
      </c>
      <c r="E102" s="16"/>
      <c r="F102" s="24"/>
      <c r="G102" s="24"/>
      <c r="H102" s="24"/>
    </row>
    <row r="103" spans="1:8" x14ac:dyDescent="0.25">
      <c r="A103" s="15">
        <f t="shared" si="1"/>
        <v>102</v>
      </c>
      <c r="B103" s="15" t="s">
        <v>28</v>
      </c>
      <c r="C103" s="15" t="s">
        <v>188</v>
      </c>
      <c r="D103" s="15" t="s">
        <v>218</v>
      </c>
      <c r="E103" s="15"/>
      <c r="F103" s="24"/>
      <c r="G103" s="24"/>
      <c r="H103" s="24"/>
    </row>
    <row r="104" spans="1:8" x14ac:dyDescent="0.25">
      <c r="A104" s="15">
        <f t="shared" si="1"/>
        <v>103</v>
      </c>
      <c r="B104" s="15" t="s">
        <v>89</v>
      </c>
      <c r="C104" s="15" t="s">
        <v>62</v>
      </c>
      <c r="D104" s="15" t="s">
        <v>218</v>
      </c>
      <c r="E104" s="15" t="s">
        <v>228</v>
      </c>
      <c r="F104" s="24"/>
      <c r="G104" s="24"/>
      <c r="H104" s="24"/>
    </row>
    <row r="105" spans="1:8" x14ac:dyDescent="0.25">
      <c r="A105" s="15">
        <f t="shared" si="1"/>
        <v>104</v>
      </c>
      <c r="B105" s="15" t="s">
        <v>401</v>
      </c>
      <c r="C105" s="15" t="s">
        <v>76</v>
      </c>
      <c r="D105" s="16" t="s">
        <v>218</v>
      </c>
      <c r="E105" s="25" t="s">
        <v>227</v>
      </c>
      <c r="F105" s="25"/>
      <c r="G105" s="25"/>
      <c r="H105" s="25"/>
    </row>
    <row r="106" spans="1:8" x14ac:dyDescent="0.25">
      <c r="A106" s="15">
        <f t="shared" si="1"/>
        <v>105</v>
      </c>
      <c r="B106" s="15" t="s">
        <v>402</v>
      </c>
      <c r="C106" s="15" t="s">
        <v>76</v>
      </c>
      <c r="D106" s="16" t="s">
        <v>218</v>
      </c>
      <c r="E106" s="25" t="s">
        <v>227</v>
      </c>
      <c r="F106" s="25"/>
      <c r="G106" s="25"/>
      <c r="H106" s="25"/>
    </row>
    <row r="107" spans="1:8" x14ac:dyDescent="0.25">
      <c r="A107" s="15">
        <f t="shared" si="1"/>
        <v>106</v>
      </c>
      <c r="B107" s="15" t="s">
        <v>1098</v>
      </c>
      <c r="C107" s="15" t="s">
        <v>62</v>
      </c>
      <c r="D107" s="25" t="s">
        <v>218</v>
      </c>
      <c r="E107" s="25"/>
      <c r="F107" s="25"/>
      <c r="G107" s="25"/>
      <c r="H107" s="25"/>
    </row>
    <row r="108" spans="1:8" x14ac:dyDescent="0.25">
      <c r="A108" s="15">
        <f t="shared" si="1"/>
        <v>107</v>
      </c>
      <c r="B108" s="15" t="s">
        <v>46</v>
      </c>
      <c r="C108" s="15" t="s">
        <v>257</v>
      </c>
      <c r="D108" s="15" t="s">
        <v>257</v>
      </c>
      <c r="E108" s="24"/>
      <c r="F108" s="24"/>
      <c r="G108" s="24"/>
      <c r="H108" s="24"/>
    </row>
    <row r="109" spans="1:8" x14ac:dyDescent="0.25">
      <c r="A109" s="15">
        <f t="shared" si="1"/>
        <v>108</v>
      </c>
      <c r="B109" s="16" t="s">
        <v>301</v>
      </c>
      <c r="C109" s="15" t="s">
        <v>71</v>
      </c>
      <c r="D109" s="16" t="s">
        <v>218</v>
      </c>
      <c r="E109" s="16" t="s">
        <v>227</v>
      </c>
      <c r="F109" s="24" t="s">
        <v>303</v>
      </c>
      <c r="G109" s="24"/>
      <c r="H109" s="24"/>
    </row>
    <row r="110" spans="1:8" x14ac:dyDescent="0.25">
      <c r="A110" s="15">
        <f t="shared" si="1"/>
        <v>109</v>
      </c>
      <c r="B110" s="15" t="s">
        <v>87</v>
      </c>
      <c r="C110" s="15" t="s">
        <v>64</v>
      </c>
      <c r="D110" s="15" t="s">
        <v>217</v>
      </c>
      <c r="E110" s="15"/>
      <c r="F110" s="24"/>
      <c r="G110" s="24"/>
      <c r="H110" s="24"/>
    </row>
    <row r="111" spans="1:8" x14ac:dyDescent="0.25">
      <c r="A111" s="15">
        <f t="shared" si="1"/>
        <v>110</v>
      </c>
      <c r="B111" s="15" t="s">
        <v>442</v>
      </c>
      <c r="C111" s="15" t="s">
        <v>335</v>
      </c>
      <c r="D111" s="16" t="s">
        <v>218</v>
      </c>
      <c r="E111" s="25"/>
      <c r="F111" s="25"/>
      <c r="G111" s="25"/>
      <c r="H111" s="25"/>
    </row>
    <row r="112" spans="1:8" x14ac:dyDescent="0.25">
      <c r="A112" s="15">
        <f t="shared" si="1"/>
        <v>111</v>
      </c>
      <c r="B112" s="15" t="s">
        <v>435</v>
      </c>
      <c r="C112" s="15" t="s">
        <v>294</v>
      </c>
      <c r="D112" s="16" t="s">
        <v>218</v>
      </c>
      <c r="E112" s="25" t="s">
        <v>228</v>
      </c>
      <c r="F112" s="25" t="s">
        <v>303</v>
      </c>
      <c r="G112" s="25"/>
      <c r="H112" s="25"/>
    </row>
    <row r="113" spans="1:8" x14ac:dyDescent="0.25">
      <c r="A113" s="15">
        <f t="shared" si="1"/>
        <v>112</v>
      </c>
      <c r="B113" s="16" t="s">
        <v>465</v>
      </c>
      <c r="C113" s="15" t="s">
        <v>63</v>
      </c>
      <c r="D113" s="16" t="s">
        <v>218</v>
      </c>
      <c r="E113" s="25"/>
      <c r="F113" s="25"/>
      <c r="G113" s="25"/>
      <c r="H113" s="25"/>
    </row>
    <row r="114" spans="1:8" x14ac:dyDescent="0.25">
      <c r="A114" s="15">
        <f t="shared" si="1"/>
        <v>113</v>
      </c>
      <c r="B114" s="16" t="s">
        <v>279</v>
      </c>
      <c r="C114" s="15" t="s">
        <v>63</v>
      </c>
      <c r="D114" s="16" t="s">
        <v>218</v>
      </c>
      <c r="E114" s="16"/>
      <c r="F114" s="24"/>
      <c r="G114" s="24"/>
      <c r="H114" s="24"/>
    </row>
    <row r="115" spans="1:8" x14ac:dyDescent="0.25">
      <c r="A115" s="15">
        <f t="shared" si="1"/>
        <v>114</v>
      </c>
      <c r="B115" s="15" t="s">
        <v>418</v>
      </c>
      <c r="C115" s="15" t="s">
        <v>421</v>
      </c>
      <c r="D115" s="16" t="s">
        <v>217</v>
      </c>
      <c r="E115" s="25" t="s">
        <v>227</v>
      </c>
      <c r="F115" s="25"/>
      <c r="G115" s="25"/>
      <c r="H115" s="25"/>
    </row>
    <row r="116" spans="1:8" x14ac:dyDescent="0.25">
      <c r="A116" s="15">
        <f t="shared" si="1"/>
        <v>115</v>
      </c>
      <c r="B116" s="16" t="s">
        <v>289</v>
      </c>
      <c r="C116" s="15" t="s">
        <v>294</v>
      </c>
      <c r="D116" s="16" t="s">
        <v>218</v>
      </c>
      <c r="E116" s="16" t="s">
        <v>228</v>
      </c>
      <c r="F116" s="24" t="s">
        <v>303</v>
      </c>
      <c r="G116" s="24"/>
      <c r="H116" s="24"/>
    </row>
    <row r="117" spans="1:8" x14ac:dyDescent="0.25">
      <c r="A117" s="15">
        <f t="shared" si="1"/>
        <v>116</v>
      </c>
      <c r="B117" s="15" t="s">
        <v>111</v>
      </c>
      <c r="C117" s="15" t="s">
        <v>61</v>
      </c>
      <c r="D117" s="15" t="s">
        <v>218</v>
      </c>
      <c r="E117" s="15"/>
      <c r="F117" s="24"/>
      <c r="G117" s="24"/>
      <c r="H117" s="24"/>
    </row>
    <row r="118" spans="1:8" x14ac:dyDescent="0.25">
      <c r="A118" s="15">
        <f t="shared" si="1"/>
        <v>117</v>
      </c>
      <c r="B118" s="15" t="s">
        <v>112</v>
      </c>
      <c r="C118" s="15" t="s">
        <v>80</v>
      </c>
      <c r="D118" s="15" t="s">
        <v>218</v>
      </c>
      <c r="E118" s="15"/>
      <c r="F118" s="24"/>
      <c r="G118" s="24"/>
      <c r="H118" s="24"/>
    </row>
    <row r="119" spans="1:8" x14ac:dyDescent="0.25">
      <c r="A119" s="15">
        <f t="shared" si="1"/>
        <v>118</v>
      </c>
      <c r="B119" s="16" t="s">
        <v>553</v>
      </c>
      <c r="C119" s="15" t="s">
        <v>335</v>
      </c>
      <c r="D119" s="16" t="s">
        <v>218</v>
      </c>
      <c r="E119" s="16"/>
      <c r="F119" s="24"/>
      <c r="G119" s="24"/>
      <c r="H119" s="24"/>
    </row>
    <row r="120" spans="1:8" x14ac:dyDescent="0.25">
      <c r="A120" s="15">
        <f t="shared" si="1"/>
        <v>119</v>
      </c>
      <c r="B120" s="25" t="s">
        <v>508</v>
      </c>
      <c r="C120" s="15" t="s">
        <v>509</v>
      </c>
      <c r="D120" s="25" t="s">
        <v>218</v>
      </c>
      <c r="E120" s="25"/>
      <c r="F120" s="25"/>
      <c r="G120" s="25"/>
      <c r="H120" s="25"/>
    </row>
    <row r="121" spans="1:8" x14ac:dyDescent="0.25">
      <c r="A121" s="15">
        <f t="shared" si="1"/>
        <v>120</v>
      </c>
      <c r="B121" s="15" t="s">
        <v>350</v>
      </c>
      <c r="C121" s="15" t="s">
        <v>349</v>
      </c>
      <c r="D121" s="16" t="s">
        <v>218</v>
      </c>
      <c r="E121" s="24" t="s">
        <v>227</v>
      </c>
      <c r="F121" s="24"/>
      <c r="G121" s="24"/>
      <c r="H121" s="24"/>
    </row>
    <row r="122" spans="1:8" x14ac:dyDescent="0.25">
      <c r="A122" s="15">
        <f t="shared" si="1"/>
        <v>121</v>
      </c>
      <c r="B122" s="24" t="s">
        <v>457</v>
      </c>
      <c r="C122" s="15" t="s">
        <v>458</v>
      </c>
      <c r="D122" s="16" t="s">
        <v>218</v>
      </c>
      <c r="E122" s="25"/>
      <c r="F122" s="25"/>
      <c r="G122" s="25"/>
      <c r="H122" s="25"/>
    </row>
    <row r="123" spans="1:8" x14ac:dyDescent="0.25">
      <c r="A123" s="15">
        <f t="shared" si="1"/>
        <v>122</v>
      </c>
      <c r="B123" s="16" t="s">
        <v>549</v>
      </c>
      <c r="C123" s="15" t="s">
        <v>365</v>
      </c>
      <c r="D123" s="16" t="s">
        <v>218</v>
      </c>
      <c r="E123" s="16"/>
      <c r="F123" s="24"/>
      <c r="G123" s="24"/>
      <c r="H123" s="24"/>
    </row>
    <row r="124" spans="1:8" x14ac:dyDescent="0.25">
      <c r="A124" s="15">
        <f t="shared" si="1"/>
        <v>123</v>
      </c>
      <c r="B124" s="15" t="s">
        <v>489</v>
      </c>
      <c r="C124" s="15" t="s">
        <v>66</v>
      </c>
      <c r="D124" s="25" t="s">
        <v>218</v>
      </c>
      <c r="E124" s="25"/>
      <c r="F124" s="25"/>
      <c r="G124" s="25"/>
      <c r="H124" s="25"/>
    </row>
    <row r="125" spans="1:8" x14ac:dyDescent="0.25">
      <c r="A125" s="15">
        <f t="shared" si="1"/>
        <v>124</v>
      </c>
      <c r="B125" s="15" t="s">
        <v>113</v>
      </c>
      <c r="C125" s="15" t="s">
        <v>189</v>
      </c>
      <c r="D125" s="15" t="s">
        <v>218</v>
      </c>
      <c r="E125" s="15" t="s">
        <v>227</v>
      </c>
      <c r="F125" s="24" t="s">
        <v>264</v>
      </c>
      <c r="G125" s="24"/>
      <c r="H125" s="24"/>
    </row>
    <row r="126" spans="1:8" x14ac:dyDescent="0.25">
      <c r="A126" s="15">
        <f t="shared" si="1"/>
        <v>125</v>
      </c>
      <c r="B126" s="16" t="s">
        <v>88</v>
      </c>
      <c r="C126" s="15" t="s">
        <v>63</v>
      </c>
      <c r="D126" s="16" t="s">
        <v>218</v>
      </c>
      <c r="E126" s="16"/>
      <c r="F126" s="24"/>
      <c r="G126" s="24"/>
      <c r="H126" s="24"/>
    </row>
    <row r="127" spans="1:8" x14ac:dyDescent="0.25">
      <c r="A127" s="15">
        <f t="shared" si="1"/>
        <v>126</v>
      </c>
      <c r="B127" s="15" t="s">
        <v>240</v>
      </c>
      <c r="C127" s="15" t="s">
        <v>66</v>
      </c>
      <c r="D127" s="15" t="s">
        <v>218</v>
      </c>
      <c r="E127" s="24"/>
      <c r="F127" s="24" t="s">
        <v>264</v>
      </c>
      <c r="G127" s="24"/>
      <c r="H127" s="24"/>
    </row>
    <row r="128" spans="1:8" x14ac:dyDescent="0.25">
      <c r="A128" s="15">
        <f t="shared" si="1"/>
        <v>127</v>
      </c>
      <c r="B128" s="15" t="s">
        <v>42</v>
      </c>
      <c r="C128" s="15" t="s">
        <v>86</v>
      </c>
      <c r="D128" s="15" t="s">
        <v>218</v>
      </c>
      <c r="E128" s="15"/>
      <c r="F128" s="24" t="s">
        <v>264</v>
      </c>
      <c r="G128" s="24"/>
      <c r="H128" s="24"/>
    </row>
    <row r="129" spans="1:8" x14ac:dyDescent="0.25">
      <c r="A129" s="15">
        <f t="shared" si="1"/>
        <v>128</v>
      </c>
      <c r="B129" s="15" t="s">
        <v>114</v>
      </c>
      <c r="C129" s="15" t="s">
        <v>74</v>
      </c>
      <c r="D129" s="15" t="s">
        <v>218</v>
      </c>
      <c r="E129" s="15"/>
      <c r="F129" s="24"/>
      <c r="G129" s="24"/>
      <c r="H129" s="24"/>
    </row>
    <row r="130" spans="1:8" x14ac:dyDescent="0.25">
      <c r="A130" s="15">
        <f t="shared" si="1"/>
        <v>129</v>
      </c>
      <c r="B130" s="15" t="s">
        <v>413</v>
      </c>
      <c r="C130" s="15" t="s">
        <v>80</v>
      </c>
      <c r="D130" s="16" t="s">
        <v>218</v>
      </c>
      <c r="E130" s="25"/>
      <c r="F130" s="25"/>
      <c r="G130" s="25"/>
      <c r="H130" s="25"/>
    </row>
    <row r="131" spans="1:8" x14ac:dyDescent="0.25">
      <c r="A131" s="15">
        <f t="shared" si="1"/>
        <v>130</v>
      </c>
      <c r="B131" s="16" t="s">
        <v>531</v>
      </c>
      <c r="C131" s="15" t="s">
        <v>67</v>
      </c>
      <c r="D131" s="16" t="s">
        <v>218</v>
      </c>
      <c r="E131" s="16"/>
      <c r="F131" s="24"/>
      <c r="G131" s="24"/>
      <c r="H131" s="24"/>
    </row>
    <row r="132" spans="1:8" x14ac:dyDescent="0.25">
      <c r="A132" s="15">
        <f t="shared" ref="A132:A195" si="2">A131+1</f>
        <v>131</v>
      </c>
      <c r="B132" s="16" t="s">
        <v>276</v>
      </c>
      <c r="C132" s="15" t="s">
        <v>67</v>
      </c>
      <c r="D132" s="16" t="s">
        <v>218</v>
      </c>
      <c r="E132" s="16"/>
      <c r="F132" s="24"/>
      <c r="G132" s="24"/>
      <c r="H132" s="24"/>
    </row>
    <row r="133" spans="1:8" x14ac:dyDescent="0.25">
      <c r="A133" s="15">
        <f t="shared" si="2"/>
        <v>132</v>
      </c>
      <c r="B133" s="16" t="s">
        <v>201</v>
      </c>
      <c r="C133" s="15" t="s">
        <v>63</v>
      </c>
      <c r="D133" s="16" t="s">
        <v>218</v>
      </c>
      <c r="E133" s="16"/>
      <c r="F133" s="24"/>
      <c r="G133" s="24"/>
      <c r="H133" s="24"/>
    </row>
    <row r="134" spans="1:8" x14ac:dyDescent="0.25">
      <c r="A134" s="15">
        <f t="shared" si="2"/>
        <v>133</v>
      </c>
      <c r="B134" s="15" t="s">
        <v>115</v>
      </c>
      <c r="C134" s="15" t="s">
        <v>64</v>
      </c>
      <c r="D134" s="15" t="s">
        <v>217</v>
      </c>
      <c r="E134" s="15" t="s">
        <v>229</v>
      </c>
      <c r="F134" s="24" t="s">
        <v>303</v>
      </c>
      <c r="G134" s="24"/>
      <c r="H134" s="24"/>
    </row>
    <row r="135" spans="1:8" x14ac:dyDescent="0.25">
      <c r="A135" s="15">
        <f t="shared" si="2"/>
        <v>134</v>
      </c>
      <c r="B135" s="15" t="s">
        <v>378</v>
      </c>
      <c r="C135" s="15" t="s">
        <v>381</v>
      </c>
      <c r="D135" s="16" t="s">
        <v>218</v>
      </c>
      <c r="E135" s="25"/>
      <c r="F135" s="25"/>
      <c r="G135" s="25"/>
      <c r="H135" s="25"/>
    </row>
    <row r="136" spans="1:8" x14ac:dyDescent="0.25">
      <c r="A136" s="15">
        <f t="shared" si="2"/>
        <v>135</v>
      </c>
      <c r="B136" s="15" t="s">
        <v>116</v>
      </c>
      <c r="C136" s="15" t="s">
        <v>64</v>
      </c>
      <c r="D136" s="15" t="s">
        <v>217</v>
      </c>
      <c r="E136" s="15" t="s">
        <v>229</v>
      </c>
      <c r="F136" s="24" t="s">
        <v>303</v>
      </c>
      <c r="G136" s="24"/>
      <c r="H136" s="24"/>
    </row>
    <row r="137" spans="1:8" x14ac:dyDescent="0.25">
      <c r="A137" s="15">
        <f t="shared" si="2"/>
        <v>136</v>
      </c>
      <c r="B137" s="15" t="s">
        <v>117</v>
      </c>
      <c r="C137" s="15" t="s">
        <v>62</v>
      </c>
      <c r="D137" s="15" t="s">
        <v>218</v>
      </c>
      <c r="E137" s="15" t="s">
        <v>228</v>
      </c>
      <c r="F137" s="24"/>
      <c r="G137" s="24"/>
      <c r="H137" s="24"/>
    </row>
    <row r="138" spans="1:8" x14ac:dyDescent="0.25">
      <c r="A138" s="15">
        <f t="shared" si="2"/>
        <v>137</v>
      </c>
      <c r="B138" s="15" t="s">
        <v>118</v>
      </c>
      <c r="C138" s="15" t="s">
        <v>76</v>
      </c>
      <c r="D138" s="15" t="s">
        <v>218</v>
      </c>
      <c r="E138" s="15"/>
      <c r="F138" s="24"/>
      <c r="G138" s="24"/>
      <c r="H138" s="24"/>
    </row>
    <row r="139" spans="1:8" x14ac:dyDescent="0.25">
      <c r="A139" s="15">
        <f t="shared" si="2"/>
        <v>138</v>
      </c>
      <c r="B139" s="24" t="s">
        <v>317</v>
      </c>
      <c r="C139" s="15" t="s">
        <v>318</v>
      </c>
      <c r="D139" s="16" t="s">
        <v>218</v>
      </c>
      <c r="E139" s="24"/>
      <c r="F139" s="24" t="s">
        <v>303</v>
      </c>
      <c r="G139" s="24"/>
      <c r="H139" s="24"/>
    </row>
    <row r="140" spans="1:8" x14ac:dyDescent="0.25">
      <c r="A140" s="15">
        <f t="shared" si="2"/>
        <v>139</v>
      </c>
      <c r="B140" s="15" t="s">
        <v>119</v>
      </c>
      <c r="C140" s="15" t="s">
        <v>80</v>
      </c>
      <c r="D140" s="15" t="s">
        <v>218</v>
      </c>
      <c r="E140" s="15"/>
      <c r="F140" s="24"/>
      <c r="G140" s="24"/>
      <c r="H140" s="24"/>
    </row>
    <row r="141" spans="1:8" x14ac:dyDescent="0.25">
      <c r="A141" s="15">
        <f t="shared" si="2"/>
        <v>140</v>
      </c>
      <c r="B141" s="16" t="s">
        <v>529</v>
      </c>
      <c r="C141" s="15" t="s">
        <v>530</v>
      </c>
      <c r="D141" s="16" t="s">
        <v>218</v>
      </c>
      <c r="E141" s="16"/>
      <c r="F141" s="24"/>
      <c r="G141" s="24"/>
      <c r="H141" s="24"/>
    </row>
    <row r="142" spans="1:8" x14ac:dyDescent="0.25">
      <c r="A142" s="15">
        <f t="shared" si="2"/>
        <v>141</v>
      </c>
      <c r="B142" s="15" t="s">
        <v>385</v>
      </c>
      <c r="C142" s="15" t="s">
        <v>63</v>
      </c>
      <c r="D142" s="16" t="s">
        <v>218</v>
      </c>
      <c r="E142" s="25"/>
      <c r="F142" s="25"/>
      <c r="G142" s="25"/>
      <c r="H142" s="25"/>
    </row>
    <row r="143" spans="1:8" x14ac:dyDescent="0.25">
      <c r="A143" s="15">
        <f t="shared" si="2"/>
        <v>142</v>
      </c>
      <c r="B143" s="15" t="s">
        <v>120</v>
      </c>
      <c r="C143" s="15" t="s">
        <v>63</v>
      </c>
      <c r="D143" s="15" t="s">
        <v>218</v>
      </c>
      <c r="E143" s="15"/>
      <c r="F143" s="24"/>
      <c r="G143" s="24"/>
      <c r="H143" s="24"/>
    </row>
    <row r="144" spans="1:8" x14ac:dyDescent="0.25">
      <c r="A144" s="15">
        <f t="shared" si="2"/>
        <v>143</v>
      </c>
      <c r="B144" s="15" t="s">
        <v>121</v>
      </c>
      <c r="C144" s="15" t="s">
        <v>64</v>
      </c>
      <c r="D144" s="15" t="s">
        <v>217</v>
      </c>
      <c r="E144" s="15" t="s">
        <v>229</v>
      </c>
      <c r="F144" s="24"/>
      <c r="G144" s="24"/>
      <c r="H144" s="24"/>
    </row>
    <row r="145" spans="1:8" x14ac:dyDescent="0.25">
      <c r="A145" s="15">
        <f t="shared" si="2"/>
        <v>144</v>
      </c>
      <c r="B145" s="15" t="s">
        <v>1396</v>
      </c>
      <c r="C145" s="15" t="s">
        <v>1420</v>
      </c>
      <c r="D145" s="25" t="s">
        <v>218</v>
      </c>
      <c r="E145" s="25"/>
      <c r="F145" s="25"/>
      <c r="G145" s="25"/>
      <c r="H145" s="25"/>
    </row>
    <row r="146" spans="1:8" x14ac:dyDescent="0.25">
      <c r="A146" s="15">
        <f t="shared" si="2"/>
        <v>145</v>
      </c>
      <c r="B146" s="16" t="s">
        <v>533</v>
      </c>
      <c r="C146" s="15" t="s">
        <v>198</v>
      </c>
      <c r="D146" s="16" t="s">
        <v>218</v>
      </c>
      <c r="E146" s="16"/>
      <c r="F146" s="24"/>
      <c r="G146" s="24"/>
      <c r="H146" s="24"/>
    </row>
    <row r="147" spans="1:8" x14ac:dyDescent="0.25">
      <c r="A147" s="15">
        <f t="shared" si="2"/>
        <v>146</v>
      </c>
      <c r="B147" s="15" t="s">
        <v>122</v>
      </c>
      <c r="C147" s="15" t="s">
        <v>82</v>
      </c>
      <c r="D147" s="15" t="s">
        <v>218</v>
      </c>
      <c r="E147" s="15"/>
      <c r="F147" s="24"/>
      <c r="G147" s="24"/>
      <c r="H147" s="24"/>
    </row>
    <row r="148" spans="1:8" x14ac:dyDescent="0.25">
      <c r="A148" s="15">
        <f t="shared" si="2"/>
        <v>147</v>
      </c>
      <c r="B148" s="15" t="s">
        <v>362</v>
      </c>
      <c r="C148" s="15" t="s">
        <v>79</v>
      </c>
      <c r="D148" s="16" t="s">
        <v>218</v>
      </c>
      <c r="E148" s="25" t="s">
        <v>232</v>
      </c>
      <c r="F148" s="25"/>
      <c r="G148" s="25"/>
      <c r="H148" s="25"/>
    </row>
    <row r="149" spans="1:8" x14ac:dyDescent="0.25">
      <c r="A149" s="15">
        <f t="shared" si="2"/>
        <v>148</v>
      </c>
      <c r="B149" s="15" t="s">
        <v>452</v>
      </c>
      <c r="C149" s="15" t="s">
        <v>456</v>
      </c>
      <c r="D149" s="16" t="s">
        <v>218</v>
      </c>
      <c r="E149" s="25"/>
      <c r="F149" s="25"/>
      <c r="G149" s="25"/>
      <c r="H149" s="25"/>
    </row>
    <row r="150" spans="1:8" x14ac:dyDescent="0.25">
      <c r="A150" s="15">
        <f t="shared" si="2"/>
        <v>149</v>
      </c>
      <c r="B150" s="15" t="s">
        <v>414</v>
      </c>
      <c r="C150" s="15" t="s">
        <v>285</v>
      </c>
      <c r="D150" s="16" t="s">
        <v>218</v>
      </c>
      <c r="E150" s="25"/>
      <c r="F150" s="25"/>
      <c r="G150" s="25"/>
      <c r="H150" s="25"/>
    </row>
    <row r="151" spans="1:8" x14ac:dyDescent="0.25">
      <c r="A151" s="15">
        <f t="shared" si="2"/>
        <v>150</v>
      </c>
      <c r="B151" s="15" t="s">
        <v>182</v>
      </c>
      <c r="C151" s="15" t="s">
        <v>64</v>
      </c>
      <c r="D151" s="15" t="s">
        <v>217</v>
      </c>
      <c r="E151" s="15"/>
      <c r="F151" s="24"/>
      <c r="G151" s="24"/>
      <c r="H151" s="24"/>
    </row>
    <row r="152" spans="1:8" x14ac:dyDescent="0.25">
      <c r="A152" s="15">
        <f t="shared" si="2"/>
        <v>151</v>
      </c>
      <c r="B152" s="15" t="s">
        <v>123</v>
      </c>
      <c r="C152" s="15" t="s">
        <v>79</v>
      </c>
      <c r="D152" s="15" t="s">
        <v>218</v>
      </c>
      <c r="E152" s="15"/>
      <c r="F152" s="24"/>
      <c r="G152" s="24"/>
      <c r="H152" s="24"/>
    </row>
    <row r="153" spans="1:8" x14ac:dyDescent="0.25">
      <c r="A153" s="15">
        <f t="shared" si="2"/>
        <v>152</v>
      </c>
      <c r="B153" s="16" t="s">
        <v>280</v>
      </c>
      <c r="C153" s="15" t="s">
        <v>285</v>
      </c>
      <c r="D153" s="16" t="s">
        <v>218</v>
      </c>
      <c r="E153" s="16"/>
      <c r="F153" s="24"/>
      <c r="G153" s="24"/>
      <c r="H153" s="24"/>
    </row>
    <row r="154" spans="1:8" x14ac:dyDescent="0.25">
      <c r="A154" s="15">
        <f t="shared" si="2"/>
        <v>153</v>
      </c>
      <c r="B154" s="15" t="s">
        <v>124</v>
      </c>
      <c r="C154" s="15" t="s">
        <v>75</v>
      </c>
      <c r="D154" s="15" t="s">
        <v>218</v>
      </c>
      <c r="E154" s="15"/>
      <c r="F154" s="24"/>
      <c r="G154" s="24"/>
      <c r="H154" s="24"/>
    </row>
    <row r="155" spans="1:8" x14ac:dyDescent="0.25">
      <c r="A155" s="15">
        <f t="shared" si="2"/>
        <v>154</v>
      </c>
      <c r="B155" s="15" t="s">
        <v>387</v>
      </c>
      <c r="C155" s="15" t="s">
        <v>62</v>
      </c>
      <c r="D155" s="16" t="s">
        <v>218</v>
      </c>
      <c r="E155" s="25"/>
      <c r="F155" s="25"/>
      <c r="G155" s="25"/>
      <c r="H155" s="25"/>
    </row>
    <row r="156" spans="1:8" x14ac:dyDescent="0.25">
      <c r="A156" s="15">
        <f t="shared" si="2"/>
        <v>155</v>
      </c>
      <c r="B156" s="15" t="s">
        <v>380</v>
      </c>
      <c r="C156" s="15" t="s">
        <v>381</v>
      </c>
      <c r="D156" s="16" t="s">
        <v>218</v>
      </c>
      <c r="E156" s="25"/>
      <c r="F156" s="25"/>
      <c r="G156" s="25"/>
      <c r="H156" s="25"/>
    </row>
    <row r="157" spans="1:8" x14ac:dyDescent="0.25">
      <c r="A157" s="15">
        <f t="shared" si="2"/>
        <v>156</v>
      </c>
      <c r="B157" s="15" t="s">
        <v>125</v>
      </c>
      <c r="C157" s="15" t="s">
        <v>64</v>
      </c>
      <c r="D157" s="15" t="s">
        <v>217</v>
      </c>
      <c r="E157" s="15"/>
      <c r="F157" s="24"/>
      <c r="G157" s="24"/>
      <c r="H157" s="24"/>
    </row>
    <row r="158" spans="1:8" x14ac:dyDescent="0.25">
      <c r="A158" s="15">
        <f t="shared" si="2"/>
        <v>157</v>
      </c>
      <c r="B158" s="15" t="s">
        <v>126</v>
      </c>
      <c r="C158" s="15" t="s">
        <v>190</v>
      </c>
      <c r="D158" s="15" t="s">
        <v>218</v>
      </c>
      <c r="E158" s="15"/>
      <c r="F158" s="24"/>
      <c r="G158" s="24"/>
      <c r="H158" s="24"/>
    </row>
    <row r="159" spans="1:8" x14ac:dyDescent="0.25">
      <c r="A159" s="15">
        <f t="shared" si="2"/>
        <v>158</v>
      </c>
      <c r="B159" s="15" t="s">
        <v>127</v>
      </c>
      <c r="C159" s="15" t="s">
        <v>62</v>
      </c>
      <c r="D159" s="15" t="s">
        <v>218</v>
      </c>
      <c r="E159" s="15" t="s">
        <v>235</v>
      </c>
      <c r="F159" s="24" t="s">
        <v>303</v>
      </c>
      <c r="G159" s="24"/>
      <c r="H159" s="24"/>
    </row>
    <row r="160" spans="1:8" x14ac:dyDescent="0.25">
      <c r="A160" s="15">
        <f t="shared" si="2"/>
        <v>159</v>
      </c>
      <c r="B160" s="15" t="s">
        <v>128</v>
      </c>
      <c r="C160" s="15" t="s">
        <v>62</v>
      </c>
      <c r="D160" s="15" t="s">
        <v>218</v>
      </c>
      <c r="E160" s="15"/>
      <c r="F160" s="24"/>
      <c r="G160" s="24"/>
      <c r="H160" s="24"/>
    </row>
    <row r="161" spans="1:8" x14ac:dyDescent="0.25">
      <c r="A161" s="15">
        <f t="shared" si="2"/>
        <v>160</v>
      </c>
      <c r="B161" s="15" t="s">
        <v>397</v>
      </c>
      <c r="C161" s="15" t="s">
        <v>63</v>
      </c>
      <c r="D161" s="16" t="s">
        <v>218</v>
      </c>
      <c r="E161" s="25"/>
      <c r="F161" s="25"/>
      <c r="G161" s="25"/>
      <c r="H161" s="25"/>
    </row>
    <row r="162" spans="1:8" x14ac:dyDescent="0.25">
      <c r="A162" s="15">
        <f t="shared" si="2"/>
        <v>161</v>
      </c>
      <c r="B162" s="15" t="s">
        <v>411</v>
      </c>
      <c r="C162" s="15" t="s">
        <v>412</v>
      </c>
      <c r="D162" s="16" t="s">
        <v>218</v>
      </c>
      <c r="E162" s="25"/>
      <c r="F162" s="25"/>
      <c r="G162" s="25"/>
      <c r="H162" s="25"/>
    </row>
    <row r="163" spans="1:8" x14ac:dyDescent="0.25">
      <c r="A163" s="15">
        <f t="shared" si="2"/>
        <v>162</v>
      </c>
      <c r="B163" s="15" t="s">
        <v>21</v>
      </c>
      <c r="C163" s="15" t="s">
        <v>61</v>
      </c>
      <c r="D163" s="15" t="s">
        <v>218</v>
      </c>
      <c r="E163" s="15"/>
      <c r="F163" s="24"/>
      <c r="G163" s="24"/>
      <c r="H163" s="24"/>
    </row>
    <row r="164" spans="1:8" x14ac:dyDescent="0.25">
      <c r="A164" s="15">
        <f t="shared" si="2"/>
        <v>163</v>
      </c>
      <c r="B164" s="15" t="s">
        <v>129</v>
      </c>
      <c r="C164" s="15" t="s">
        <v>190</v>
      </c>
      <c r="D164" s="15" t="s">
        <v>218</v>
      </c>
      <c r="E164" s="15"/>
      <c r="F164" s="24"/>
      <c r="G164" s="24"/>
      <c r="H164" s="24"/>
    </row>
    <row r="165" spans="1:8" x14ac:dyDescent="0.25">
      <c r="A165" s="15">
        <f t="shared" si="2"/>
        <v>164</v>
      </c>
      <c r="B165" s="15" t="s">
        <v>369</v>
      </c>
      <c r="C165" s="15" t="s">
        <v>61</v>
      </c>
      <c r="D165" s="16" t="s">
        <v>218</v>
      </c>
      <c r="E165" s="25"/>
      <c r="F165" s="25"/>
      <c r="G165" s="25"/>
      <c r="H165" s="25"/>
    </row>
    <row r="166" spans="1:8" x14ac:dyDescent="0.25">
      <c r="A166" s="15">
        <f t="shared" si="2"/>
        <v>165</v>
      </c>
      <c r="B166" s="24" t="s">
        <v>347</v>
      </c>
      <c r="C166" s="15" t="s">
        <v>62</v>
      </c>
      <c r="D166" s="16" t="s">
        <v>218</v>
      </c>
      <c r="E166" s="24"/>
      <c r="F166" s="24"/>
      <c r="G166" s="24"/>
      <c r="H166" s="24"/>
    </row>
    <row r="167" spans="1:8" x14ac:dyDescent="0.25">
      <c r="A167" s="15">
        <f t="shared" si="2"/>
        <v>166</v>
      </c>
      <c r="B167" s="16" t="s">
        <v>287</v>
      </c>
      <c r="C167" s="15" t="s">
        <v>199</v>
      </c>
      <c r="D167" s="16" t="s">
        <v>218</v>
      </c>
      <c r="E167" s="16"/>
      <c r="F167" s="24"/>
      <c r="G167" s="24"/>
      <c r="H167" s="24"/>
    </row>
    <row r="168" spans="1:8" x14ac:dyDescent="0.25">
      <c r="A168" s="15">
        <f t="shared" si="2"/>
        <v>167</v>
      </c>
      <c r="B168" s="15" t="s">
        <v>59</v>
      </c>
      <c r="C168" s="15" t="s">
        <v>64</v>
      </c>
      <c r="D168" s="15" t="s">
        <v>217</v>
      </c>
      <c r="E168" s="15"/>
      <c r="F168" s="24"/>
      <c r="G168" s="24"/>
      <c r="H168" s="24"/>
    </row>
    <row r="169" spans="1:8" x14ac:dyDescent="0.25">
      <c r="A169" s="15">
        <f t="shared" si="2"/>
        <v>168</v>
      </c>
      <c r="B169" s="15" t="s">
        <v>24</v>
      </c>
      <c r="C169" s="15" t="s">
        <v>64</v>
      </c>
      <c r="D169" s="15" t="s">
        <v>217</v>
      </c>
      <c r="E169" s="15"/>
      <c r="F169" s="24" t="s">
        <v>303</v>
      </c>
      <c r="G169" s="24"/>
      <c r="H169" s="24"/>
    </row>
    <row r="170" spans="1:8" x14ac:dyDescent="0.25">
      <c r="A170" s="15">
        <f t="shared" si="2"/>
        <v>169</v>
      </c>
      <c r="B170" s="16" t="s">
        <v>527</v>
      </c>
      <c r="C170" s="15" t="s">
        <v>513</v>
      </c>
      <c r="D170" s="16" t="s">
        <v>218</v>
      </c>
      <c r="E170" s="16"/>
      <c r="F170" s="24"/>
      <c r="G170" s="24"/>
      <c r="H170" s="24"/>
    </row>
    <row r="171" spans="1:8" x14ac:dyDescent="0.25">
      <c r="A171" s="15">
        <f t="shared" si="2"/>
        <v>170</v>
      </c>
      <c r="B171" s="16" t="s">
        <v>546</v>
      </c>
      <c r="C171" s="15" t="s">
        <v>365</v>
      </c>
      <c r="D171" s="16" t="s">
        <v>218</v>
      </c>
      <c r="E171" s="16"/>
      <c r="F171" s="24"/>
      <c r="G171" s="24"/>
      <c r="H171" s="24"/>
    </row>
    <row r="172" spans="1:8" x14ac:dyDescent="0.25">
      <c r="A172" s="15">
        <f t="shared" si="2"/>
        <v>171</v>
      </c>
      <c r="B172" s="16" t="s">
        <v>130</v>
      </c>
      <c r="C172" s="15" t="s">
        <v>66</v>
      </c>
      <c r="D172" s="16" t="s">
        <v>218</v>
      </c>
      <c r="E172" s="16"/>
      <c r="F172" s="24"/>
      <c r="G172" s="24"/>
      <c r="H172" s="24"/>
    </row>
    <row r="173" spans="1:8" x14ac:dyDescent="0.25">
      <c r="A173" s="15">
        <f t="shared" si="2"/>
        <v>172</v>
      </c>
      <c r="B173" s="15" t="s">
        <v>370</v>
      </c>
      <c r="C173" s="15" t="s">
        <v>212</v>
      </c>
      <c r="D173" s="16" t="s">
        <v>248</v>
      </c>
      <c r="E173" s="25"/>
      <c r="F173" s="25"/>
      <c r="G173" s="25"/>
      <c r="H173" s="25"/>
    </row>
    <row r="174" spans="1:8" x14ac:dyDescent="0.25">
      <c r="A174" s="15">
        <f t="shared" si="2"/>
        <v>173</v>
      </c>
      <c r="B174" s="16" t="s">
        <v>556</v>
      </c>
      <c r="C174" s="15" t="s">
        <v>62</v>
      </c>
      <c r="D174" s="16" t="s">
        <v>218</v>
      </c>
      <c r="E174" s="16"/>
      <c r="F174" s="24"/>
      <c r="G174" s="24"/>
      <c r="H174" s="24"/>
    </row>
    <row r="175" spans="1:8" x14ac:dyDescent="0.25">
      <c r="A175" s="15">
        <f t="shared" si="2"/>
        <v>174</v>
      </c>
      <c r="B175" s="15" t="s">
        <v>449</v>
      </c>
      <c r="C175" s="15" t="s">
        <v>62</v>
      </c>
      <c r="D175" s="16" t="s">
        <v>218</v>
      </c>
      <c r="E175" s="25"/>
      <c r="F175" s="25"/>
      <c r="G175" s="25"/>
      <c r="H175" s="25"/>
    </row>
    <row r="176" spans="1:8" x14ac:dyDescent="0.25">
      <c r="A176" s="15">
        <f t="shared" si="2"/>
        <v>175</v>
      </c>
      <c r="B176" s="24" t="s">
        <v>343</v>
      </c>
      <c r="C176" s="15" t="s">
        <v>294</v>
      </c>
      <c r="D176" s="16" t="s">
        <v>218</v>
      </c>
      <c r="E176" s="24"/>
      <c r="F176" s="24"/>
      <c r="G176" s="24"/>
      <c r="H176" s="24"/>
    </row>
    <row r="177" spans="1:8" x14ac:dyDescent="0.25">
      <c r="A177" s="15">
        <f t="shared" si="2"/>
        <v>176</v>
      </c>
      <c r="B177" s="15" t="s">
        <v>210</v>
      </c>
      <c r="C177" s="15" t="s">
        <v>212</v>
      </c>
      <c r="D177" s="15" t="s">
        <v>217</v>
      </c>
      <c r="E177" s="15"/>
      <c r="F177" s="24"/>
      <c r="G177" s="24"/>
      <c r="H177" s="24"/>
    </row>
    <row r="178" spans="1:8" x14ac:dyDescent="0.25">
      <c r="A178" s="15">
        <f t="shared" si="2"/>
        <v>177</v>
      </c>
      <c r="B178" s="15" t="s">
        <v>438</v>
      </c>
      <c r="C178" s="15" t="s">
        <v>70</v>
      </c>
      <c r="D178" s="15" t="s">
        <v>218</v>
      </c>
      <c r="E178" s="15" t="s">
        <v>227</v>
      </c>
      <c r="F178" s="24" t="s">
        <v>272</v>
      </c>
      <c r="G178" s="24"/>
      <c r="H178" s="24"/>
    </row>
    <row r="179" spans="1:8" x14ac:dyDescent="0.25">
      <c r="A179" s="15">
        <f t="shared" si="2"/>
        <v>178</v>
      </c>
      <c r="B179" s="15" t="s">
        <v>437</v>
      </c>
      <c r="C179" s="15" t="s">
        <v>70</v>
      </c>
      <c r="D179" s="15" t="s">
        <v>218</v>
      </c>
      <c r="E179" s="15" t="s">
        <v>227</v>
      </c>
      <c r="F179" s="24" t="s">
        <v>272</v>
      </c>
      <c r="G179" s="24"/>
      <c r="H179" s="24"/>
    </row>
    <row r="180" spans="1:8" x14ac:dyDescent="0.25">
      <c r="A180" s="15">
        <f t="shared" si="2"/>
        <v>179</v>
      </c>
      <c r="B180" s="15" t="s">
        <v>245</v>
      </c>
      <c r="C180" s="15" t="s">
        <v>246</v>
      </c>
      <c r="D180" s="15" t="s">
        <v>218</v>
      </c>
      <c r="E180" s="24"/>
      <c r="F180" s="24"/>
      <c r="G180" s="24"/>
      <c r="H180" s="24"/>
    </row>
    <row r="181" spans="1:8" x14ac:dyDescent="0.25">
      <c r="A181" s="15">
        <f t="shared" si="2"/>
        <v>180</v>
      </c>
      <c r="B181" s="15" t="s">
        <v>131</v>
      </c>
      <c r="C181" s="15" t="s">
        <v>62</v>
      </c>
      <c r="D181" s="15" t="s">
        <v>218</v>
      </c>
      <c r="E181" s="15" t="s">
        <v>227</v>
      </c>
      <c r="F181" s="24" t="s">
        <v>272</v>
      </c>
      <c r="G181" s="24"/>
      <c r="H181" s="24"/>
    </row>
    <row r="182" spans="1:8" x14ac:dyDescent="0.25">
      <c r="A182" s="15">
        <f t="shared" si="2"/>
        <v>181</v>
      </c>
      <c r="B182" s="16" t="s">
        <v>550</v>
      </c>
      <c r="C182" s="15" t="s">
        <v>63</v>
      </c>
      <c r="D182" s="16" t="s">
        <v>218</v>
      </c>
      <c r="E182" s="16"/>
      <c r="F182" s="24"/>
      <c r="G182" s="24"/>
      <c r="H182" s="24"/>
    </row>
    <row r="183" spans="1:8" x14ac:dyDescent="0.25">
      <c r="A183" s="15">
        <f t="shared" si="2"/>
        <v>182</v>
      </c>
      <c r="B183" s="15" t="s">
        <v>374</v>
      </c>
      <c r="C183" s="15" t="s">
        <v>375</v>
      </c>
      <c r="D183" s="16" t="s">
        <v>218</v>
      </c>
      <c r="E183" s="25"/>
      <c r="F183" s="25"/>
      <c r="G183" s="25"/>
      <c r="H183" s="25"/>
    </row>
    <row r="184" spans="1:8" x14ac:dyDescent="0.25">
      <c r="A184" s="15">
        <f t="shared" si="2"/>
        <v>183</v>
      </c>
      <c r="B184" s="16" t="s">
        <v>132</v>
      </c>
      <c r="C184" s="15" t="s">
        <v>191</v>
      </c>
      <c r="D184" s="16" t="s">
        <v>218</v>
      </c>
      <c r="E184" s="16"/>
      <c r="F184" s="24"/>
      <c r="G184" s="24"/>
      <c r="H184" s="24"/>
    </row>
    <row r="185" spans="1:8" x14ac:dyDescent="0.25">
      <c r="A185" s="15">
        <f t="shared" si="2"/>
        <v>184</v>
      </c>
      <c r="B185" s="16" t="s">
        <v>538</v>
      </c>
      <c r="C185" s="15" t="s">
        <v>194</v>
      </c>
      <c r="D185" s="16" t="s">
        <v>218</v>
      </c>
      <c r="E185" s="16"/>
      <c r="F185" s="24"/>
      <c r="G185" s="24"/>
      <c r="H185" s="24"/>
    </row>
    <row r="186" spans="1:8" x14ac:dyDescent="0.25">
      <c r="A186" s="15">
        <f t="shared" si="2"/>
        <v>185</v>
      </c>
      <c r="B186" s="15" t="s">
        <v>205</v>
      </c>
      <c r="C186" s="15" t="s">
        <v>63</v>
      </c>
      <c r="D186" s="15" t="s">
        <v>218</v>
      </c>
      <c r="E186" s="15"/>
      <c r="F186" s="24"/>
      <c r="G186" s="24"/>
      <c r="H186" s="24"/>
    </row>
    <row r="187" spans="1:8" x14ac:dyDescent="0.25">
      <c r="A187" s="15">
        <f t="shared" si="2"/>
        <v>186</v>
      </c>
      <c r="B187" s="24" t="s">
        <v>463</v>
      </c>
      <c r="C187" s="15" t="s">
        <v>467</v>
      </c>
      <c r="D187" s="16" t="s">
        <v>218</v>
      </c>
      <c r="E187" s="25"/>
      <c r="F187" s="25"/>
      <c r="G187" s="25"/>
      <c r="H187" s="25"/>
    </row>
    <row r="188" spans="1:8" x14ac:dyDescent="0.25">
      <c r="A188" s="15">
        <f t="shared" si="2"/>
        <v>187</v>
      </c>
      <c r="B188" s="24" t="s">
        <v>338</v>
      </c>
      <c r="C188" s="15" t="s">
        <v>71</v>
      </c>
      <c r="D188" s="15" t="s">
        <v>218</v>
      </c>
      <c r="E188" s="13" t="s">
        <v>339</v>
      </c>
      <c r="F188" s="15"/>
      <c r="G188" s="15"/>
      <c r="H188" s="15"/>
    </row>
    <row r="189" spans="1:8" x14ac:dyDescent="0.25">
      <c r="A189" s="15">
        <f t="shared" si="2"/>
        <v>188</v>
      </c>
      <c r="B189" s="15" t="s">
        <v>419</v>
      </c>
      <c r="C189" s="15" t="s">
        <v>291</v>
      </c>
      <c r="D189" s="16" t="s">
        <v>218</v>
      </c>
      <c r="E189" s="25" t="s">
        <v>227</v>
      </c>
      <c r="F189" s="25"/>
      <c r="G189" s="25"/>
      <c r="H189" s="25"/>
    </row>
    <row r="190" spans="1:8" x14ac:dyDescent="0.25">
      <c r="A190" s="15">
        <f t="shared" si="2"/>
        <v>189</v>
      </c>
      <c r="B190" s="15" t="s">
        <v>453</v>
      </c>
      <c r="C190" s="15" t="s">
        <v>399</v>
      </c>
      <c r="D190" s="16" t="s">
        <v>218</v>
      </c>
      <c r="E190" s="25"/>
      <c r="F190" s="24" t="s">
        <v>264</v>
      </c>
      <c r="G190" s="24"/>
      <c r="H190" s="24"/>
    </row>
    <row r="191" spans="1:8" x14ac:dyDescent="0.25">
      <c r="A191" s="15">
        <f t="shared" si="2"/>
        <v>190</v>
      </c>
      <c r="B191" s="15" t="s">
        <v>502</v>
      </c>
      <c r="C191" s="15" t="s">
        <v>503</v>
      </c>
      <c r="D191" s="25" t="s">
        <v>218</v>
      </c>
      <c r="E191" s="25"/>
      <c r="F191" s="25"/>
      <c r="G191" s="25"/>
      <c r="H191" s="25"/>
    </row>
    <row r="192" spans="1:8" x14ac:dyDescent="0.25">
      <c r="A192" s="15">
        <f t="shared" si="2"/>
        <v>191</v>
      </c>
      <c r="B192" s="15" t="s">
        <v>23</v>
      </c>
      <c r="C192" s="15" t="s">
        <v>64</v>
      </c>
      <c r="D192" s="15" t="s">
        <v>217</v>
      </c>
      <c r="E192" s="15" t="s">
        <v>227</v>
      </c>
      <c r="F192" s="24" t="s">
        <v>264</v>
      </c>
      <c r="G192" s="24"/>
      <c r="H192" s="24"/>
    </row>
    <row r="193" spans="1:8" x14ac:dyDescent="0.25">
      <c r="A193" s="15">
        <f t="shared" si="2"/>
        <v>192</v>
      </c>
      <c r="B193" s="15" t="s">
        <v>265</v>
      </c>
      <c r="C193" s="15" t="s">
        <v>225</v>
      </c>
      <c r="D193" s="15" t="s">
        <v>218</v>
      </c>
      <c r="E193" s="24"/>
      <c r="F193" s="24" t="s">
        <v>264</v>
      </c>
      <c r="G193" s="24"/>
      <c r="H193" s="24"/>
    </row>
    <row r="194" spans="1:8" x14ac:dyDescent="0.25">
      <c r="A194" s="15">
        <f t="shared" si="2"/>
        <v>193</v>
      </c>
      <c r="B194" s="15" t="s">
        <v>430</v>
      </c>
      <c r="C194" s="15" t="s">
        <v>62</v>
      </c>
      <c r="D194" s="16" t="s">
        <v>218</v>
      </c>
      <c r="E194" s="25"/>
      <c r="F194" s="25"/>
      <c r="G194" s="25"/>
      <c r="H194" s="25"/>
    </row>
    <row r="195" spans="1:8" x14ac:dyDescent="0.25">
      <c r="A195" s="15">
        <f t="shared" si="2"/>
        <v>194</v>
      </c>
      <c r="B195" s="16" t="s">
        <v>133</v>
      </c>
      <c r="C195" s="15" t="s">
        <v>64</v>
      </c>
      <c r="D195" s="16" t="s">
        <v>217</v>
      </c>
      <c r="E195" s="16"/>
      <c r="F195" s="24"/>
      <c r="G195" s="24"/>
      <c r="H195" s="24"/>
    </row>
    <row r="196" spans="1:8" x14ac:dyDescent="0.25">
      <c r="A196" s="15">
        <f t="shared" ref="A196:A259" si="3">A195+1</f>
        <v>195</v>
      </c>
      <c r="B196" s="15" t="s">
        <v>14</v>
      </c>
      <c r="C196" s="15" t="s">
        <v>192</v>
      </c>
      <c r="D196" s="15" t="s">
        <v>218</v>
      </c>
      <c r="E196" s="15"/>
      <c r="F196" s="24"/>
      <c r="G196" s="24"/>
      <c r="H196" s="24"/>
    </row>
    <row r="197" spans="1:8" x14ac:dyDescent="0.25">
      <c r="A197" s="15">
        <f t="shared" si="3"/>
        <v>196</v>
      </c>
      <c r="B197" s="15" t="s">
        <v>391</v>
      </c>
      <c r="C197" s="15" t="s">
        <v>392</v>
      </c>
      <c r="D197" s="16" t="s">
        <v>218</v>
      </c>
      <c r="E197" s="25"/>
      <c r="F197" s="25"/>
      <c r="G197" s="25"/>
      <c r="H197" s="25"/>
    </row>
    <row r="198" spans="1:8" x14ac:dyDescent="0.25">
      <c r="A198" s="15">
        <f t="shared" si="3"/>
        <v>197</v>
      </c>
      <c r="B198" s="15" t="s">
        <v>134</v>
      </c>
      <c r="C198" s="15" t="s">
        <v>64</v>
      </c>
      <c r="D198" s="15" t="s">
        <v>217</v>
      </c>
      <c r="E198" s="15"/>
      <c r="F198" s="24"/>
      <c r="G198" s="24"/>
      <c r="H198" s="24"/>
    </row>
    <row r="199" spans="1:8" x14ac:dyDescent="0.25">
      <c r="A199" s="15">
        <f t="shared" si="3"/>
        <v>198</v>
      </c>
      <c r="B199" s="16" t="s">
        <v>135</v>
      </c>
      <c r="C199" s="15" t="s">
        <v>193</v>
      </c>
      <c r="D199" s="16" t="s">
        <v>218</v>
      </c>
      <c r="E199" s="16"/>
      <c r="F199" s="24"/>
      <c r="G199" s="24"/>
      <c r="H199" s="24"/>
    </row>
    <row r="200" spans="1:8" x14ac:dyDescent="0.25">
      <c r="A200" s="15">
        <f t="shared" si="3"/>
        <v>199</v>
      </c>
      <c r="B200" s="15" t="s">
        <v>406</v>
      </c>
      <c r="C200" s="15" t="s">
        <v>189</v>
      </c>
      <c r="D200" s="16" t="s">
        <v>218</v>
      </c>
      <c r="E200" s="25"/>
      <c r="F200" s="25"/>
      <c r="G200" s="25"/>
      <c r="H200" s="25"/>
    </row>
    <row r="201" spans="1:8" x14ac:dyDescent="0.25">
      <c r="A201" s="15">
        <f t="shared" si="3"/>
        <v>200</v>
      </c>
      <c r="B201" s="15" t="s">
        <v>488</v>
      </c>
      <c r="C201" s="15" t="s">
        <v>67</v>
      </c>
      <c r="D201" s="25" t="s">
        <v>218</v>
      </c>
      <c r="E201" s="25"/>
      <c r="F201" s="25"/>
      <c r="G201" s="25"/>
      <c r="H201" s="25"/>
    </row>
    <row r="202" spans="1:8" x14ac:dyDescent="0.25">
      <c r="A202" s="15">
        <f t="shared" si="3"/>
        <v>201</v>
      </c>
      <c r="B202" s="15" t="s">
        <v>136</v>
      </c>
      <c r="C202" s="15" t="s">
        <v>66</v>
      </c>
      <c r="D202" s="15" t="s">
        <v>218</v>
      </c>
      <c r="E202" s="15" t="s">
        <v>232</v>
      </c>
      <c r="F202" s="24" t="s">
        <v>264</v>
      </c>
      <c r="G202" s="24"/>
      <c r="H202" s="24"/>
    </row>
    <row r="203" spans="1:8" x14ac:dyDescent="0.25">
      <c r="A203" s="15">
        <f t="shared" si="3"/>
        <v>202</v>
      </c>
      <c r="B203" s="16" t="s">
        <v>547</v>
      </c>
      <c r="C203" s="15" t="s">
        <v>212</v>
      </c>
      <c r="D203" s="16" t="s">
        <v>217</v>
      </c>
      <c r="E203" s="16"/>
      <c r="F203" s="24"/>
      <c r="G203" s="24"/>
      <c r="H203" s="24"/>
    </row>
    <row r="204" spans="1:8" x14ac:dyDescent="0.25">
      <c r="A204" s="15">
        <f t="shared" si="3"/>
        <v>203</v>
      </c>
      <c r="B204" s="15" t="s">
        <v>137</v>
      </c>
      <c r="C204" s="15" t="s">
        <v>62</v>
      </c>
      <c r="D204" s="15" t="s">
        <v>218</v>
      </c>
      <c r="E204" s="15"/>
      <c r="F204" s="24"/>
      <c r="G204" s="24"/>
      <c r="H204" s="24"/>
    </row>
    <row r="205" spans="1:8" x14ac:dyDescent="0.25">
      <c r="A205" s="15">
        <f t="shared" si="3"/>
        <v>204</v>
      </c>
      <c r="B205" s="15" t="s">
        <v>1595</v>
      </c>
      <c r="C205" s="15" t="s">
        <v>1598</v>
      </c>
      <c r="D205" s="25" t="s">
        <v>218</v>
      </c>
      <c r="E205" s="25"/>
      <c r="F205" s="25"/>
      <c r="G205" s="25"/>
      <c r="H205" s="25"/>
    </row>
    <row r="206" spans="1:8" x14ac:dyDescent="0.25">
      <c r="A206" s="15">
        <f t="shared" si="3"/>
        <v>205</v>
      </c>
      <c r="B206" s="15" t="s">
        <v>561</v>
      </c>
      <c r="C206" s="15" t="s">
        <v>212</v>
      </c>
      <c r="D206" s="25" t="s">
        <v>217</v>
      </c>
      <c r="E206" s="25"/>
      <c r="F206" s="25"/>
      <c r="G206" s="25"/>
      <c r="H206" s="25"/>
    </row>
    <row r="207" spans="1:8" x14ac:dyDescent="0.25">
      <c r="A207" s="15">
        <f t="shared" si="3"/>
        <v>206</v>
      </c>
      <c r="B207" s="15" t="s">
        <v>15</v>
      </c>
      <c r="C207" s="15" t="s">
        <v>61</v>
      </c>
      <c r="D207" s="15" t="s">
        <v>218</v>
      </c>
      <c r="E207" s="15" t="s">
        <v>304</v>
      </c>
      <c r="F207" s="24" t="s">
        <v>266</v>
      </c>
      <c r="G207" s="24"/>
      <c r="H207" s="24"/>
    </row>
    <row r="208" spans="1:8" x14ac:dyDescent="0.25">
      <c r="A208" s="15">
        <f t="shared" si="3"/>
        <v>207</v>
      </c>
      <c r="B208" s="15" t="s">
        <v>459</v>
      </c>
      <c r="C208" s="15" t="s">
        <v>291</v>
      </c>
      <c r="D208" s="16" t="s">
        <v>218</v>
      </c>
      <c r="E208" s="25" t="s">
        <v>227</v>
      </c>
      <c r="F208" s="25"/>
      <c r="G208" s="25"/>
      <c r="H208" s="25"/>
    </row>
    <row r="209" spans="1:8" x14ac:dyDescent="0.25">
      <c r="A209" s="15">
        <f t="shared" si="3"/>
        <v>208</v>
      </c>
      <c r="B209" s="16" t="s">
        <v>541</v>
      </c>
      <c r="C209" s="15" t="s">
        <v>71</v>
      </c>
      <c r="D209" s="16" t="s">
        <v>218</v>
      </c>
      <c r="E209" s="16"/>
      <c r="F209" s="24"/>
      <c r="G209" s="24"/>
      <c r="H209" s="24"/>
    </row>
    <row r="210" spans="1:8" x14ac:dyDescent="0.25">
      <c r="A210" s="15">
        <f t="shared" si="3"/>
        <v>209</v>
      </c>
      <c r="B210" s="15" t="s">
        <v>479</v>
      </c>
      <c r="C210" s="15" t="s">
        <v>480</v>
      </c>
      <c r="D210" s="25" t="s">
        <v>218</v>
      </c>
      <c r="E210" s="25"/>
      <c r="F210" s="25"/>
      <c r="G210" s="25"/>
      <c r="H210" s="25"/>
    </row>
    <row r="211" spans="1:8" x14ac:dyDescent="0.25">
      <c r="A211" s="15">
        <f t="shared" si="3"/>
        <v>210</v>
      </c>
      <c r="B211" s="24" t="s">
        <v>481</v>
      </c>
      <c r="C211" s="15" t="s">
        <v>482</v>
      </c>
      <c r="D211" s="25" t="s">
        <v>248</v>
      </c>
      <c r="E211" s="25"/>
      <c r="F211" s="25"/>
      <c r="G211" s="25"/>
      <c r="H211" s="25"/>
    </row>
    <row r="212" spans="1:8" x14ac:dyDescent="0.25">
      <c r="A212" s="15">
        <f t="shared" si="3"/>
        <v>211</v>
      </c>
      <c r="B212" s="15" t="s">
        <v>25</v>
      </c>
      <c r="C212" s="15" t="s">
        <v>64</v>
      </c>
      <c r="D212" s="15" t="s">
        <v>217</v>
      </c>
      <c r="E212" s="15"/>
      <c r="F212" s="24"/>
      <c r="G212" s="24"/>
      <c r="H212" s="24"/>
    </row>
    <row r="213" spans="1:8" x14ac:dyDescent="0.25">
      <c r="A213" s="15">
        <f t="shared" si="3"/>
        <v>212</v>
      </c>
      <c r="B213" s="15" t="s">
        <v>22</v>
      </c>
      <c r="C213" s="15" t="s">
        <v>194</v>
      </c>
      <c r="D213" s="15" t="s">
        <v>218</v>
      </c>
      <c r="E213" s="15" t="s">
        <v>227</v>
      </c>
      <c r="F213" s="24"/>
      <c r="G213" s="24"/>
      <c r="H213" s="24"/>
    </row>
    <row r="214" spans="1:8" x14ac:dyDescent="0.25">
      <c r="A214" s="15">
        <f t="shared" si="3"/>
        <v>213</v>
      </c>
      <c r="B214" s="16" t="s">
        <v>288</v>
      </c>
      <c r="C214" s="15" t="s">
        <v>293</v>
      </c>
      <c r="D214" s="16" t="s">
        <v>218</v>
      </c>
      <c r="E214" s="16"/>
      <c r="F214" s="24"/>
      <c r="G214" s="24"/>
      <c r="H214" s="24"/>
    </row>
    <row r="215" spans="1:8" x14ac:dyDescent="0.25">
      <c r="A215" s="15">
        <f t="shared" si="3"/>
        <v>214</v>
      </c>
      <c r="B215" s="15" t="s">
        <v>17</v>
      </c>
      <c r="C215" s="15" t="s">
        <v>67</v>
      </c>
      <c r="D215" s="15" t="s">
        <v>218</v>
      </c>
      <c r="E215" s="15"/>
      <c r="F215" s="24"/>
      <c r="G215" s="24"/>
      <c r="H215" s="24"/>
    </row>
    <row r="216" spans="1:8" x14ac:dyDescent="0.25">
      <c r="A216" s="15">
        <f t="shared" si="3"/>
        <v>215</v>
      </c>
      <c r="B216" s="15" t="s">
        <v>138</v>
      </c>
      <c r="C216" s="15" t="s">
        <v>64</v>
      </c>
      <c r="D216" s="15" t="s">
        <v>217</v>
      </c>
      <c r="E216" s="15" t="s">
        <v>229</v>
      </c>
      <c r="F216" s="24" t="s">
        <v>303</v>
      </c>
      <c r="G216" s="24"/>
      <c r="H216" s="24"/>
    </row>
    <row r="217" spans="1:8" x14ac:dyDescent="0.25">
      <c r="A217" s="15">
        <f t="shared" si="3"/>
        <v>216</v>
      </c>
      <c r="B217" s="15" t="s">
        <v>470</v>
      </c>
      <c r="C217" s="15" t="s">
        <v>212</v>
      </c>
      <c r="D217" s="25" t="s">
        <v>217</v>
      </c>
      <c r="E217" s="25"/>
      <c r="F217" s="25"/>
      <c r="G217" s="25"/>
      <c r="H217" s="25"/>
    </row>
    <row r="218" spans="1:8" x14ac:dyDescent="0.25">
      <c r="A218" s="15">
        <f t="shared" si="3"/>
        <v>217</v>
      </c>
      <c r="B218" s="15" t="s">
        <v>373</v>
      </c>
      <c r="C218" s="15" t="s">
        <v>354</v>
      </c>
      <c r="D218" s="16" t="s">
        <v>218</v>
      </c>
      <c r="E218" s="25"/>
      <c r="F218" s="25"/>
      <c r="G218" s="25"/>
      <c r="H218" s="25"/>
    </row>
    <row r="219" spans="1:8" x14ac:dyDescent="0.25">
      <c r="A219" s="15">
        <f t="shared" si="3"/>
        <v>218</v>
      </c>
      <c r="B219" s="15" t="s">
        <v>57</v>
      </c>
      <c r="C219" s="15" t="s">
        <v>70</v>
      </c>
      <c r="D219" s="15" t="s">
        <v>218</v>
      </c>
      <c r="E219" s="15"/>
      <c r="F219" s="24"/>
      <c r="G219" s="24"/>
      <c r="H219" s="24"/>
    </row>
    <row r="220" spans="1:8" x14ac:dyDescent="0.25">
      <c r="A220" s="15">
        <f t="shared" si="3"/>
        <v>219</v>
      </c>
      <c r="B220" s="16" t="s">
        <v>275</v>
      </c>
      <c r="C220" s="15" t="s">
        <v>212</v>
      </c>
      <c r="D220" s="16" t="s">
        <v>217</v>
      </c>
      <c r="E220" s="16"/>
      <c r="F220" s="24" t="s">
        <v>266</v>
      </c>
      <c r="G220" s="24"/>
      <c r="H220" s="24"/>
    </row>
    <row r="221" spans="1:8" x14ac:dyDescent="0.25">
      <c r="A221" s="15">
        <f t="shared" si="3"/>
        <v>220</v>
      </c>
      <c r="B221" s="15" t="s">
        <v>1134</v>
      </c>
      <c r="C221" s="15" t="s">
        <v>458</v>
      </c>
      <c r="D221" s="25" t="s">
        <v>218</v>
      </c>
      <c r="E221" s="25"/>
      <c r="F221" s="25"/>
      <c r="G221" s="25"/>
      <c r="H221" s="25"/>
    </row>
    <row r="222" spans="1:8" x14ac:dyDescent="0.25">
      <c r="A222" s="15">
        <f t="shared" si="3"/>
        <v>221</v>
      </c>
      <c r="B222" s="15" t="s">
        <v>18</v>
      </c>
      <c r="C222" s="15" t="s">
        <v>64</v>
      </c>
      <c r="D222" s="15" t="s">
        <v>217</v>
      </c>
      <c r="E222" s="15"/>
      <c r="F222" s="24"/>
      <c r="G222" s="24"/>
      <c r="H222" s="24"/>
    </row>
    <row r="223" spans="1:8" x14ac:dyDescent="0.25">
      <c r="A223" s="15">
        <f t="shared" si="3"/>
        <v>222</v>
      </c>
      <c r="B223" s="15" t="s">
        <v>19</v>
      </c>
      <c r="C223" s="15" t="s">
        <v>62</v>
      </c>
      <c r="D223" s="15" t="s">
        <v>218</v>
      </c>
      <c r="E223" s="15"/>
      <c r="F223" s="24"/>
      <c r="G223" s="24"/>
      <c r="H223" s="24"/>
    </row>
    <row r="224" spans="1:8" x14ac:dyDescent="0.25">
      <c r="A224" s="15">
        <f t="shared" si="3"/>
        <v>223</v>
      </c>
      <c r="B224" s="15" t="s">
        <v>139</v>
      </c>
      <c r="C224" s="15" t="s">
        <v>195</v>
      </c>
      <c r="D224" s="15" t="s">
        <v>217</v>
      </c>
      <c r="E224" s="15"/>
      <c r="F224" s="24"/>
      <c r="G224" s="24"/>
      <c r="H224" s="24"/>
    </row>
    <row r="225" spans="1:8" x14ac:dyDescent="0.25">
      <c r="A225" s="15">
        <f t="shared" si="3"/>
        <v>224</v>
      </c>
      <c r="B225" s="15" t="s">
        <v>140</v>
      </c>
      <c r="C225" s="15" t="s">
        <v>62</v>
      </c>
      <c r="D225" s="15" t="s">
        <v>218</v>
      </c>
      <c r="E225" s="15"/>
      <c r="F225" s="24"/>
      <c r="G225" s="24"/>
      <c r="H225" s="24"/>
    </row>
    <row r="226" spans="1:8" x14ac:dyDescent="0.25">
      <c r="A226" s="15">
        <f t="shared" si="3"/>
        <v>225</v>
      </c>
      <c r="B226" s="15" t="s">
        <v>141</v>
      </c>
      <c r="C226" s="15" t="s">
        <v>80</v>
      </c>
      <c r="D226" s="15" t="s">
        <v>218</v>
      </c>
      <c r="E226" s="15"/>
      <c r="F226" s="24"/>
      <c r="G226" s="24"/>
      <c r="H226" s="24"/>
    </row>
    <row r="227" spans="1:8" x14ac:dyDescent="0.25">
      <c r="A227" s="15">
        <f t="shared" si="3"/>
        <v>226</v>
      </c>
      <c r="B227" s="24" t="s">
        <v>322</v>
      </c>
      <c r="C227" s="15" t="s">
        <v>212</v>
      </c>
      <c r="D227" s="16" t="s">
        <v>217</v>
      </c>
      <c r="E227" s="24"/>
      <c r="F227" s="24"/>
      <c r="G227" s="24"/>
      <c r="H227" s="24"/>
    </row>
    <row r="228" spans="1:8" x14ac:dyDescent="0.25">
      <c r="A228" s="15">
        <f t="shared" si="3"/>
        <v>227</v>
      </c>
      <c r="B228" s="15" t="s">
        <v>142</v>
      </c>
      <c r="C228" s="15" t="s">
        <v>73</v>
      </c>
      <c r="D228" s="15" t="s">
        <v>218</v>
      </c>
      <c r="E228" s="15"/>
      <c r="F228" s="24"/>
      <c r="G228" s="24"/>
      <c r="H228" s="24"/>
    </row>
    <row r="229" spans="1:8" x14ac:dyDescent="0.25">
      <c r="A229" s="15">
        <f t="shared" si="3"/>
        <v>228</v>
      </c>
      <c r="B229" s="15" t="s">
        <v>143</v>
      </c>
      <c r="C229" s="15" t="s">
        <v>63</v>
      </c>
      <c r="D229" s="15" t="s">
        <v>218</v>
      </c>
      <c r="E229" s="15" t="s">
        <v>228</v>
      </c>
      <c r="F229" s="24"/>
      <c r="G229" s="24"/>
      <c r="H229" s="24"/>
    </row>
    <row r="230" spans="1:8" x14ac:dyDescent="0.25">
      <c r="A230" s="15">
        <f t="shared" si="3"/>
        <v>229</v>
      </c>
      <c r="B230" s="15" t="s">
        <v>144</v>
      </c>
      <c r="C230" s="15" t="s">
        <v>189</v>
      </c>
      <c r="D230" s="15" t="s">
        <v>218</v>
      </c>
      <c r="E230" s="15"/>
      <c r="F230" s="24" t="s">
        <v>264</v>
      </c>
      <c r="G230" s="24"/>
      <c r="H230" s="24"/>
    </row>
    <row r="231" spans="1:8" x14ac:dyDescent="0.25">
      <c r="A231" s="15">
        <f t="shared" si="3"/>
        <v>230</v>
      </c>
      <c r="B231" s="15" t="s">
        <v>428</v>
      </c>
      <c r="C231" s="15" t="s">
        <v>71</v>
      </c>
      <c r="D231" s="16" t="s">
        <v>218</v>
      </c>
      <c r="E231" s="25"/>
      <c r="F231" s="25" t="s">
        <v>327</v>
      </c>
      <c r="G231" s="25"/>
      <c r="H231" s="25"/>
    </row>
    <row r="232" spans="1:8" x14ac:dyDescent="0.25">
      <c r="A232" s="15">
        <f t="shared" si="3"/>
        <v>231</v>
      </c>
      <c r="B232" s="15" t="s">
        <v>145</v>
      </c>
      <c r="C232" s="15" t="s">
        <v>67</v>
      </c>
      <c r="D232" s="15" t="s">
        <v>218</v>
      </c>
      <c r="E232" s="15" t="s">
        <v>231</v>
      </c>
      <c r="F232" s="24" t="s">
        <v>303</v>
      </c>
      <c r="G232" s="24"/>
      <c r="H232" s="24"/>
    </row>
    <row r="233" spans="1:8" x14ac:dyDescent="0.25">
      <c r="A233" s="15">
        <f t="shared" si="3"/>
        <v>232</v>
      </c>
      <c r="B233" s="15" t="s">
        <v>146</v>
      </c>
      <c r="C233" s="15" t="s">
        <v>196</v>
      </c>
      <c r="D233" s="15" t="s">
        <v>218</v>
      </c>
      <c r="E233" s="15" t="s">
        <v>232</v>
      </c>
      <c r="F233" s="24" t="s">
        <v>303</v>
      </c>
      <c r="G233" s="24"/>
      <c r="H233" s="24"/>
    </row>
    <row r="234" spans="1:8" x14ac:dyDescent="0.25">
      <c r="A234" s="15">
        <f t="shared" si="3"/>
        <v>233</v>
      </c>
      <c r="B234" s="15" t="s">
        <v>147</v>
      </c>
      <c r="C234" s="15" t="s">
        <v>64</v>
      </c>
      <c r="D234" s="15" t="s">
        <v>217</v>
      </c>
      <c r="E234" s="15"/>
      <c r="F234" s="24"/>
      <c r="G234" s="24"/>
      <c r="H234" s="24"/>
    </row>
    <row r="235" spans="1:8" x14ac:dyDescent="0.25">
      <c r="A235" s="15">
        <f t="shared" si="3"/>
        <v>234</v>
      </c>
      <c r="B235" s="15" t="s">
        <v>359</v>
      </c>
      <c r="C235" s="15" t="s">
        <v>63</v>
      </c>
      <c r="D235" s="16" t="s">
        <v>218</v>
      </c>
      <c r="E235" s="25" t="s">
        <v>239</v>
      </c>
      <c r="F235" s="25"/>
      <c r="G235" s="25"/>
      <c r="H235" s="25"/>
    </row>
    <row r="236" spans="1:8" x14ac:dyDescent="0.25">
      <c r="A236" s="15">
        <f t="shared" si="3"/>
        <v>235</v>
      </c>
      <c r="B236" s="15" t="s">
        <v>206</v>
      </c>
      <c r="C236" s="15" t="s">
        <v>62</v>
      </c>
      <c r="D236" s="15" t="s">
        <v>218</v>
      </c>
      <c r="E236" s="15"/>
      <c r="F236" s="24"/>
      <c r="G236" s="24"/>
      <c r="H236" s="24"/>
    </row>
    <row r="237" spans="1:8" x14ac:dyDescent="0.25">
      <c r="A237" s="15">
        <f t="shared" si="3"/>
        <v>236</v>
      </c>
      <c r="B237" s="15" t="s">
        <v>148</v>
      </c>
      <c r="C237" s="15" t="s">
        <v>64</v>
      </c>
      <c r="D237" s="15" t="s">
        <v>217</v>
      </c>
      <c r="E237" s="15"/>
      <c r="F237" s="24"/>
      <c r="G237" s="24"/>
      <c r="H237" s="24"/>
    </row>
    <row r="238" spans="1:8" x14ac:dyDescent="0.25">
      <c r="A238" s="15">
        <f t="shared" si="3"/>
        <v>237</v>
      </c>
      <c r="B238" s="15" t="s">
        <v>149</v>
      </c>
      <c r="C238" s="15" t="s">
        <v>67</v>
      </c>
      <c r="D238" s="15" t="s">
        <v>218</v>
      </c>
      <c r="E238" s="15"/>
      <c r="F238" s="24"/>
      <c r="G238" s="24"/>
      <c r="H238" s="24"/>
    </row>
    <row r="239" spans="1:8" x14ac:dyDescent="0.25">
      <c r="A239" s="15">
        <f t="shared" si="3"/>
        <v>238</v>
      </c>
      <c r="B239" s="15" t="s">
        <v>367</v>
      </c>
      <c r="C239" s="15" t="s">
        <v>212</v>
      </c>
      <c r="D239" s="16" t="s">
        <v>217</v>
      </c>
      <c r="E239" s="25"/>
      <c r="F239" s="25"/>
      <c r="G239" s="25"/>
      <c r="H239" s="25"/>
    </row>
    <row r="240" spans="1:8" x14ac:dyDescent="0.25">
      <c r="A240" s="15">
        <f t="shared" si="3"/>
        <v>239</v>
      </c>
      <c r="B240" s="15" t="s">
        <v>454</v>
      </c>
      <c r="C240" s="15" t="s">
        <v>349</v>
      </c>
      <c r="D240" s="16" t="s">
        <v>218</v>
      </c>
      <c r="E240" s="25"/>
      <c r="F240" s="25"/>
      <c r="G240" s="25"/>
      <c r="H240" s="25"/>
    </row>
    <row r="241" spans="1:8" x14ac:dyDescent="0.25">
      <c r="A241" s="15">
        <f t="shared" si="3"/>
        <v>240</v>
      </c>
      <c r="B241" s="15" t="s">
        <v>150</v>
      </c>
      <c r="C241" s="15" t="s">
        <v>63</v>
      </c>
      <c r="D241" s="15" t="s">
        <v>218</v>
      </c>
      <c r="E241" s="15"/>
      <c r="F241" s="24"/>
      <c r="G241" s="24"/>
      <c r="H241" s="24"/>
    </row>
    <row r="242" spans="1:8" x14ac:dyDescent="0.25">
      <c r="A242" s="15">
        <f t="shared" si="3"/>
        <v>241</v>
      </c>
      <c r="B242" s="15" t="s">
        <v>151</v>
      </c>
      <c r="C242" s="15" t="s">
        <v>80</v>
      </c>
      <c r="D242" s="15" t="s">
        <v>218</v>
      </c>
      <c r="E242" s="15" t="s">
        <v>239</v>
      </c>
      <c r="F242" s="24"/>
      <c r="G242" s="24"/>
      <c r="H242" s="24"/>
    </row>
    <row r="243" spans="1:8" x14ac:dyDescent="0.25">
      <c r="A243" s="15">
        <f t="shared" si="3"/>
        <v>242</v>
      </c>
      <c r="B243" s="15" t="s">
        <v>403</v>
      </c>
      <c r="C243" s="15" t="s">
        <v>62</v>
      </c>
      <c r="D243" s="16" t="s">
        <v>218</v>
      </c>
      <c r="E243" s="25"/>
      <c r="F243" s="25"/>
      <c r="G243" s="25"/>
      <c r="H243" s="25"/>
    </row>
    <row r="244" spans="1:8" x14ac:dyDescent="0.25">
      <c r="A244" s="15">
        <f t="shared" si="3"/>
        <v>243</v>
      </c>
      <c r="B244" s="15" t="s">
        <v>331</v>
      </c>
      <c r="C244" s="15" t="s">
        <v>62</v>
      </c>
      <c r="D244" s="16" t="s">
        <v>218</v>
      </c>
      <c r="E244" s="24" t="s">
        <v>228</v>
      </c>
      <c r="F244" s="24"/>
      <c r="G244" s="24"/>
      <c r="H244" s="24"/>
    </row>
    <row r="245" spans="1:8" x14ac:dyDescent="0.25">
      <c r="A245" s="15">
        <f t="shared" si="3"/>
        <v>244</v>
      </c>
      <c r="B245" s="15" t="s">
        <v>519</v>
      </c>
      <c r="C245" s="15" t="s">
        <v>70</v>
      </c>
      <c r="D245" s="25" t="s">
        <v>218</v>
      </c>
      <c r="E245" s="25"/>
      <c r="F245" s="25"/>
      <c r="G245" s="25"/>
      <c r="H245" s="25"/>
    </row>
    <row r="246" spans="1:8" x14ac:dyDescent="0.25">
      <c r="A246" s="15">
        <f t="shared" si="3"/>
        <v>245</v>
      </c>
      <c r="B246" s="15" t="s">
        <v>184</v>
      </c>
      <c r="C246" s="15" t="s">
        <v>62</v>
      </c>
      <c r="D246" s="15" t="s">
        <v>218</v>
      </c>
      <c r="E246" s="15" t="s">
        <v>228</v>
      </c>
      <c r="F246" s="24" t="s">
        <v>303</v>
      </c>
      <c r="G246" s="24"/>
      <c r="H246" s="24"/>
    </row>
    <row r="247" spans="1:8" x14ac:dyDescent="0.25">
      <c r="A247" s="15">
        <f t="shared" si="3"/>
        <v>246</v>
      </c>
      <c r="B247" s="16" t="s">
        <v>523</v>
      </c>
      <c r="C247" s="15" t="s">
        <v>212</v>
      </c>
      <c r="D247" s="16" t="s">
        <v>217</v>
      </c>
      <c r="E247" s="16"/>
      <c r="F247" s="24"/>
      <c r="G247" s="24"/>
      <c r="H247" s="24"/>
    </row>
    <row r="248" spans="1:8" x14ac:dyDescent="0.25">
      <c r="A248" s="15">
        <f t="shared" si="3"/>
        <v>247</v>
      </c>
      <c r="B248" s="15" t="s">
        <v>78</v>
      </c>
      <c r="C248" s="15" t="s">
        <v>64</v>
      </c>
      <c r="D248" s="15" t="s">
        <v>217</v>
      </c>
      <c r="E248" s="15"/>
      <c r="F248" s="24"/>
      <c r="G248" s="24"/>
      <c r="H248" s="24"/>
    </row>
    <row r="249" spans="1:8" x14ac:dyDescent="0.25">
      <c r="A249" s="15">
        <f t="shared" si="3"/>
        <v>248</v>
      </c>
      <c r="B249" s="24" t="s">
        <v>344</v>
      </c>
      <c r="C249" s="15" t="s">
        <v>212</v>
      </c>
      <c r="D249" s="16" t="s">
        <v>217</v>
      </c>
      <c r="E249" s="24"/>
      <c r="F249" s="24"/>
      <c r="G249" s="24"/>
      <c r="H249" s="24"/>
    </row>
    <row r="250" spans="1:8" x14ac:dyDescent="0.25">
      <c r="A250" s="15">
        <f t="shared" si="3"/>
        <v>249</v>
      </c>
      <c r="B250" s="15" t="s">
        <v>1133</v>
      </c>
      <c r="C250" s="15" t="s">
        <v>63</v>
      </c>
      <c r="D250" s="25" t="s">
        <v>218</v>
      </c>
      <c r="E250" s="25"/>
      <c r="F250" s="25"/>
      <c r="G250" s="25"/>
      <c r="H250" s="25"/>
    </row>
    <row r="251" spans="1:8" x14ac:dyDescent="0.25">
      <c r="A251" s="15">
        <f t="shared" si="3"/>
        <v>250</v>
      </c>
      <c r="B251" s="15" t="s">
        <v>510</v>
      </c>
      <c r="C251" s="15" t="s">
        <v>511</v>
      </c>
      <c r="D251" s="25" t="s">
        <v>218</v>
      </c>
      <c r="E251" s="25"/>
      <c r="F251" s="25"/>
      <c r="G251" s="25"/>
      <c r="H251" s="25"/>
    </row>
    <row r="252" spans="1:8" x14ac:dyDescent="0.25">
      <c r="A252" s="15">
        <f t="shared" si="3"/>
        <v>251</v>
      </c>
      <c r="B252" s="15" t="s">
        <v>58</v>
      </c>
      <c r="C252" s="15" t="s">
        <v>257</v>
      </c>
      <c r="D252" s="15" t="s">
        <v>257</v>
      </c>
      <c r="E252" s="15"/>
      <c r="F252" s="24"/>
      <c r="G252" s="24"/>
      <c r="H252" s="24"/>
    </row>
    <row r="253" spans="1:8" x14ac:dyDescent="0.25">
      <c r="A253" s="15">
        <f t="shared" si="3"/>
        <v>252</v>
      </c>
      <c r="B253" s="16" t="s">
        <v>535</v>
      </c>
      <c r="C253" s="15" t="s">
        <v>349</v>
      </c>
      <c r="D253" s="16" t="s">
        <v>218</v>
      </c>
      <c r="E253" s="16"/>
      <c r="F253" s="24"/>
      <c r="G253" s="24"/>
      <c r="H253" s="24"/>
    </row>
    <row r="254" spans="1:8" x14ac:dyDescent="0.25">
      <c r="A254" s="15">
        <f t="shared" si="3"/>
        <v>253</v>
      </c>
      <c r="B254" s="15" t="s">
        <v>308</v>
      </c>
      <c r="C254" s="15" t="s">
        <v>309</v>
      </c>
      <c r="D254" s="16" t="s">
        <v>218</v>
      </c>
      <c r="E254" s="24"/>
      <c r="F254" s="24"/>
      <c r="G254" s="24"/>
      <c r="H254" s="24"/>
    </row>
    <row r="255" spans="1:8" x14ac:dyDescent="0.25">
      <c r="A255" s="15">
        <f t="shared" si="3"/>
        <v>254</v>
      </c>
      <c r="B255" s="24" t="s">
        <v>484</v>
      </c>
      <c r="C255" s="15" t="s">
        <v>64</v>
      </c>
      <c r="D255" s="25" t="s">
        <v>217</v>
      </c>
      <c r="E255" s="25"/>
      <c r="F255" s="25"/>
      <c r="G255" s="25"/>
      <c r="H255" s="25"/>
    </row>
    <row r="256" spans="1:8" x14ac:dyDescent="0.25">
      <c r="A256" s="15">
        <f t="shared" si="3"/>
        <v>255</v>
      </c>
      <c r="B256" s="16" t="s">
        <v>286</v>
      </c>
      <c r="C256" s="15" t="s">
        <v>292</v>
      </c>
      <c r="D256" s="16" t="s">
        <v>217</v>
      </c>
      <c r="E256" s="16"/>
      <c r="F256" s="24"/>
      <c r="G256" s="24"/>
      <c r="H256" s="24"/>
    </row>
    <row r="257" spans="1:8" x14ac:dyDescent="0.25">
      <c r="A257" s="15">
        <f t="shared" si="3"/>
        <v>256</v>
      </c>
      <c r="B257" s="15" t="s">
        <v>455</v>
      </c>
      <c r="C257" s="15" t="s">
        <v>212</v>
      </c>
      <c r="D257" s="16" t="s">
        <v>248</v>
      </c>
      <c r="E257" s="25"/>
      <c r="F257" s="25"/>
      <c r="G257" s="25"/>
      <c r="H257" s="25"/>
    </row>
    <row r="258" spans="1:8" x14ac:dyDescent="0.25">
      <c r="A258" s="15">
        <f t="shared" si="3"/>
        <v>257</v>
      </c>
      <c r="B258" s="15" t="s">
        <v>12</v>
      </c>
      <c r="C258" s="15" t="s">
        <v>257</v>
      </c>
      <c r="D258" s="15" t="s">
        <v>257</v>
      </c>
      <c r="E258" s="15"/>
      <c r="F258" s="24"/>
      <c r="G258" s="24"/>
      <c r="H258" s="24"/>
    </row>
    <row r="259" spans="1:8" x14ac:dyDescent="0.25">
      <c r="A259" s="15">
        <f t="shared" si="3"/>
        <v>258</v>
      </c>
      <c r="B259" s="15" t="s">
        <v>152</v>
      </c>
      <c r="C259" s="15" t="s">
        <v>84</v>
      </c>
      <c r="D259" s="15" t="s">
        <v>218</v>
      </c>
      <c r="E259" s="15"/>
      <c r="F259" s="24"/>
      <c r="G259" s="24"/>
      <c r="H259" s="24"/>
    </row>
    <row r="260" spans="1:8" x14ac:dyDescent="0.25">
      <c r="A260" s="15">
        <f t="shared" ref="A260:A323" si="4">A259+1</f>
        <v>259</v>
      </c>
      <c r="B260" s="16" t="s">
        <v>268</v>
      </c>
      <c r="C260" s="15" t="s">
        <v>66</v>
      </c>
      <c r="D260" s="16" t="s">
        <v>218</v>
      </c>
      <c r="E260" s="16"/>
      <c r="F260" s="24"/>
      <c r="G260" s="24"/>
      <c r="H260" s="24"/>
    </row>
    <row r="261" spans="1:8" x14ac:dyDescent="0.25">
      <c r="A261" s="15">
        <f t="shared" si="4"/>
        <v>260</v>
      </c>
      <c r="B261" s="15" t="s">
        <v>236</v>
      </c>
      <c r="C261" s="15" t="s">
        <v>237</v>
      </c>
      <c r="D261" s="15" t="s">
        <v>217</v>
      </c>
      <c r="E261" s="15" t="s">
        <v>229</v>
      </c>
      <c r="F261" s="24"/>
      <c r="G261" s="24"/>
      <c r="H261" s="24"/>
    </row>
    <row r="262" spans="1:8" x14ac:dyDescent="0.25">
      <c r="A262" s="15">
        <f t="shared" si="4"/>
        <v>261</v>
      </c>
      <c r="B262" s="15" t="s">
        <v>153</v>
      </c>
      <c r="C262" s="15" t="s">
        <v>67</v>
      </c>
      <c r="D262" s="15" t="s">
        <v>218</v>
      </c>
      <c r="E262" s="15"/>
      <c r="F262" s="24"/>
      <c r="G262" s="24"/>
      <c r="H262" s="24"/>
    </row>
    <row r="263" spans="1:8" x14ac:dyDescent="0.25">
      <c r="A263" s="15">
        <f t="shared" si="4"/>
        <v>262</v>
      </c>
      <c r="B263" s="15" t="s">
        <v>358</v>
      </c>
      <c r="C263" s="15" t="s">
        <v>63</v>
      </c>
      <c r="D263" s="16" t="s">
        <v>218</v>
      </c>
      <c r="E263" s="24"/>
      <c r="F263" s="24"/>
      <c r="G263" s="24"/>
      <c r="H263" s="24"/>
    </row>
    <row r="264" spans="1:8" x14ac:dyDescent="0.25">
      <c r="A264" s="15">
        <f t="shared" si="4"/>
        <v>263</v>
      </c>
      <c r="B264" s="15" t="s">
        <v>185</v>
      </c>
      <c r="C264" s="15" t="s">
        <v>200</v>
      </c>
      <c r="D264" s="15" t="s">
        <v>218</v>
      </c>
      <c r="E264" s="15"/>
      <c r="F264" s="24"/>
      <c r="G264" s="24"/>
      <c r="H264" s="24"/>
    </row>
    <row r="265" spans="1:8" x14ac:dyDescent="0.25">
      <c r="A265" s="15">
        <f t="shared" si="4"/>
        <v>264</v>
      </c>
      <c r="B265" s="15" t="s">
        <v>472</v>
      </c>
      <c r="C265" s="15" t="s">
        <v>67</v>
      </c>
      <c r="D265" s="25" t="s">
        <v>218</v>
      </c>
      <c r="E265" s="25"/>
      <c r="F265" s="25"/>
      <c r="G265" s="25"/>
      <c r="H265" s="25"/>
    </row>
    <row r="266" spans="1:8" x14ac:dyDescent="0.25">
      <c r="A266" s="15">
        <f t="shared" si="4"/>
        <v>265</v>
      </c>
      <c r="B266" s="16" t="s">
        <v>273</v>
      </c>
      <c r="C266" s="15" t="s">
        <v>274</v>
      </c>
      <c r="D266" s="16" t="s">
        <v>218</v>
      </c>
      <c r="E266" s="16"/>
      <c r="F266" s="24" t="s">
        <v>266</v>
      </c>
      <c r="G266" s="24"/>
      <c r="H266" s="24"/>
    </row>
    <row r="267" spans="1:8" x14ac:dyDescent="0.25">
      <c r="A267" s="15">
        <f t="shared" si="4"/>
        <v>266</v>
      </c>
      <c r="B267" s="15" t="s">
        <v>154</v>
      </c>
      <c r="C267" s="15" t="s">
        <v>197</v>
      </c>
      <c r="D267" s="15" t="s">
        <v>218</v>
      </c>
      <c r="E267" s="15" t="s">
        <v>231</v>
      </c>
      <c r="F267" s="24" t="s">
        <v>303</v>
      </c>
      <c r="G267" s="24"/>
      <c r="H267" s="24"/>
    </row>
    <row r="268" spans="1:8" x14ac:dyDescent="0.25">
      <c r="A268" s="15">
        <f t="shared" si="4"/>
        <v>267</v>
      </c>
      <c r="B268" s="15" t="s">
        <v>474</v>
      </c>
      <c r="C268" s="15" t="s">
        <v>416</v>
      </c>
      <c r="D268" s="25" t="s">
        <v>218</v>
      </c>
      <c r="E268" s="25"/>
      <c r="F268" s="25"/>
      <c r="G268" s="25"/>
      <c r="H268" s="25"/>
    </row>
    <row r="269" spans="1:8" x14ac:dyDescent="0.25">
      <c r="A269" s="15">
        <f t="shared" si="4"/>
        <v>268</v>
      </c>
      <c r="B269" s="15" t="s">
        <v>155</v>
      </c>
      <c r="C269" s="15" t="s">
        <v>195</v>
      </c>
      <c r="D269" s="15" t="s">
        <v>217</v>
      </c>
      <c r="E269" s="15"/>
      <c r="F269" s="24"/>
      <c r="G269" s="24"/>
      <c r="H269" s="24"/>
    </row>
    <row r="270" spans="1:8" x14ac:dyDescent="0.25">
      <c r="A270" s="15">
        <f t="shared" si="4"/>
        <v>269</v>
      </c>
      <c r="B270" s="15" t="s">
        <v>440</v>
      </c>
      <c r="C270" s="15" t="s">
        <v>294</v>
      </c>
      <c r="D270" s="16" t="s">
        <v>218</v>
      </c>
      <c r="E270" s="25" t="s">
        <v>227</v>
      </c>
      <c r="F270" s="25" t="s">
        <v>327</v>
      </c>
      <c r="G270" s="25"/>
      <c r="H270" s="25"/>
    </row>
    <row r="271" spans="1:8" x14ac:dyDescent="0.25">
      <c r="A271" s="15">
        <f t="shared" si="4"/>
        <v>270</v>
      </c>
      <c r="B271" s="15" t="s">
        <v>446</v>
      </c>
      <c r="C271" s="15" t="s">
        <v>64</v>
      </c>
      <c r="D271" s="16" t="s">
        <v>217</v>
      </c>
      <c r="E271" s="25" t="s">
        <v>227</v>
      </c>
      <c r="F271" s="25" t="s">
        <v>327</v>
      </c>
      <c r="G271" s="25"/>
      <c r="H271" s="25"/>
    </row>
    <row r="272" spans="1:8" x14ac:dyDescent="0.25">
      <c r="A272" s="15">
        <f t="shared" si="4"/>
        <v>271</v>
      </c>
      <c r="B272" s="15" t="s">
        <v>439</v>
      </c>
      <c r="C272" s="15" t="s">
        <v>62</v>
      </c>
      <c r="D272" s="16" t="s">
        <v>218</v>
      </c>
      <c r="E272" s="25" t="s">
        <v>227</v>
      </c>
      <c r="F272" s="25" t="s">
        <v>327</v>
      </c>
      <c r="G272" s="25"/>
      <c r="H272" s="25"/>
    </row>
    <row r="273" spans="1:8" x14ac:dyDescent="0.25">
      <c r="A273" s="15">
        <f t="shared" si="4"/>
        <v>272</v>
      </c>
      <c r="B273" s="15" t="s">
        <v>49</v>
      </c>
      <c r="C273" s="15" t="s">
        <v>64</v>
      </c>
      <c r="D273" s="16" t="s">
        <v>217</v>
      </c>
      <c r="E273" s="24"/>
      <c r="F273" s="24"/>
      <c r="G273" s="24"/>
      <c r="H273" s="24"/>
    </row>
    <row r="274" spans="1:8" x14ac:dyDescent="0.25">
      <c r="A274" s="15">
        <f t="shared" si="4"/>
        <v>273</v>
      </c>
      <c r="B274" s="15" t="s">
        <v>493</v>
      </c>
      <c r="C274" s="15" t="s">
        <v>212</v>
      </c>
      <c r="D274" s="25" t="s">
        <v>217</v>
      </c>
      <c r="E274" s="25"/>
      <c r="F274" s="25"/>
      <c r="G274" s="25"/>
      <c r="H274" s="25"/>
    </row>
    <row r="275" spans="1:8" x14ac:dyDescent="0.25">
      <c r="A275" s="15">
        <f t="shared" si="4"/>
        <v>274</v>
      </c>
      <c r="B275" s="24" t="s">
        <v>404</v>
      </c>
      <c r="C275" s="15" t="s">
        <v>365</v>
      </c>
      <c r="D275" s="16" t="s">
        <v>218</v>
      </c>
      <c r="E275" s="25"/>
      <c r="F275" s="25"/>
      <c r="G275" s="25"/>
      <c r="H275" s="25"/>
    </row>
    <row r="276" spans="1:8" x14ac:dyDescent="0.25">
      <c r="A276" s="15">
        <f t="shared" si="4"/>
        <v>275</v>
      </c>
      <c r="B276" s="24" t="s">
        <v>409</v>
      </c>
      <c r="C276" s="15" t="s">
        <v>74</v>
      </c>
      <c r="D276" s="16" t="s">
        <v>218</v>
      </c>
      <c r="E276" s="25"/>
      <c r="F276" s="25"/>
      <c r="G276" s="25"/>
      <c r="H276" s="25"/>
    </row>
    <row r="277" spans="1:8" x14ac:dyDescent="0.25">
      <c r="A277" s="15">
        <f t="shared" si="4"/>
        <v>276</v>
      </c>
      <c r="B277" s="15" t="s">
        <v>398</v>
      </c>
      <c r="C277" s="15" t="s">
        <v>399</v>
      </c>
      <c r="D277" s="16" t="s">
        <v>218</v>
      </c>
      <c r="E277" s="25"/>
      <c r="F277" s="25"/>
      <c r="G277" s="25"/>
      <c r="H277" s="25"/>
    </row>
    <row r="278" spans="1:8" x14ac:dyDescent="0.25">
      <c r="A278" s="15">
        <f t="shared" si="4"/>
        <v>277</v>
      </c>
      <c r="B278" s="15" t="s">
        <v>156</v>
      </c>
      <c r="C278" s="15" t="s">
        <v>64</v>
      </c>
      <c r="D278" s="15" t="s">
        <v>217</v>
      </c>
      <c r="E278" s="15" t="s">
        <v>229</v>
      </c>
      <c r="F278" s="24" t="s">
        <v>303</v>
      </c>
      <c r="G278" s="24"/>
      <c r="H278" s="24"/>
    </row>
    <row r="279" spans="1:8" x14ac:dyDescent="0.25">
      <c r="A279" s="15">
        <f t="shared" si="4"/>
        <v>278</v>
      </c>
      <c r="B279" s="15" t="s">
        <v>157</v>
      </c>
      <c r="C279" s="15" t="s">
        <v>63</v>
      </c>
      <c r="D279" s="15" t="s">
        <v>218</v>
      </c>
      <c r="E279" s="15"/>
      <c r="F279" s="24"/>
      <c r="G279" s="24"/>
      <c r="H279" s="24"/>
    </row>
    <row r="280" spans="1:8" x14ac:dyDescent="0.25">
      <c r="A280" s="15">
        <f t="shared" si="4"/>
        <v>279</v>
      </c>
      <c r="B280" s="16" t="s">
        <v>158</v>
      </c>
      <c r="C280" s="15" t="s">
        <v>63</v>
      </c>
      <c r="D280" s="16" t="s">
        <v>218</v>
      </c>
      <c r="E280" s="16"/>
      <c r="F280" s="24"/>
      <c r="G280" s="24"/>
      <c r="H280" s="24"/>
    </row>
    <row r="281" spans="1:8" x14ac:dyDescent="0.25">
      <c r="A281" s="15">
        <f t="shared" si="4"/>
        <v>280</v>
      </c>
      <c r="B281" s="25" t="s">
        <v>517</v>
      </c>
      <c r="C281" s="15" t="s">
        <v>64</v>
      </c>
      <c r="D281" s="25" t="s">
        <v>217</v>
      </c>
      <c r="E281" s="25"/>
      <c r="F281" s="25"/>
      <c r="G281" s="25"/>
      <c r="H281" s="25"/>
    </row>
    <row r="282" spans="1:8" x14ac:dyDescent="0.25">
      <c r="A282" s="15">
        <f t="shared" si="4"/>
        <v>281</v>
      </c>
      <c r="B282" s="16" t="s">
        <v>159</v>
      </c>
      <c r="C282" s="15" t="s">
        <v>61</v>
      </c>
      <c r="D282" s="16" t="s">
        <v>218</v>
      </c>
      <c r="E282" s="16"/>
      <c r="F282" s="24"/>
      <c r="G282" s="24"/>
      <c r="H282" s="24"/>
    </row>
    <row r="283" spans="1:8" x14ac:dyDescent="0.25">
      <c r="A283" s="15">
        <f t="shared" si="4"/>
        <v>282</v>
      </c>
      <c r="B283" s="15" t="s">
        <v>496</v>
      </c>
      <c r="C283" s="15" t="s">
        <v>458</v>
      </c>
      <c r="D283" s="25" t="s">
        <v>218</v>
      </c>
      <c r="E283" s="25"/>
      <c r="F283" s="25"/>
      <c r="G283" s="25"/>
      <c r="H283" s="25"/>
    </row>
    <row r="284" spans="1:8" x14ac:dyDescent="0.25">
      <c r="A284" s="15">
        <f t="shared" si="4"/>
        <v>283</v>
      </c>
      <c r="B284" s="15" t="s">
        <v>160</v>
      </c>
      <c r="C284" s="15" t="s">
        <v>61</v>
      </c>
      <c r="D284" s="15" t="s">
        <v>218</v>
      </c>
      <c r="E284" s="15"/>
      <c r="F284" s="24"/>
      <c r="G284" s="24"/>
      <c r="H284" s="24"/>
    </row>
    <row r="285" spans="1:8" x14ac:dyDescent="0.25">
      <c r="A285" s="15">
        <f t="shared" si="4"/>
        <v>284</v>
      </c>
      <c r="B285" s="15" t="s">
        <v>161</v>
      </c>
      <c r="C285" s="15" t="s">
        <v>70</v>
      </c>
      <c r="D285" s="15" t="s">
        <v>218</v>
      </c>
      <c r="E285" s="15" t="s">
        <v>238</v>
      </c>
      <c r="F285" s="24" t="s">
        <v>264</v>
      </c>
      <c r="G285" s="24"/>
      <c r="H285" s="24"/>
    </row>
    <row r="286" spans="1:8" x14ac:dyDescent="0.25">
      <c r="A286" s="15">
        <f t="shared" si="4"/>
        <v>285</v>
      </c>
      <c r="B286" s="15" t="s">
        <v>204</v>
      </c>
      <c r="C286" s="15" t="s">
        <v>189</v>
      </c>
      <c r="D286" s="15" t="s">
        <v>218</v>
      </c>
      <c r="E286" s="15"/>
      <c r="F286" s="24"/>
      <c r="G286" s="24"/>
      <c r="H286" s="24"/>
    </row>
    <row r="287" spans="1:8" x14ac:dyDescent="0.25">
      <c r="A287" s="15">
        <f t="shared" si="4"/>
        <v>286</v>
      </c>
      <c r="B287" s="15" t="s">
        <v>325</v>
      </c>
      <c r="C287" s="15" t="s">
        <v>63</v>
      </c>
      <c r="D287" s="16" t="s">
        <v>218</v>
      </c>
      <c r="E287" s="24"/>
      <c r="F287" s="24"/>
      <c r="G287" s="24"/>
      <c r="H287" s="24"/>
    </row>
    <row r="288" spans="1:8" x14ac:dyDescent="0.25">
      <c r="A288" s="15">
        <f t="shared" si="4"/>
        <v>287</v>
      </c>
      <c r="B288" s="16" t="s">
        <v>162</v>
      </c>
      <c r="C288" s="15" t="s">
        <v>198</v>
      </c>
      <c r="D288" s="16" t="s">
        <v>218</v>
      </c>
      <c r="E288" s="16"/>
      <c r="F288" s="24"/>
      <c r="G288" s="24"/>
      <c r="H288" s="24"/>
    </row>
    <row r="289" spans="1:8" x14ac:dyDescent="0.25">
      <c r="A289" s="15">
        <f t="shared" si="4"/>
        <v>288</v>
      </c>
      <c r="B289" s="15" t="s">
        <v>471</v>
      </c>
      <c r="C289" s="15" t="s">
        <v>61</v>
      </c>
      <c r="D289" s="25" t="s">
        <v>218</v>
      </c>
      <c r="E289" s="25"/>
      <c r="F289" s="25"/>
      <c r="G289" s="25"/>
      <c r="H289" s="25"/>
    </row>
    <row r="290" spans="1:8" x14ac:dyDescent="0.25">
      <c r="A290" s="15">
        <f t="shared" si="4"/>
        <v>289</v>
      </c>
      <c r="B290" s="15" t="s">
        <v>37</v>
      </c>
      <c r="C290" s="15" t="s">
        <v>67</v>
      </c>
      <c r="D290" s="15" t="s">
        <v>218</v>
      </c>
      <c r="E290" s="15" t="s">
        <v>227</v>
      </c>
      <c r="F290" s="24" t="s">
        <v>303</v>
      </c>
      <c r="G290" s="24"/>
      <c r="H290" s="24"/>
    </row>
    <row r="291" spans="1:8" x14ac:dyDescent="0.25">
      <c r="A291" s="15">
        <f t="shared" si="4"/>
        <v>290</v>
      </c>
      <c r="B291" s="15" t="s">
        <v>394</v>
      </c>
      <c r="C291" s="15" t="s">
        <v>309</v>
      </c>
      <c r="D291" s="15" t="s">
        <v>218</v>
      </c>
      <c r="E291" s="15" t="s">
        <v>227</v>
      </c>
      <c r="F291" s="24" t="s">
        <v>303</v>
      </c>
      <c r="G291" s="24"/>
      <c r="H291" s="24"/>
    </row>
    <row r="292" spans="1:8" x14ac:dyDescent="0.25">
      <c r="A292" s="15">
        <f t="shared" si="4"/>
        <v>291</v>
      </c>
      <c r="B292" s="15" t="s">
        <v>417</v>
      </c>
      <c r="C292" s="15" t="s">
        <v>420</v>
      </c>
      <c r="D292" s="16" t="s">
        <v>218</v>
      </c>
      <c r="E292" s="25" t="s">
        <v>227</v>
      </c>
      <c r="F292" s="25"/>
      <c r="G292" s="25"/>
      <c r="H292" s="25"/>
    </row>
    <row r="293" spans="1:8" x14ac:dyDescent="0.25">
      <c r="A293" s="15">
        <f t="shared" si="4"/>
        <v>292</v>
      </c>
      <c r="B293" s="15" t="s">
        <v>320</v>
      </c>
      <c r="C293" s="15" t="s">
        <v>321</v>
      </c>
      <c r="D293" s="16" t="s">
        <v>218</v>
      </c>
      <c r="E293" s="24"/>
      <c r="F293" s="24"/>
      <c r="G293" s="24"/>
      <c r="H293" s="24"/>
    </row>
    <row r="294" spans="1:8" x14ac:dyDescent="0.25">
      <c r="A294" s="15">
        <f t="shared" si="4"/>
        <v>293</v>
      </c>
      <c r="B294" s="24" t="s">
        <v>340</v>
      </c>
      <c r="C294" s="15" t="s">
        <v>341</v>
      </c>
      <c r="D294" s="16" t="s">
        <v>217</v>
      </c>
      <c r="E294" s="24" t="s">
        <v>342</v>
      </c>
      <c r="F294" s="24"/>
      <c r="G294" s="24"/>
      <c r="H294" s="24"/>
    </row>
    <row r="295" spans="1:8" x14ac:dyDescent="0.25">
      <c r="A295" s="15">
        <f t="shared" si="4"/>
        <v>294</v>
      </c>
      <c r="B295" s="24" t="s">
        <v>462</v>
      </c>
      <c r="C295" s="15" t="s">
        <v>466</v>
      </c>
      <c r="D295" s="16" t="s">
        <v>218</v>
      </c>
      <c r="E295" s="25"/>
      <c r="F295" s="25"/>
      <c r="G295" s="25"/>
      <c r="H295" s="25"/>
    </row>
    <row r="296" spans="1:8" x14ac:dyDescent="0.25">
      <c r="A296" s="15">
        <f t="shared" si="4"/>
        <v>295</v>
      </c>
      <c r="B296" s="24" t="s">
        <v>512</v>
      </c>
      <c r="C296" s="15" t="s">
        <v>513</v>
      </c>
      <c r="D296" s="25" t="s">
        <v>218</v>
      </c>
      <c r="E296" s="25"/>
      <c r="F296" s="25"/>
      <c r="G296" s="25"/>
      <c r="H296" s="25"/>
    </row>
    <row r="297" spans="1:8" x14ac:dyDescent="0.25">
      <c r="A297" s="15">
        <f t="shared" si="4"/>
        <v>296</v>
      </c>
      <c r="B297" s="16" t="s">
        <v>281</v>
      </c>
      <c r="C297" s="15" t="s">
        <v>72</v>
      </c>
      <c r="D297" s="16" t="s">
        <v>217</v>
      </c>
      <c r="E297" s="16"/>
      <c r="F297" s="24"/>
      <c r="G297" s="24"/>
      <c r="H297" s="24"/>
    </row>
    <row r="298" spans="1:8" x14ac:dyDescent="0.25">
      <c r="A298" s="15">
        <f t="shared" si="4"/>
        <v>297</v>
      </c>
      <c r="B298" s="15" t="s">
        <v>337</v>
      </c>
      <c r="C298" s="15" t="s">
        <v>80</v>
      </c>
      <c r="D298" s="16" t="s">
        <v>218</v>
      </c>
      <c r="E298" s="24"/>
      <c r="F298" s="24"/>
      <c r="G298" s="24"/>
      <c r="H298" s="24"/>
    </row>
    <row r="299" spans="1:8" x14ac:dyDescent="0.25">
      <c r="A299" s="15">
        <f t="shared" si="4"/>
        <v>298</v>
      </c>
      <c r="B299" s="16" t="s">
        <v>532</v>
      </c>
      <c r="C299" s="15" t="s">
        <v>67</v>
      </c>
      <c r="D299" s="16" t="s">
        <v>218</v>
      </c>
      <c r="E299" s="16"/>
      <c r="F299" s="24"/>
      <c r="G299" s="24"/>
      <c r="H299" s="24"/>
    </row>
    <row r="300" spans="1:8" x14ac:dyDescent="0.25">
      <c r="A300" s="15">
        <f t="shared" si="4"/>
        <v>299</v>
      </c>
      <c r="B300" s="15" t="s">
        <v>202</v>
      </c>
      <c r="C300" s="15" t="s">
        <v>68</v>
      </c>
      <c r="D300" s="15" t="s">
        <v>218</v>
      </c>
      <c r="E300" s="15"/>
      <c r="F300" s="24"/>
      <c r="G300" s="24"/>
      <c r="H300" s="24"/>
    </row>
    <row r="301" spans="1:8" x14ac:dyDescent="0.25">
      <c r="A301" s="15">
        <f t="shared" si="4"/>
        <v>300</v>
      </c>
      <c r="B301" s="16" t="s">
        <v>524</v>
      </c>
      <c r="C301" s="15" t="s">
        <v>526</v>
      </c>
      <c r="D301" s="16" t="s">
        <v>218</v>
      </c>
      <c r="E301" s="16"/>
      <c r="F301" s="24"/>
      <c r="G301" s="24"/>
      <c r="H301" s="24"/>
    </row>
    <row r="302" spans="1:8" x14ac:dyDescent="0.25">
      <c r="A302" s="15">
        <f t="shared" si="4"/>
        <v>301</v>
      </c>
      <c r="B302" s="24" t="s">
        <v>316</v>
      </c>
      <c r="C302" s="15" t="s">
        <v>64</v>
      </c>
      <c r="D302" s="16" t="s">
        <v>217</v>
      </c>
      <c r="E302" s="24"/>
      <c r="F302" s="24"/>
      <c r="G302" s="24"/>
      <c r="H302" s="24"/>
    </row>
    <row r="303" spans="1:8" x14ac:dyDescent="0.25">
      <c r="A303" s="15">
        <f t="shared" si="4"/>
        <v>302</v>
      </c>
      <c r="B303" s="15" t="s">
        <v>363</v>
      </c>
      <c r="C303" s="15" t="s">
        <v>71</v>
      </c>
      <c r="D303" s="16" t="s">
        <v>218</v>
      </c>
      <c r="E303" s="25"/>
      <c r="F303" s="25"/>
      <c r="G303" s="25"/>
      <c r="H303" s="25"/>
    </row>
    <row r="304" spans="1:8" x14ac:dyDescent="0.25">
      <c r="A304" s="15">
        <f t="shared" si="4"/>
        <v>303</v>
      </c>
      <c r="B304" s="15" t="s">
        <v>163</v>
      </c>
      <c r="C304" s="15" t="s">
        <v>70</v>
      </c>
      <c r="D304" s="15" t="s">
        <v>218</v>
      </c>
      <c r="E304" s="15"/>
      <c r="F304" s="24" t="s">
        <v>266</v>
      </c>
      <c r="G304" s="24"/>
      <c r="H304" s="24"/>
    </row>
    <row r="305" spans="1:8" x14ac:dyDescent="0.25">
      <c r="A305" s="15">
        <f t="shared" si="4"/>
        <v>304</v>
      </c>
      <c r="B305" s="15" t="s">
        <v>433</v>
      </c>
      <c r="C305" s="15" t="s">
        <v>434</v>
      </c>
      <c r="D305" s="16" t="s">
        <v>218</v>
      </c>
      <c r="E305" s="25"/>
      <c r="F305" s="25"/>
      <c r="G305" s="25"/>
      <c r="H305" s="25"/>
    </row>
    <row r="306" spans="1:8" x14ac:dyDescent="0.25">
      <c r="A306" s="15">
        <f t="shared" si="4"/>
        <v>305</v>
      </c>
      <c r="B306" s="16" t="s">
        <v>539</v>
      </c>
      <c r="C306" s="15" t="s">
        <v>63</v>
      </c>
      <c r="D306" s="16" t="s">
        <v>218</v>
      </c>
      <c r="E306" s="16"/>
      <c r="F306" s="24"/>
      <c r="G306" s="24"/>
      <c r="H306" s="24"/>
    </row>
    <row r="307" spans="1:8" x14ac:dyDescent="0.25">
      <c r="A307" s="15">
        <f t="shared" si="4"/>
        <v>306</v>
      </c>
      <c r="B307" s="15" t="s">
        <v>477</v>
      </c>
      <c r="C307" s="15" t="s">
        <v>478</v>
      </c>
      <c r="D307" s="25" t="s">
        <v>218</v>
      </c>
      <c r="E307" s="25"/>
      <c r="F307" s="25"/>
      <c r="G307" s="25"/>
      <c r="H307" s="25"/>
    </row>
    <row r="308" spans="1:8" x14ac:dyDescent="0.25">
      <c r="A308" s="15">
        <f t="shared" si="4"/>
        <v>307</v>
      </c>
      <c r="B308" s="15" t="s">
        <v>164</v>
      </c>
      <c r="C308" s="15" t="s">
        <v>76</v>
      </c>
      <c r="D308" s="15" t="s">
        <v>218</v>
      </c>
      <c r="E308" s="15"/>
      <c r="F308" s="24"/>
      <c r="G308" s="24"/>
      <c r="H308" s="24"/>
    </row>
    <row r="309" spans="1:8" x14ac:dyDescent="0.25">
      <c r="A309" s="15">
        <f t="shared" si="4"/>
        <v>308</v>
      </c>
      <c r="B309" s="15" t="s">
        <v>16</v>
      </c>
      <c r="C309" s="15" t="s">
        <v>81</v>
      </c>
      <c r="D309" s="15" t="s">
        <v>218</v>
      </c>
      <c r="E309" s="15"/>
      <c r="F309" s="24"/>
      <c r="G309" s="24"/>
      <c r="H309" s="24"/>
    </row>
    <row r="310" spans="1:8" x14ac:dyDescent="0.25">
      <c r="A310" s="15">
        <f t="shared" si="4"/>
        <v>309</v>
      </c>
      <c r="B310" s="15" t="s">
        <v>353</v>
      </c>
      <c r="C310" s="15" t="s">
        <v>354</v>
      </c>
      <c r="D310" s="16" t="s">
        <v>218</v>
      </c>
      <c r="E310" s="24" t="s">
        <v>227</v>
      </c>
      <c r="F310" s="24"/>
      <c r="G310" s="24"/>
      <c r="H310" s="24"/>
    </row>
    <row r="311" spans="1:8" x14ac:dyDescent="0.25">
      <c r="A311" s="15">
        <f t="shared" si="4"/>
        <v>310</v>
      </c>
      <c r="B311" s="16" t="s">
        <v>551</v>
      </c>
      <c r="C311" s="15" t="s">
        <v>212</v>
      </c>
      <c r="D311" s="16" t="s">
        <v>217</v>
      </c>
      <c r="E311" s="16"/>
      <c r="F311" s="24"/>
      <c r="G311" s="24"/>
      <c r="H311" s="24"/>
    </row>
    <row r="312" spans="1:8" x14ac:dyDescent="0.25">
      <c r="A312" s="15">
        <f t="shared" si="4"/>
        <v>311</v>
      </c>
      <c r="B312" s="16" t="s">
        <v>536</v>
      </c>
      <c r="C312" s="15" t="s">
        <v>62</v>
      </c>
      <c r="D312" s="16" t="s">
        <v>218</v>
      </c>
      <c r="E312" s="16"/>
      <c r="F312" s="24"/>
      <c r="G312" s="24"/>
      <c r="H312" s="24"/>
    </row>
    <row r="313" spans="1:8" x14ac:dyDescent="0.25">
      <c r="A313" s="15">
        <f t="shared" si="4"/>
        <v>312</v>
      </c>
      <c r="B313" s="15" t="s">
        <v>165</v>
      </c>
      <c r="C313" s="15" t="s">
        <v>69</v>
      </c>
      <c r="D313" s="15" t="s">
        <v>217</v>
      </c>
      <c r="E313" s="15" t="s">
        <v>211</v>
      </c>
      <c r="F313" s="24"/>
      <c r="G313" s="24"/>
      <c r="H313" s="24"/>
    </row>
    <row r="314" spans="1:8" x14ac:dyDescent="0.25">
      <c r="A314" s="15">
        <f t="shared" si="4"/>
        <v>313</v>
      </c>
      <c r="B314" s="15" t="s">
        <v>166</v>
      </c>
      <c r="C314" s="15" t="s">
        <v>81</v>
      </c>
      <c r="D314" s="15" t="s">
        <v>218</v>
      </c>
      <c r="E314" s="15"/>
      <c r="F314" s="24"/>
      <c r="G314" s="24"/>
      <c r="H314" s="24"/>
    </row>
    <row r="315" spans="1:8" x14ac:dyDescent="0.25">
      <c r="A315" s="15">
        <f t="shared" si="4"/>
        <v>314</v>
      </c>
      <c r="B315" s="15" t="s">
        <v>167</v>
      </c>
      <c r="C315" s="15" t="s">
        <v>68</v>
      </c>
      <c r="D315" s="15" t="s">
        <v>218</v>
      </c>
      <c r="E315" s="15"/>
      <c r="F315" s="24"/>
      <c r="G315" s="24"/>
      <c r="H315" s="24"/>
    </row>
    <row r="316" spans="1:8" x14ac:dyDescent="0.25">
      <c r="A316" s="15">
        <f t="shared" si="4"/>
        <v>315</v>
      </c>
      <c r="B316" s="24" t="s">
        <v>346</v>
      </c>
      <c r="C316" s="15" t="s">
        <v>212</v>
      </c>
      <c r="D316" s="16" t="s">
        <v>217</v>
      </c>
      <c r="E316" s="24"/>
      <c r="F316" s="24"/>
      <c r="G316" s="24"/>
      <c r="H316" s="24"/>
    </row>
    <row r="317" spans="1:8" x14ac:dyDescent="0.25">
      <c r="A317" s="15">
        <f t="shared" si="4"/>
        <v>316</v>
      </c>
      <c r="B317" s="15" t="s">
        <v>348</v>
      </c>
      <c r="C317" s="15" t="s">
        <v>349</v>
      </c>
      <c r="D317" s="16" t="s">
        <v>218</v>
      </c>
      <c r="E317" s="24" t="s">
        <v>239</v>
      </c>
      <c r="F317" s="24"/>
      <c r="G317" s="24"/>
      <c r="H317" s="24"/>
    </row>
    <row r="318" spans="1:8" x14ac:dyDescent="0.25">
      <c r="A318" s="15">
        <f t="shared" si="4"/>
        <v>317</v>
      </c>
      <c r="B318" s="15" t="s">
        <v>168</v>
      </c>
      <c r="C318" s="15" t="s">
        <v>64</v>
      </c>
      <c r="D318" s="15" t="s">
        <v>217</v>
      </c>
      <c r="E318" s="15"/>
      <c r="F318" s="24"/>
      <c r="G318" s="24"/>
      <c r="H318" s="24"/>
    </row>
    <row r="319" spans="1:8" x14ac:dyDescent="0.25">
      <c r="A319" s="15">
        <f t="shared" si="4"/>
        <v>318</v>
      </c>
      <c r="B319" s="15" t="s">
        <v>1102</v>
      </c>
      <c r="C319" s="15" t="s">
        <v>1103</v>
      </c>
      <c r="D319" s="25" t="s">
        <v>218</v>
      </c>
      <c r="E319" s="25"/>
      <c r="F319" s="25"/>
      <c r="G319" s="25"/>
      <c r="H319" s="25"/>
    </row>
    <row r="320" spans="1:8" x14ac:dyDescent="0.25">
      <c r="A320" s="15">
        <f t="shared" si="4"/>
        <v>319</v>
      </c>
      <c r="B320" s="16" t="s">
        <v>525</v>
      </c>
      <c r="C320" s="15" t="s">
        <v>212</v>
      </c>
      <c r="D320" s="16" t="s">
        <v>217</v>
      </c>
      <c r="E320" s="16"/>
      <c r="F320" s="24"/>
      <c r="G320" s="24"/>
      <c r="H320" s="24"/>
    </row>
    <row r="321" spans="1:8" x14ac:dyDescent="0.25">
      <c r="A321" s="15">
        <f t="shared" si="4"/>
        <v>320</v>
      </c>
      <c r="B321" s="15" t="s">
        <v>520</v>
      </c>
      <c r="C321" s="15" t="s">
        <v>64</v>
      </c>
      <c r="D321" s="25" t="s">
        <v>217</v>
      </c>
      <c r="E321" s="25"/>
      <c r="F321" s="25"/>
      <c r="G321" s="25"/>
      <c r="H321" s="25"/>
    </row>
    <row r="322" spans="1:8" x14ac:dyDescent="0.25">
      <c r="A322" s="15">
        <f t="shared" si="4"/>
        <v>321</v>
      </c>
      <c r="B322" s="16" t="s">
        <v>554</v>
      </c>
      <c r="C322" s="15" t="s">
        <v>555</v>
      </c>
      <c r="D322" s="16" t="s">
        <v>218</v>
      </c>
      <c r="E322" s="16"/>
      <c r="F322" s="24"/>
      <c r="G322" s="24"/>
      <c r="H322" s="24"/>
    </row>
    <row r="323" spans="1:8" x14ac:dyDescent="0.25">
      <c r="A323" s="15">
        <f t="shared" si="4"/>
        <v>322</v>
      </c>
      <c r="B323" s="16" t="s">
        <v>169</v>
      </c>
      <c r="C323" s="15" t="s">
        <v>76</v>
      </c>
      <c r="D323" s="16" t="s">
        <v>218</v>
      </c>
      <c r="E323" s="16"/>
      <c r="F323" s="24"/>
      <c r="G323" s="24"/>
      <c r="H323" s="24"/>
    </row>
    <row r="324" spans="1:8" x14ac:dyDescent="0.25">
      <c r="A324" s="15">
        <f t="shared" ref="A324:A390" si="5">A323+1</f>
        <v>323</v>
      </c>
      <c r="B324" s="15" t="s">
        <v>183</v>
      </c>
      <c r="C324" s="15" t="s">
        <v>76</v>
      </c>
      <c r="D324" s="15" t="s">
        <v>218</v>
      </c>
      <c r="E324" s="15"/>
      <c r="F324" s="24"/>
      <c r="G324" s="24"/>
      <c r="H324" s="24"/>
    </row>
    <row r="325" spans="1:8" x14ac:dyDescent="0.25">
      <c r="A325" s="15">
        <f t="shared" si="5"/>
        <v>324</v>
      </c>
      <c r="B325" s="15" t="s">
        <v>170</v>
      </c>
      <c r="C325" s="15" t="s">
        <v>76</v>
      </c>
      <c r="D325" s="15" t="s">
        <v>218</v>
      </c>
      <c r="E325" s="15"/>
      <c r="F325" s="24"/>
      <c r="G325" s="24"/>
      <c r="H325" s="24"/>
    </row>
    <row r="326" spans="1:8" x14ac:dyDescent="0.25">
      <c r="A326" s="15">
        <f t="shared" si="5"/>
        <v>325</v>
      </c>
      <c r="B326" s="15" t="s">
        <v>249</v>
      </c>
      <c r="C326" s="15" t="s">
        <v>257</v>
      </c>
      <c r="D326" s="15" t="s">
        <v>257</v>
      </c>
      <c r="E326" s="24"/>
      <c r="F326" s="24"/>
      <c r="G326" s="24"/>
      <c r="H326" s="24"/>
    </row>
    <row r="327" spans="1:8" x14ac:dyDescent="0.25">
      <c r="A327" s="15">
        <f t="shared" si="5"/>
        <v>326</v>
      </c>
      <c r="B327" s="15" t="s">
        <v>171</v>
      </c>
      <c r="C327" s="15" t="s">
        <v>85</v>
      </c>
      <c r="D327" s="15" t="s">
        <v>218</v>
      </c>
      <c r="E327" s="15"/>
      <c r="F327" s="24"/>
      <c r="G327" s="24"/>
      <c r="H327" s="24"/>
    </row>
    <row r="328" spans="1:8" x14ac:dyDescent="0.25">
      <c r="A328" s="15">
        <f t="shared" si="5"/>
        <v>327</v>
      </c>
      <c r="B328" s="15" t="s">
        <v>29</v>
      </c>
      <c r="C328" s="15" t="s">
        <v>194</v>
      </c>
      <c r="D328" s="15" t="s">
        <v>218</v>
      </c>
      <c r="E328" s="15" t="s">
        <v>227</v>
      </c>
      <c r="F328" s="24"/>
      <c r="G328" s="24"/>
      <c r="H328" s="24"/>
    </row>
    <row r="329" spans="1:8" x14ac:dyDescent="0.25">
      <c r="A329" s="15">
        <f t="shared" si="5"/>
        <v>328</v>
      </c>
      <c r="B329" s="15" t="s">
        <v>1390</v>
      </c>
      <c r="C329" s="15" t="s">
        <v>194</v>
      </c>
      <c r="D329" s="25" t="s">
        <v>218</v>
      </c>
      <c r="E329" s="25"/>
      <c r="F329" s="25"/>
      <c r="G329" s="25"/>
      <c r="H329" s="25"/>
    </row>
    <row r="330" spans="1:8" x14ac:dyDescent="0.25">
      <c r="A330" s="15">
        <f t="shared" si="5"/>
        <v>329</v>
      </c>
      <c r="B330" s="15" t="s">
        <v>388</v>
      </c>
      <c r="C330" s="15" t="s">
        <v>389</v>
      </c>
      <c r="D330" s="16" t="s">
        <v>218</v>
      </c>
      <c r="E330" s="25"/>
      <c r="F330" s="25"/>
      <c r="G330" s="25"/>
      <c r="H330" s="25"/>
    </row>
    <row r="331" spans="1:8" x14ac:dyDescent="0.25">
      <c r="A331" s="15">
        <f t="shared" si="5"/>
        <v>330</v>
      </c>
      <c r="B331" s="15" t="s">
        <v>1593</v>
      </c>
      <c r="C331" s="15" t="s">
        <v>70</v>
      </c>
      <c r="D331" s="25" t="s">
        <v>218</v>
      </c>
      <c r="E331" s="25"/>
      <c r="F331" s="25"/>
      <c r="G331" s="25"/>
      <c r="H331" s="25"/>
    </row>
    <row r="332" spans="1:8" x14ac:dyDescent="0.25">
      <c r="A332" s="15">
        <f t="shared" si="5"/>
        <v>331</v>
      </c>
      <c r="B332" s="15" t="s">
        <v>386</v>
      </c>
      <c r="C332" s="15" t="s">
        <v>63</v>
      </c>
      <c r="D332" s="16" t="s">
        <v>218</v>
      </c>
      <c r="E332" s="25"/>
      <c r="F332" s="25"/>
      <c r="G332" s="25"/>
      <c r="H332" s="25"/>
    </row>
    <row r="333" spans="1:8" x14ac:dyDescent="0.25">
      <c r="A333" s="15">
        <f t="shared" si="5"/>
        <v>332</v>
      </c>
      <c r="B333" s="15" t="s">
        <v>498</v>
      </c>
      <c r="C333" s="15" t="s">
        <v>499</v>
      </c>
      <c r="D333" s="25" t="s">
        <v>217</v>
      </c>
      <c r="E333" s="25"/>
      <c r="F333" s="25"/>
      <c r="G333" s="25"/>
      <c r="H333" s="25"/>
    </row>
    <row r="334" spans="1:8" x14ac:dyDescent="0.25">
      <c r="A334" s="15">
        <f t="shared" si="5"/>
        <v>333</v>
      </c>
      <c r="B334" s="15" t="s">
        <v>410</v>
      </c>
      <c r="C334" s="15" t="s">
        <v>212</v>
      </c>
      <c r="D334" s="16" t="s">
        <v>217</v>
      </c>
      <c r="E334" s="25"/>
      <c r="F334" s="25"/>
      <c r="G334" s="25"/>
      <c r="H334" s="25"/>
    </row>
    <row r="335" spans="1:8" x14ac:dyDescent="0.25">
      <c r="A335" s="15">
        <f t="shared" si="5"/>
        <v>334</v>
      </c>
      <c r="B335" s="15" t="s">
        <v>172</v>
      </c>
      <c r="C335" s="15" t="s">
        <v>67</v>
      </c>
      <c r="D335" s="15" t="s">
        <v>218</v>
      </c>
      <c r="E335" s="15"/>
      <c r="F335" s="24"/>
      <c r="G335" s="24"/>
      <c r="H335" s="24"/>
    </row>
    <row r="336" spans="1:8" x14ac:dyDescent="0.25">
      <c r="A336" s="15">
        <f t="shared" si="5"/>
        <v>335</v>
      </c>
      <c r="B336" s="15" t="s">
        <v>230</v>
      </c>
      <c r="C336" s="15" t="s">
        <v>193</v>
      </c>
      <c r="D336" s="15" t="s">
        <v>218</v>
      </c>
      <c r="E336" s="15" t="s">
        <v>227</v>
      </c>
      <c r="F336" s="24"/>
      <c r="G336" s="24"/>
      <c r="H336" s="24"/>
    </row>
    <row r="337" spans="1:8" x14ac:dyDescent="0.25">
      <c r="A337" s="15">
        <f t="shared" si="5"/>
        <v>336</v>
      </c>
      <c r="B337" s="15" t="s">
        <v>40</v>
      </c>
      <c r="C337" s="15" t="s">
        <v>62</v>
      </c>
      <c r="D337" s="15" t="s">
        <v>218</v>
      </c>
      <c r="E337" s="15"/>
      <c r="F337" s="24"/>
      <c r="G337" s="24"/>
      <c r="H337" s="24"/>
    </row>
    <row r="338" spans="1:8" x14ac:dyDescent="0.25">
      <c r="A338" s="15">
        <f t="shared" si="5"/>
        <v>337</v>
      </c>
      <c r="B338" s="15" t="s">
        <v>315</v>
      </c>
      <c r="C338" s="15" t="s">
        <v>66</v>
      </c>
      <c r="D338" s="16" t="s">
        <v>218</v>
      </c>
      <c r="E338" s="24"/>
      <c r="F338" s="24"/>
      <c r="G338" s="24"/>
      <c r="H338" s="24"/>
    </row>
    <row r="339" spans="1:8" x14ac:dyDescent="0.25">
      <c r="A339" s="15">
        <f t="shared" si="5"/>
        <v>338</v>
      </c>
      <c r="B339" s="15" t="s">
        <v>173</v>
      </c>
      <c r="C339" s="15" t="s">
        <v>194</v>
      </c>
      <c r="D339" s="15" t="s">
        <v>218</v>
      </c>
      <c r="E339" s="15"/>
      <c r="F339" s="24" t="s">
        <v>266</v>
      </c>
      <c r="G339" s="24"/>
      <c r="H339" s="24"/>
    </row>
    <row r="340" spans="1:8" x14ac:dyDescent="0.25">
      <c r="A340" s="15">
        <f t="shared" si="5"/>
        <v>339</v>
      </c>
      <c r="B340" s="15" t="s">
        <v>174</v>
      </c>
      <c r="C340" s="15" t="s">
        <v>66</v>
      </c>
      <c r="D340" s="15" t="s">
        <v>218</v>
      </c>
      <c r="E340" s="15"/>
      <c r="F340" s="24"/>
      <c r="G340" s="24"/>
      <c r="H340" s="24"/>
    </row>
    <row r="341" spans="1:8" x14ac:dyDescent="0.25">
      <c r="A341" s="15">
        <f t="shared" si="5"/>
        <v>340</v>
      </c>
      <c r="B341" s="15" t="s">
        <v>175</v>
      </c>
      <c r="C341" s="15" t="s">
        <v>72</v>
      </c>
      <c r="D341" s="15" t="s">
        <v>217</v>
      </c>
      <c r="E341" s="15" t="s">
        <v>229</v>
      </c>
      <c r="F341" s="24" t="s">
        <v>303</v>
      </c>
      <c r="G341" s="24"/>
      <c r="H341" s="24"/>
    </row>
    <row r="342" spans="1:8" x14ac:dyDescent="0.25">
      <c r="A342" s="15">
        <f t="shared" si="5"/>
        <v>341</v>
      </c>
      <c r="B342" s="16" t="s">
        <v>300</v>
      </c>
      <c r="C342" s="15" t="s">
        <v>67</v>
      </c>
      <c r="D342" s="16" t="s">
        <v>218</v>
      </c>
      <c r="E342" s="16" t="s">
        <v>231</v>
      </c>
      <c r="F342" s="24" t="s">
        <v>303</v>
      </c>
      <c r="G342" s="24"/>
      <c r="H342" s="24"/>
    </row>
    <row r="343" spans="1:8" x14ac:dyDescent="0.25">
      <c r="A343" s="15">
        <f t="shared" si="5"/>
        <v>342</v>
      </c>
      <c r="B343" s="15" t="s">
        <v>176</v>
      </c>
      <c r="C343" s="15" t="s">
        <v>62</v>
      </c>
      <c r="D343" s="15" t="s">
        <v>218</v>
      </c>
      <c r="E343" s="15"/>
      <c r="F343" s="24"/>
      <c r="G343" s="24"/>
      <c r="H343" s="24"/>
    </row>
    <row r="344" spans="1:8" x14ac:dyDescent="0.25">
      <c r="A344" s="15">
        <f t="shared" si="5"/>
        <v>343</v>
      </c>
      <c r="B344" s="15" t="s">
        <v>393</v>
      </c>
      <c r="C344" s="15" t="s">
        <v>64</v>
      </c>
      <c r="D344" s="16" t="s">
        <v>217</v>
      </c>
      <c r="E344" s="25"/>
      <c r="F344" s="25"/>
      <c r="G344" s="25"/>
      <c r="H344" s="25"/>
    </row>
    <row r="345" spans="1:8" x14ac:dyDescent="0.25">
      <c r="A345" s="15">
        <f t="shared" si="5"/>
        <v>344</v>
      </c>
      <c r="B345" s="15" t="s">
        <v>473</v>
      </c>
      <c r="C345" s="15" t="s">
        <v>62</v>
      </c>
      <c r="D345" s="25" t="s">
        <v>218</v>
      </c>
      <c r="E345" s="25"/>
      <c r="F345" s="25"/>
      <c r="G345" s="25"/>
      <c r="H345" s="25"/>
    </row>
    <row r="346" spans="1:8" x14ac:dyDescent="0.25">
      <c r="A346" s="15">
        <f t="shared" si="5"/>
        <v>345</v>
      </c>
      <c r="B346" s="15" t="s">
        <v>441</v>
      </c>
      <c r="C346" s="15" t="s">
        <v>71</v>
      </c>
      <c r="D346" s="16" t="s">
        <v>218</v>
      </c>
      <c r="E346" s="25"/>
      <c r="F346" s="25"/>
      <c r="G346" s="25"/>
      <c r="H346" s="25"/>
    </row>
    <row r="347" spans="1:8" x14ac:dyDescent="0.25">
      <c r="A347" s="15">
        <f t="shared" si="5"/>
        <v>346</v>
      </c>
      <c r="B347" s="15" t="s">
        <v>486</v>
      </c>
      <c r="C347" s="15" t="s">
        <v>66</v>
      </c>
      <c r="D347" s="25" t="s">
        <v>218</v>
      </c>
      <c r="E347" s="25"/>
      <c r="F347" s="25"/>
      <c r="G347" s="25"/>
      <c r="H347" s="25"/>
    </row>
    <row r="348" spans="1:8" x14ac:dyDescent="0.25">
      <c r="A348" s="15">
        <f t="shared" si="5"/>
        <v>347</v>
      </c>
      <c r="B348" s="15" t="s">
        <v>504</v>
      </c>
      <c r="C348" s="15" t="s">
        <v>503</v>
      </c>
      <c r="D348" s="25" t="s">
        <v>218</v>
      </c>
      <c r="E348" s="25"/>
      <c r="F348" s="25"/>
      <c r="G348" s="25"/>
      <c r="H348" s="25"/>
    </row>
    <row r="349" spans="1:8" x14ac:dyDescent="0.25">
      <c r="A349" s="15">
        <f t="shared" si="5"/>
        <v>348</v>
      </c>
      <c r="B349" s="15" t="s">
        <v>368</v>
      </c>
      <c r="C349" s="15" t="s">
        <v>368</v>
      </c>
      <c r="D349" s="16" t="s">
        <v>368</v>
      </c>
      <c r="E349" s="25"/>
      <c r="F349" s="25"/>
      <c r="G349" s="25"/>
      <c r="H349" s="25"/>
    </row>
    <row r="350" spans="1:8" x14ac:dyDescent="0.25">
      <c r="A350" s="15">
        <f t="shared" si="5"/>
        <v>349</v>
      </c>
      <c r="B350" s="15" t="s">
        <v>244</v>
      </c>
      <c r="C350" s="15" t="s">
        <v>237</v>
      </c>
      <c r="D350" s="15" t="s">
        <v>248</v>
      </c>
      <c r="E350" s="24"/>
      <c r="F350" s="24"/>
      <c r="G350" s="24"/>
      <c r="H350" s="24"/>
    </row>
    <row r="351" spans="1:8" x14ac:dyDescent="0.25">
      <c r="A351" s="15">
        <f t="shared" si="5"/>
        <v>350</v>
      </c>
      <c r="B351" s="24" t="s">
        <v>501</v>
      </c>
      <c r="C351" s="15" t="s">
        <v>81</v>
      </c>
      <c r="D351" s="25" t="s">
        <v>218</v>
      </c>
      <c r="E351" s="25"/>
      <c r="F351" s="25"/>
      <c r="G351" s="25"/>
      <c r="H351" s="25"/>
    </row>
    <row r="352" spans="1:8" x14ac:dyDescent="0.25">
      <c r="A352" s="15">
        <f t="shared" si="5"/>
        <v>351</v>
      </c>
      <c r="B352" s="15" t="s">
        <v>278</v>
      </c>
      <c r="C352" s="15" t="s">
        <v>405</v>
      </c>
      <c r="D352" s="16" t="s">
        <v>218</v>
      </c>
      <c r="E352" s="25" t="s">
        <v>229</v>
      </c>
      <c r="F352" s="25"/>
      <c r="G352" s="25"/>
      <c r="H352" s="25"/>
    </row>
    <row r="353" spans="1:8" x14ac:dyDescent="0.25">
      <c r="A353" s="15">
        <f t="shared" si="5"/>
        <v>352</v>
      </c>
      <c r="B353" s="15" t="s">
        <v>177</v>
      </c>
      <c r="C353" s="15" t="s">
        <v>65</v>
      </c>
      <c r="D353" s="15" t="s">
        <v>218</v>
      </c>
      <c r="E353" s="15"/>
      <c r="F353" s="24" t="s">
        <v>266</v>
      </c>
      <c r="G353" s="24"/>
      <c r="H353" s="24"/>
    </row>
    <row r="354" spans="1:8" x14ac:dyDescent="0.25">
      <c r="A354" s="15">
        <f t="shared" si="5"/>
        <v>353</v>
      </c>
      <c r="B354" s="15" t="s">
        <v>208</v>
      </c>
      <c r="C354" s="15" t="s">
        <v>67</v>
      </c>
      <c r="D354" s="15" t="s">
        <v>218</v>
      </c>
      <c r="E354" s="15"/>
      <c r="F354" s="24" t="s">
        <v>266</v>
      </c>
      <c r="G354" s="24"/>
      <c r="H354" s="24"/>
    </row>
    <row r="355" spans="1:8" x14ac:dyDescent="0.25">
      <c r="A355" s="15">
        <f t="shared" si="5"/>
        <v>354</v>
      </c>
      <c r="B355" s="15" t="s">
        <v>178</v>
      </c>
      <c r="C355" s="15" t="s">
        <v>63</v>
      </c>
      <c r="D355" s="15" t="s">
        <v>218</v>
      </c>
      <c r="E355" s="15"/>
      <c r="F355" s="24"/>
      <c r="G355" s="24"/>
      <c r="H355" s="24"/>
    </row>
    <row r="356" spans="1:8" x14ac:dyDescent="0.25">
      <c r="A356" s="15">
        <f t="shared" si="5"/>
        <v>355</v>
      </c>
      <c r="B356" s="15" t="s">
        <v>261</v>
      </c>
      <c r="C356" s="15" t="s">
        <v>262</v>
      </c>
      <c r="D356" s="15" t="s">
        <v>218</v>
      </c>
      <c r="E356" s="24"/>
      <c r="F356" s="24"/>
      <c r="G356" s="24"/>
      <c r="H356" s="24"/>
    </row>
    <row r="357" spans="1:8" x14ac:dyDescent="0.25">
      <c r="A357" s="15">
        <f t="shared" si="5"/>
        <v>356</v>
      </c>
      <c r="B357" s="15" t="s">
        <v>304</v>
      </c>
      <c r="C357" s="15" t="s">
        <v>69</v>
      </c>
      <c r="D357" s="16" t="s">
        <v>217</v>
      </c>
      <c r="E357" s="24"/>
      <c r="F357" s="24"/>
      <c r="G357" s="24"/>
      <c r="H357" s="24"/>
    </row>
    <row r="358" spans="1:8" x14ac:dyDescent="0.25">
      <c r="A358" s="15">
        <f t="shared" si="5"/>
        <v>357</v>
      </c>
      <c r="B358" s="15" t="s">
        <v>307</v>
      </c>
      <c r="C358" s="15" t="s">
        <v>310</v>
      </c>
      <c r="D358" s="16" t="s">
        <v>218</v>
      </c>
      <c r="E358" s="24"/>
      <c r="F358" s="24"/>
      <c r="G358" s="24"/>
      <c r="H358" s="24"/>
    </row>
    <row r="359" spans="1:8" x14ac:dyDescent="0.25">
      <c r="A359" s="15">
        <f t="shared" si="5"/>
        <v>358</v>
      </c>
      <c r="B359" s="15" t="s">
        <v>326</v>
      </c>
      <c r="C359" s="15" t="s">
        <v>212</v>
      </c>
      <c r="D359" s="16" t="s">
        <v>217</v>
      </c>
      <c r="E359" s="24"/>
      <c r="F359" s="24"/>
      <c r="G359" s="24"/>
      <c r="H359" s="24"/>
    </row>
    <row r="360" spans="1:8" x14ac:dyDescent="0.25">
      <c r="A360" s="15">
        <f t="shared" si="5"/>
        <v>359</v>
      </c>
      <c r="B360" s="16" t="s">
        <v>179</v>
      </c>
      <c r="C360" s="15" t="s">
        <v>66</v>
      </c>
      <c r="D360" s="16" t="s">
        <v>218</v>
      </c>
      <c r="E360" s="16"/>
      <c r="F360" s="24"/>
      <c r="G360" s="24"/>
      <c r="H360" s="24"/>
    </row>
    <row r="361" spans="1:8" x14ac:dyDescent="0.25">
      <c r="A361" s="15">
        <f t="shared" si="5"/>
        <v>360</v>
      </c>
      <c r="B361" s="15" t="s">
        <v>492</v>
      </c>
      <c r="C361" s="15" t="s">
        <v>495</v>
      </c>
      <c r="D361" s="25" t="s">
        <v>218</v>
      </c>
      <c r="E361" s="25"/>
      <c r="F361" s="25"/>
      <c r="G361" s="25"/>
      <c r="H361" s="25"/>
    </row>
    <row r="362" spans="1:8" x14ac:dyDescent="0.25">
      <c r="A362" s="15">
        <f t="shared" si="5"/>
        <v>361</v>
      </c>
      <c r="B362" s="15" t="s">
        <v>384</v>
      </c>
      <c r="C362" s="15" t="s">
        <v>63</v>
      </c>
      <c r="D362" s="16" t="s">
        <v>218</v>
      </c>
      <c r="E362" s="25"/>
      <c r="F362" s="25"/>
      <c r="G362" s="25"/>
      <c r="H362" s="25"/>
    </row>
    <row r="363" spans="1:8" x14ac:dyDescent="0.25">
      <c r="A363" s="15">
        <f t="shared" si="5"/>
        <v>362</v>
      </c>
      <c r="B363" s="16" t="s">
        <v>180</v>
      </c>
      <c r="C363" s="15" t="s">
        <v>80</v>
      </c>
      <c r="D363" s="16" t="s">
        <v>218</v>
      </c>
      <c r="E363" s="16"/>
      <c r="F363" s="24"/>
      <c r="G363" s="24"/>
      <c r="H363" s="24"/>
    </row>
    <row r="364" spans="1:8" x14ac:dyDescent="0.25">
      <c r="A364" s="15">
        <f t="shared" si="5"/>
        <v>363</v>
      </c>
      <c r="B364" s="16" t="s">
        <v>181</v>
      </c>
      <c r="C364" s="15" t="s">
        <v>199</v>
      </c>
      <c r="D364" s="16" t="s">
        <v>218</v>
      </c>
      <c r="E364" s="16"/>
      <c r="F364" s="24"/>
      <c r="G364" s="24"/>
      <c r="H364" s="24"/>
    </row>
    <row r="365" spans="1:8" x14ac:dyDescent="0.25">
      <c r="A365" s="15">
        <f t="shared" si="5"/>
        <v>364</v>
      </c>
      <c r="B365" s="16" t="s">
        <v>1867</v>
      </c>
      <c r="C365" s="15" t="s">
        <v>64</v>
      </c>
      <c r="D365" s="16" t="s">
        <v>217</v>
      </c>
      <c r="E365" s="16"/>
      <c r="F365" s="24"/>
      <c r="G365" s="24"/>
      <c r="H365" s="24"/>
    </row>
    <row r="366" spans="1:8" x14ac:dyDescent="0.25">
      <c r="A366" s="15">
        <f t="shared" si="5"/>
        <v>365</v>
      </c>
      <c r="B366" s="16" t="s">
        <v>1902</v>
      </c>
      <c r="C366" s="15" t="s">
        <v>66</v>
      </c>
      <c r="D366" s="16" t="s">
        <v>218</v>
      </c>
      <c r="E366" s="16"/>
      <c r="F366" s="24"/>
      <c r="G366" s="24"/>
      <c r="H366" s="24"/>
    </row>
    <row r="367" spans="1:8" x14ac:dyDescent="0.25">
      <c r="A367" s="15">
        <f t="shared" si="5"/>
        <v>366</v>
      </c>
      <c r="B367" s="16" t="s">
        <v>1903</v>
      </c>
      <c r="C367" s="15" t="s">
        <v>349</v>
      </c>
      <c r="D367" s="16" t="s">
        <v>218</v>
      </c>
      <c r="E367" s="16"/>
      <c r="F367" s="24"/>
      <c r="G367" s="24"/>
      <c r="H367" s="24"/>
    </row>
    <row r="368" spans="1:8" x14ac:dyDescent="0.25">
      <c r="A368" s="15">
        <f t="shared" si="5"/>
        <v>367</v>
      </c>
      <c r="B368" s="72" t="s">
        <v>1948</v>
      </c>
      <c r="C368" s="15" t="s">
        <v>71</v>
      </c>
      <c r="D368" s="72" t="s">
        <v>218</v>
      </c>
      <c r="E368" s="72"/>
      <c r="F368" s="72"/>
      <c r="G368" s="72"/>
      <c r="H368" s="72"/>
    </row>
    <row r="369" spans="1:8" x14ac:dyDescent="0.25">
      <c r="A369" s="15">
        <f t="shared" si="5"/>
        <v>368</v>
      </c>
      <c r="B369" s="15" t="s">
        <v>1995</v>
      </c>
      <c r="C369" s="15" t="s">
        <v>212</v>
      </c>
      <c r="D369" s="72" t="s">
        <v>217</v>
      </c>
      <c r="E369" s="72"/>
      <c r="F369" s="72"/>
      <c r="G369" s="72"/>
      <c r="H369" s="72"/>
    </row>
    <row r="370" spans="1:8" x14ac:dyDescent="0.25">
      <c r="A370" s="15">
        <f t="shared" si="5"/>
        <v>369</v>
      </c>
      <c r="B370" s="15" t="s">
        <v>1994</v>
      </c>
      <c r="C370" s="15" t="s">
        <v>66</v>
      </c>
      <c r="D370" s="72" t="s">
        <v>218</v>
      </c>
      <c r="E370" s="72"/>
      <c r="F370" s="72"/>
      <c r="G370" s="72"/>
      <c r="H370" s="72"/>
    </row>
    <row r="371" spans="1:8" x14ac:dyDescent="0.25">
      <c r="A371" s="15">
        <f t="shared" si="5"/>
        <v>370</v>
      </c>
      <c r="B371" s="73" t="s">
        <v>2006</v>
      </c>
      <c r="C371" s="15" t="s">
        <v>64</v>
      </c>
      <c r="D371" s="72" t="s">
        <v>217</v>
      </c>
      <c r="E371" s="72"/>
      <c r="F371" s="72"/>
      <c r="G371" s="72"/>
      <c r="H371" s="72"/>
    </row>
    <row r="372" spans="1:8" x14ac:dyDescent="0.25">
      <c r="A372" s="15">
        <f t="shared" si="5"/>
        <v>371</v>
      </c>
      <c r="B372" s="15" t="s">
        <v>2014</v>
      </c>
      <c r="C372" s="15" t="s">
        <v>62</v>
      </c>
      <c r="D372" s="72" t="s">
        <v>218</v>
      </c>
      <c r="E372" s="72"/>
      <c r="F372" s="72"/>
      <c r="G372" s="72"/>
      <c r="H372" s="72"/>
    </row>
    <row r="373" spans="1:8" x14ac:dyDescent="0.25">
      <c r="A373" s="15">
        <f t="shared" si="5"/>
        <v>372</v>
      </c>
      <c r="B373" s="73" t="s">
        <v>2191</v>
      </c>
      <c r="C373" s="15" t="s">
        <v>212</v>
      </c>
      <c r="D373" s="72" t="s">
        <v>217</v>
      </c>
      <c r="E373" s="72"/>
      <c r="F373" s="72"/>
      <c r="G373" s="72"/>
      <c r="H373" s="72"/>
    </row>
    <row r="374" spans="1:8" x14ac:dyDescent="0.25">
      <c r="A374" s="15">
        <f t="shared" si="5"/>
        <v>373</v>
      </c>
      <c r="B374" s="73" t="s">
        <v>2226</v>
      </c>
      <c r="C374" s="15" t="s">
        <v>63</v>
      </c>
      <c r="D374" s="72" t="s">
        <v>218</v>
      </c>
      <c r="E374" s="72"/>
      <c r="F374" s="72"/>
      <c r="G374" s="72"/>
      <c r="H374" s="72"/>
    </row>
    <row r="375" spans="1:8" x14ac:dyDescent="0.25">
      <c r="A375" s="15">
        <f t="shared" si="5"/>
        <v>374</v>
      </c>
      <c r="B375" s="73" t="s">
        <v>527</v>
      </c>
      <c r="C375" s="15" t="s">
        <v>63</v>
      </c>
      <c r="D375" s="72" t="s">
        <v>218</v>
      </c>
      <c r="E375" s="72"/>
      <c r="F375" s="72"/>
      <c r="G375" s="72"/>
      <c r="H375" s="72"/>
    </row>
    <row r="376" spans="1:8" x14ac:dyDescent="0.25">
      <c r="A376" s="15">
        <f t="shared" si="5"/>
        <v>375</v>
      </c>
      <c r="B376" s="73" t="s">
        <v>2235</v>
      </c>
      <c r="C376" s="15" t="s">
        <v>2236</v>
      </c>
      <c r="D376" s="72" t="s">
        <v>218</v>
      </c>
      <c r="E376" s="72"/>
      <c r="F376" s="72"/>
      <c r="G376" s="72"/>
      <c r="H376" s="72"/>
    </row>
    <row r="377" spans="1:8" x14ac:dyDescent="0.25">
      <c r="A377" s="15">
        <f t="shared" si="5"/>
        <v>376</v>
      </c>
      <c r="B377" s="73" t="s">
        <v>2242</v>
      </c>
      <c r="C377" s="15" t="s">
        <v>212</v>
      </c>
      <c r="D377" s="72" t="s">
        <v>217</v>
      </c>
      <c r="E377" s="72"/>
      <c r="F377" s="72"/>
      <c r="G377" s="72"/>
      <c r="H377" s="72"/>
    </row>
    <row r="378" spans="1:8" x14ac:dyDescent="0.25">
      <c r="A378" s="15">
        <f t="shared" si="5"/>
        <v>377</v>
      </c>
      <c r="B378" s="72" t="s">
        <v>2280</v>
      </c>
      <c r="C378" s="15" t="s">
        <v>212</v>
      </c>
      <c r="D378" s="72" t="s">
        <v>217</v>
      </c>
      <c r="E378" s="72"/>
      <c r="F378" s="72"/>
      <c r="G378" s="72"/>
      <c r="H378" s="72"/>
    </row>
    <row r="379" spans="1:8" x14ac:dyDescent="0.25">
      <c r="A379" s="15">
        <f t="shared" si="5"/>
        <v>378</v>
      </c>
      <c r="B379" s="73" t="s">
        <v>2281</v>
      </c>
      <c r="C379" s="15" t="s">
        <v>212</v>
      </c>
      <c r="D379" s="72" t="s">
        <v>217</v>
      </c>
      <c r="E379" s="72"/>
      <c r="F379" s="72"/>
      <c r="G379" s="72"/>
      <c r="H379" s="72"/>
    </row>
    <row r="380" spans="1:8" x14ac:dyDescent="0.25">
      <c r="A380" s="15">
        <f t="shared" si="5"/>
        <v>379</v>
      </c>
      <c r="B380" s="73" t="s">
        <v>1939</v>
      </c>
      <c r="C380" s="15" t="s">
        <v>1939</v>
      </c>
      <c r="D380" s="72" t="s">
        <v>1939</v>
      </c>
      <c r="E380" s="72"/>
      <c r="F380" s="72"/>
      <c r="G380" s="72"/>
      <c r="H380" s="72"/>
    </row>
    <row r="381" spans="1:8" x14ac:dyDescent="0.25">
      <c r="A381" s="15">
        <f t="shared" si="5"/>
        <v>380</v>
      </c>
      <c r="B381" s="73" t="s">
        <v>2290</v>
      </c>
      <c r="C381" s="15" t="s">
        <v>2291</v>
      </c>
      <c r="D381" s="72" t="s">
        <v>218</v>
      </c>
      <c r="E381" s="72"/>
      <c r="F381" s="72"/>
      <c r="G381" s="72"/>
      <c r="H381" s="72"/>
    </row>
    <row r="382" spans="1:8" x14ac:dyDescent="0.25">
      <c r="A382" s="15">
        <f t="shared" si="5"/>
        <v>381</v>
      </c>
      <c r="B382" s="73" t="s">
        <v>2462</v>
      </c>
      <c r="C382" s="15" t="s">
        <v>67</v>
      </c>
      <c r="D382" s="72" t="s">
        <v>218</v>
      </c>
      <c r="E382" s="72"/>
      <c r="F382" s="72"/>
      <c r="G382" s="72"/>
      <c r="H382" s="72"/>
    </row>
    <row r="383" spans="1:8" x14ac:dyDescent="0.25">
      <c r="A383" s="15">
        <f t="shared" si="5"/>
        <v>382</v>
      </c>
      <c r="B383" s="73" t="s">
        <v>2464</v>
      </c>
      <c r="C383" s="15" t="s">
        <v>62</v>
      </c>
      <c r="D383" s="72" t="s">
        <v>218</v>
      </c>
      <c r="E383" s="72"/>
      <c r="F383" s="72"/>
      <c r="G383" s="72"/>
      <c r="H383" s="72"/>
    </row>
    <row r="384" spans="1:8" x14ac:dyDescent="0.25">
      <c r="A384" s="15">
        <f t="shared" si="5"/>
        <v>383</v>
      </c>
      <c r="B384" s="73" t="s">
        <v>2465</v>
      </c>
      <c r="C384" s="15" t="s">
        <v>2480</v>
      </c>
      <c r="D384" s="72" t="s">
        <v>218</v>
      </c>
      <c r="E384" s="72"/>
      <c r="F384" s="72"/>
      <c r="G384" s="72"/>
      <c r="H384" s="72"/>
    </row>
    <row r="385" spans="1:8" x14ac:dyDescent="0.25">
      <c r="A385" s="15">
        <f t="shared" si="5"/>
        <v>384</v>
      </c>
      <c r="B385" s="73" t="s">
        <v>2500</v>
      </c>
      <c r="C385" s="15" t="s">
        <v>212</v>
      </c>
      <c r="D385" s="72" t="s">
        <v>217</v>
      </c>
      <c r="E385" s="72"/>
      <c r="F385" s="72"/>
      <c r="G385" s="72"/>
      <c r="H385" s="72"/>
    </row>
    <row r="386" spans="1:8" x14ac:dyDescent="0.25">
      <c r="A386" s="15">
        <f t="shared" si="5"/>
        <v>385</v>
      </c>
      <c r="B386" s="73" t="s">
        <v>2514</v>
      </c>
      <c r="C386" s="15" t="s">
        <v>2515</v>
      </c>
      <c r="D386" s="72" t="s">
        <v>218</v>
      </c>
      <c r="E386" s="72"/>
      <c r="F386" s="72"/>
      <c r="G386" s="72"/>
      <c r="H386" s="72"/>
    </row>
    <row r="387" spans="1:8" x14ac:dyDescent="0.25">
      <c r="A387" s="15">
        <f t="shared" si="5"/>
        <v>386</v>
      </c>
      <c r="B387" s="15" t="s">
        <v>2601</v>
      </c>
      <c r="C387" s="15" t="s">
        <v>555</v>
      </c>
      <c r="D387" s="72" t="s">
        <v>218</v>
      </c>
      <c r="E387" s="72"/>
      <c r="F387" s="72"/>
      <c r="G387" s="72"/>
      <c r="H387" s="72"/>
    </row>
    <row r="388" spans="1:8" x14ac:dyDescent="0.25">
      <c r="A388" s="15">
        <f t="shared" si="5"/>
        <v>387</v>
      </c>
      <c r="B388" s="8" t="s">
        <v>2653</v>
      </c>
      <c r="C388" s="15" t="s">
        <v>66</v>
      </c>
      <c r="D388" s="72" t="s">
        <v>218</v>
      </c>
      <c r="E388" s="72"/>
      <c r="F388" s="72"/>
      <c r="G388" s="72"/>
      <c r="H388" s="72"/>
    </row>
    <row r="389" spans="1:8" x14ac:dyDescent="0.25">
      <c r="A389" s="15">
        <f t="shared" si="5"/>
        <v>388</v>
      </c>
      <c r="B389" s="7" t="s">
        <v>2656</v>
      </c>
      <c r="C389" s="17" t="s">
        <v>62</v>
      </c>
      <c r="D389" s="14" t="s">
        <v>218</v>
      </c>
    </row>
    <row r="390" spans="1:8" x14ac:dyDescent="0.25">
      <c r="A390" s="15">
        <f t="shared" si="5"/>
        <v>389</v>
      </c>
      <c r="B390" s="62" t="s">
        <v>2887</v>
      </c>
      <c r="C390" s="17" t="s">
        <v>212</v>
      </c>
      <c r="D390" s="14" t="s">
        <v>217</v>
      </c>
    </row>
  </sheetData>
  <conditionalFormatting sqref="B1:B236 B239:B277 B279 B281 B287:B291 B294:B295 B300:B308 B310 B312:B316 B320:B367 B369:B370 B372 B387 B391:B1048576">
    <cfRule type="duplicateValues" dxfId="8" priority="129"/>
    <cfRule type="duplicateValues" dxfId="7" priority="130"/>
  </conditionalFormatting>
  <conditionalFormatting sqref="B109:B126">
    <cfRule type="duplicateValues" dxfId="6" priority="149"/>
  </conditionalFormatting>
  <conditionalFormatting sqref="B141:B175 B1:B126 B177 B179:B187 B190 B197:B236 B239:B277 B279 B281 B287:B291 B294:B295 B300:B308 B310 B312:B316 B320:B367 B369:B370 B372 B387 B391:B1048576">
    <cfRule type="duplicateValues" dxfId="5" priority="150"/>
  </conditionalFormatting>
  <conditionalFormatting sqref="B177 B179:B187 B190 B197:B236 B1:B175 B239:B277 B279 B281 B287:B291 B294:B295 B300:B308 B310 B312:B316 B320:B367 B369:B370 B372 B387 B391:B1048576">
    <cfRule type="duplicateValues" dxfId="4" priority="165"/>
    <cfRule type="duplicateValues" dxfId="3" priority="166"/>
    <cfRule type="duplicateValues" dxfId="2" priority="167"/>
  </conditionalFormatting>
  <pageMargins left="0.7" right="0.22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51"/>
  <sheetViews>
    <sheetView topLeftCell="A19" workbookViewId="0">
      <selection activeCell="A21" sqref="A21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  <col min="5" max="5" width="22.140625" bestFit="1" customWidth="1"/>
    <col min="6" max="6" width="14.7109375" bestFit="1" customWidth="1"/>
  </cols>
  <sheetData>
    <row r="1" spans="1:6" x14ac:dyDescent="0.25">
      <c r="A1" s="1" t="s">
        <v>255</v>
      </c>
      <c r="B1" s="1" t="s">
        <v>256</v>
      </c>
      <c r="C1" s="1" t="s">
        <v>214</v>
      </c>
      <c r="E1" s="4" t="s">
        <v>1455</v>
      </c>
      <c r="F1" s="1" t="s">
        <v>1611</v>
      </c>
    </row>
    <row r="2" spans="1:6" x14ac:dyDescent="0.25">
      <c r="A2" s="1" t="s">
        <v>44</v>
      </c>
      <c r="B2" s="1" t="s">
        <v>253</v>
      </c>
      <c r="C2" s="1" t="s">
        <v>215</v>
      </c>
      <c r="E2" s="1" t="str" cm="1">
        <f t="array" ref="E2:E34">_xlfn._xlws.SORT(_xlfn.UNIQUE(MasterSheet!AC:AC))</f>
        <v>AFFINITY</v>
      </c>
      <c r="F2" s="1" t="b">
        <f>COUNTIF(A:A,E2)&gt;0</f>
        <v>1</v>
      </c>
    </row>
    <row r="3" spans="1:6" x14ac:dyDescent="0.25">
      <c r="A3" s="1" t="s">
        <v>400</v>
      </c>
      <c r="B3" s="1" t="s">
        <v>253</v>
      </c>
      <c r="C3" s="1" t="s">
        <v>313</v>
      </c>
      <c r="E3" s="1" t="str">
        <v>APEXBIO</v>
      </c>
      <c r="F3" s="1" t="b">
        <f t="shared" ref="F3:F31" si="0">COUNTIF(A:A,E3)&gt;0</f>
        <v>1</v>
      </c>
    </row>
    <row r="4" spans="1:6" x14ac:dyDescent="0.25">
      <c r="A4" s="1" t="s">
        <v>43</v>
      </c>
      <c r="B4" s="1" t="s">
        <v>253</v>
      </c>
      <c r="C4" s="1" t="s">
        <v>313</v>
      </c>
      <c r="E4" s="1" t="str">
        <v>Bellbrook</v>
      </c>
      <c r="F4" s="1" t="b">
        <f t="shared" si="0"/>
        <v>1</v>
      </c>
    </row>
    <row r="5" spans="1:6" x14ac:dyDescent="0.25">
      <c r="A5" s="1" t="s">
        <v>209</v>
      </c>
      <c r="B5" s="1" t="s">
        <v>253</v>
      </c>
      <c r="C5" s="1" t="s">
        <v>313</v>
      </c>
      <c r="E5" s="1" t="str">
        <v>Bestenzymes</v>
      </c>
      <c r="F5" s="1" t="b">
        <f t="shared" si="0"/>
        <v>1</v>
      </c>
    </row>
    <row r="6" spans="1:6" x14ac:dyDescent="0.25">
      <c r="A6" s="1" t="s">
        <v>30</v>
      </c>
      <c r="B6" s="1" t="s">
        <v>253</v>
      </c>
      <c r="C6" s="1" t="s">
        <v>313</v>
      </c>
      <c r="E6" s="1" t="str">
        <v>Bethyl</v>
      </c>
      <c r="F6" s="1" t="b">
        <f t="shared" si="0"/>
        <v>1</v>
      </c>
    </row>
    <row r="7" spans="1:6" x14ac:dyDescent="0.25">
      <c r="A7" s="1" t="s">
        <v>422</v>
      </c>
      <c r="B7" s="1" t="s">
        <v>253</v>
      </c>
      <c r="C7" s="1" t="s">
        <v>313</v>
      </c>
      <c r="E7" s="1" t="str">
        <v>Bio Helix</v>
      </c>
      <c r="F7" s="1" t="b">
        <f t="shared" si="0"/>
        <v>1</v>
      </c>
    </row>
    <row r="8" spans="1:6" x14ac:dyDescent="0.25">
      <c r="A8" s="1" t="s">
        <v>26</v>
      </c>
      <c r="B8" s="1" t="s">
        <v>253</v>
      </c>
      <c r="C8" s="1" t="s">
        <v>313</v>
      </c>
      <c r="E8" s="1" t="str">
        <v>Biolegend</v>
      </c>
      <c r="F8" s="1" t="b">
        <f t="shared" si="0"/>
        <v>1</v>
      </c>
    </row>
    <row r="9" spans="1:6" x14ac:dyDescent="0.25">
      <c r="A9" s="1" t="s">
        <v>13</v>
      </c>
      <c r="B9" s="1" t="s">
        <v>252</v>
      </c>
      <c r="C9" s="1" t="s">
        <v>313</v>
      </c>
      <c r="E9" s="1" t="str">
        <v>Biotium</v>
      </c>
      <c r="F9" s="1" t="b">
        <f t="shared" si="0"/>
        <v>1</v>
      </c>
    </row>
    <row r="10" spans="1:6" x14ac:dyDescent="0.25">
      <c r="A10" s="1" t="s">
        <v>366</v>
      </c>
      <c r="B10" s="1" t="s">
        <v>253</v>
      </c>
      <c r="C10" s="1" t="s">
        <v>215</v>
      </c>
      <c r="E10" s="1" t="str">
        <v>Bioxcell</v>
      </c>
      <c r="F10" s="1" t="b">
        <f t="shared" si="0"/>
        <v>1</v>
      </c>
    </row>
    <row r="11" spans="1:6" x14ac:dyDescent="0.25">
      <c r="A11" s="1" t="s">
        <v>35</v>
      </c>
      <c r="B11" s="1" t="s">
        <v>254</v>
      </c>
      <c r="C11" s="1" t="s">
        <v>313</v>
      </c>
      <c r="E11" s="1" t="str">
        <v>Boster</v>
      </c>
      <c r="F11" s="1" t="b">
        <f t="shared" si="0"/>
        <v>1</v>
      </c>
    </row>
    <row r="12" spans="1:6" x14ac:dyDescent="0.25">
      <c r="A12" s="1" t="s">
        <v>31</v>
      </c>
      <c r="B12" s="1" t="s">
        <v>253</v>
      </c>
      <c r="C12" s="1" t="s">
        <v>313</v>
      </c>
      <c r="E12" s="1" t="str">
        <v>BPS</v>
      </c>
      <c r="F12" s="1" t="b">
        <f t="shared" si="0"/>
        <v>1</v>
      </c>
    </row>
    <row r="13" spans="1:6" x14ac:dyDescent="0.25">
      <c r="A13" s="1" t="s">
        <v>306</v>
      </c>
      <c r="B13" s="1" t="s">
        <v>252</v>
      </c>
      <c r="C13" s="1" t="s">
        <v>313</v>
      </c>
      <c r="E13" s="1" t="str">
        <v>Brand</v>
      </c>
      <c r="F13" s="1" t="b">
        <f t="shared" si="0"/>
        <v>1</v>
      </c>
    </row>
    <row r="14" spans="1:6" x14ac:dyDescent="0.25">
      <c r="A14" s="1" t="s">
        <v>34</v>
      </c>
      <c r="B14" s="1" t="s">
        <v>254</v>
      </c>
      <c r="C14" s="1" t="s">
        <v>313</v>
      </c>
      <c r="E14" s="1" t="str">
        <v>CYTOSKELETON</v>
      </c>
      <c r="F14" s="1" t="b">
        <f t="shared" si="0"/>
        <v>1</v>
      </c>
    </row>
    <row r="15" spans="1:6" x14ac:dyDescent="0.25">
      <c r="A15" s="1" t="s">
        <v>20</v>
      </c>
      <c r="B15" s="1" t="s">
        <v>253</v>
      </c>
      <c r="C15" s="1" t="s">
        <v>215</v>
      </c>
      <c r="E15" s="1" t="str">
        <v>Dharmacon</v>
      </c>
      <c r="F15" s="1" t="b">
        <f t="shared" si="0"/>
        <v>1</v>
      </c>
    </row>
    <row r="16" spans="1:6" x14ac:dyDescent="0.25">
      <c r="A16" s="1" t="s">
        <v>56</v>
      </c>
      <c r="B16" s="1" t="s">
        <v>253</v>
      </c>
      <c r="C16" s="1" t="s">
        <v>215</v>
      </c>
      <c r="E16" s="1" t="str">
        <v>Edna</v>
      </c>
      <c r="F16" s="1" t="b">
        <f t="shared" si="0"/>
        <v>1</v>
      </c>
    </row>
    <row r="17" spans="1:6" x14ac:dyDescent="0.25">
      <c r="A17" s="1" t="s">
        <v>333</v>
      </c>
      <c r="B17" s="1" t="s">
        <v>253</v>
      </c>
      <c r="C17" s="1" t="s">
        <v>215</v>
      </c>
      <c r="E17" s="1" t="str">
        <v>FINE TEST</v>
      </c>
      <c r="F17" s="1" t="b">
        <f t="shared" si="0"/>
        <v>1</v>
      </c>
    </row>
    <row r="18" spans="1:6" x14ac:dyDescent="0.25">
      <c r="A18" s="1" t="s">
        <v>48</v>
      </c>
      <c r="B18" s="1" t="s">
        <v>253</v>
      </c>
      <c r="C18" s="1" t="s">
        <v>313</v>
      </c>
      <c r="E18" s="1" t="str">
        <v>Genei Lab</v>
      </c>
      <c r="F18" s="1" t="b">
        <f t="shared" si="0"/>
        <v>1</v>
      </c>
    </row>
    <row r="19" spans="1:6" x14ac:dyDescent="0.25">
      <c r="A19" s="1" t="s">
        <v>27</v>
      </c>
      <c r="B19" s="1" t="s">
        <v>252</v>
      </c>
      <c r="C19" s="1" t="s">
        <v>313</v>
      </c>
      <c r="E19" s="1" t="str">
        <v>Genexis Biotech</v>
      </c>
      <c r="F19" s="1" t="b">
        <f t="shared" si="0"/>
        <v>1</v>
      </c>
    </row>
    <row r="20" spans="1:6" x14ac:dyDescent="0.25">
      <c r="A20" s="1" t="s">
        <v>243</v>
      </c>
      <c r="B20" s="1" t="s">
        <v>253</v>
      </c>
      <c r="C20" s="1" t="s">
        <v>215</v>
      </c>
      <c r="E20" s="1" t="str">
        <v>Hansa Biomed</v>
      </c>
      <c r="F20" s="1" t="b">
        <f t="shared" si="0"/>
        <v>1</v>
      </c>
    </row>
    <row r="21" spans="1:6" x14ac:dyDescent="0.25">
      <c r="A21" s="1" t="s">
        <v>324</v>
      </c>
      <c r="B21" s="1" t="s">
        <v>253</v>
      </c>
      <c r="C21" s="1" t="s">
        <v>215</v>
      </c>
      <c r="E21" s="1" t="str">
        <v>Hoefer</v>
      </c>
      <c r="F21" s="1" t="b">
        <f t="shared" si="0"/>
        <v>1</v>
      </c>
    </row>
    <row r="22" spans="1:6" x14ac:dyDescent="0.25">
      <c r="A22" s="1" t="s">
        <v>319</v>
      </c>
      <c r="B22" s="1" t="s">
        <v>253</v>
      </c>
      <c r="C22" s="1" t="s">
        <v>215</v>
      </c>
      <c r="E22" s="1" t="str">
        <v>Intron</v>
      </c>
      <c r="F22" s="1" t="b">
        <f t="shared" si="0"/>
        <v>1</v>
      </c>
    </row>
    <row r="23" spans="1:6" x14ac:dyDescent="0.25">
      <c r="A23" s="1" t="s">
        <v>329</v>
      </c>
      <c r="B23" s="1" t="s">
        <v>254</v>
      </c>
      <c r="C23" s="1" t="s">
        <v>313</v>
      </c>
      <c r="E23" s="1" t="str">
        <v>MABTECH</v>
      </c>
      <c r="F23" s="1" t="b">
        <f t="shared" si="0"/>
        <v>1</v>
      </c>
    </row>
    <row r="24" spans="1:6" x14ac:dyDescent="0.25">
      <c r="A24" s="1" t="s">
        <v>295</v>
      </c>
      <c r="B24" s="1" t="s">
        <v>253</v>
      </c>
      <c r="C24" s="1" t="s">
        <v>313</v>
      </c>
      <c r="E24" s="1" t="str">
        <v>MIRUS</v>
      </c>
      <c r="F24" s="1" t="b">
        <f t="shared" si="0"/>
        <v>1</v>
      </c>
    </row>
    <row r="25" spans="1:6" x14ac:dyDescent="0.25">
      <c r="A25" s="1" t="s">
        <v>330</v>
      </c>
      <c r="B25" s="1" t="s">
        <v>253</v>
      </c>
      <c r="C25" s="1" t="s">
        <v>313</v>
      </c>
      <c r="E25" s="1" t="str">
        <v>Mp Bio</v>
      </c>
      <c r="F25" s="1" t="b">
        <f t="shared" si="0"/>
        <v>1</v>
      </c>
    </row>
    <row r="26" spans="1:6" x14ac:dyDescent="0.25">
      <c r="A26" s="1" t="s">
        <v>23</v>
      </c>
      <c r="B26" s="1" t="s">
        <v>253</v>
      </c>
      <c r="C26" s="1" t="s">
        <v>215</v>
      </c>
      <c r="E26" s="1" t="str">
        <v>MyBioSource</v>
      </c>
      <c r="F26" s="1" t="b">
        <f t="shared" si="0"/>
        <v>1</v>
      </c>
    </row>
    <row r="27" spans="1:6" x14ac:dyDescent="0.25">
      <c r="A27" s="1" t="s">
        <v>41</v>
      </c>
      <c r="B27" s="1" t="s">
        <v>254</v>
      </c>
      <c r="C27" s="1" t="s">
        <v>313</v>
      </c>
      <c r="E27" s="1" t="str">
        <v>ONYX TECHNOSERVE</v>
      </c>
      <c r="F27" s="1" t="b">
        <f t="shared" si="0"/>
        <v>1</v>
      </c>
    </row>
    <row r="28" spans="1:6" x14ac:dyDescent="0.25">
      <c r="A28" s="1" t="s">
        <v>54</v>
      </c>
      <c r="B28" s="1" t="s">
        <v>253</v>
      </c>
      <c r="C28" s="1" t="s">
        <v>215</v>
      </c>
      <c r="E28" s="1" t="str">
        <v>Revvity</v>
      </c>
      <c r="F28" s="1" t="b">
        <f t="shared" si="0"/>
        <v>1</v>
      </c>
    </row>
    <row r="29" spans="1:6" x14ac:dyDescent="0.25">
      <c r="A29" s="1" t="s">
        <v>270</v>
      </c>
      <c r="B29" s="1" t="s">
        <v>254</v>
      </c>
      <c r="C29" s="1" t="s">
        <v>215</v>
      </c>
      <c r="E29" s="1" t="str">
        <v>Sartorius</v>
      </c>
      <c r="F29" s="1" t="b">
        <f t="shared" si="0"/>
        <v>1</v>
      </c>
    </row>
    <row r="30" spans="1:6" x14ac:dyDescent="0.25">
      <c r="A30" s="1" t="s">
        <v>47</v>
      </c>
      <c r="B30" s="1" t="s">
        <v>253</v>
      </c>
      <c r="C30" s="1" t="s">
        <v>313</v>
      </c>
      <c r="E30" s="1" t="str">
        <v>SOUTHERNBIOTECH</v>
      </c>
      <c r="F30" s="1" t="b">
        <f t="shared" si="0"/>
        <v>1</v>
      </c>
    </row>
    <row r="31" spans="1:6" x14ac:dyDescent="0.25">
      <c r="A31" s="1" t="s">
        <v>55</v>
      </c>
      <c r="B31" s="1" t="s">
        <v>253</v>
      </c>
      <c r="C31" s="1" t="s">
        <v>215</v>
      </c>
      <c r="E31" s="1" t="str">
        <v>Targetmol</v>
      </c>
      <c r="F31" s="1" t="b">
        <f t="shared" si="0"/>
        <v>1</v>
      </c>
    </row>
    <row r="32" spans="1:6" x14ac:dyDescent="0.25">
      <c r="A32" s="1" t="s">
        <v>241</v>
      </c>
      <c r="B32" s="1" t="s">
        <v>253</v>
      </c>
      <c r="C32" s="1" t="s">
        <v>313</v>
      </c>
      <c r="E32" t="str">
        <v>Topclass Enterprises</v>
      </c>
    </row>
    <row r="33" spans="1:5" x14ac:dyDescent="0.25">
      <c r="A33" s="1" t="s">
        <v>269</v>
      </c>
      <c r="B33" s="1" t="s">
        <v>253</v>
      </c>
      <c r="C33" s="1" t="s">
        <v>313</v>
      </c>
      <c r="E33" t="str">
        <v>US BIOLOGICAL</v>
      </c>
    </row>
    <row r="34" spans="1:5" x14ac:dyDescent="0.25">
      <c r="A34" s="1" t="s">
        <v>220</v>
      </c>
      <c r="B34" s="1" t="s">
        <v>254</v>
      </c>
      <c r="C34" s="1" t="s">
        <v>215</v>
      </c>
      <c r="E34">
        <v>0</v>
      </c>
    </row>
    <row r="35" spans="1:5" x14ac:dyDescent="0.25">
      <c r="A35" s="1" t="s">
        <v>271</v>
      </c>
      <c r="B35" s="1" t="s">
        <v>253</v>
      </c>
      <c r="C35" s="1" t="s">
        <v>215</v>
      </c>
    </row>
    <row r="36" spans="1:5" x14ac:dyDescent="0.25">
      <c r="A36" s="1" t="s">
        <v>36</v>
      </c>
      <c r="B36" s="1" t="s">
        <v>253</v>
      </c>
      <c r="C36" s="1" t="s">
        <v>313</v>
      </c>
    </row>
    <row r="37" spans="1:5" x14ac:dyDescent="0.25">
      <c r="A37" s="1" t="s">
        <v>312</v>
      </c>
      <c r="B37" s="1" t="s">
        <v>253</v>
      </c>
      <c r="C37" s="1" t="s">
        <v>215</v>
      </c>
    </row>
    <row r="38" spans="1:5" x14ac:dyDescent="0.25">
      <c r="A38" s="1" t="s">
        <v>38</v>
      </c>
      <c r="B38" s="1" t="s">
        <v>253</v>
      </c>
      <c r="C38" s="1" t="s">
        <v>313</v>
      </c>
    </row>
    <row r="39" spans="1:5" x14ac:dyDescent="0.25">
      <c r="A39" s="1" t="s">
        <v>297</v>
      </c>
      <c r="B39" s="1" t="s">
        <v>253</v>
      </c>
      <c r="C39" s="1" t="s">
        <v>215</v>
      </c>
    </row>
    <row r="40" spans="1:5" x14ac:dyDescent="0.25">
      <c r="A40" s="1" t="s">
        <v>277</v>
      </c>
      <c r="B40" s="1" t="s">
        <v>253</v>
      </c>
      <c r="C40" s="1" t="s">
        <v>313</v>
      </c>
    </row>
    <row r="41" spans="1:5" x14ac:dyDescent="0.25">
      <c r="A41" s="1" t="s">
        <v>305</v>
      </c>
      <c r="B41" s="1" t="s">
        <v>253</v>
      </c>
      <c r="C41" s="1" t="s">
        <v>313</v>
      </c>
    </row>
    <row r="42" spans="1:5" x14ac:dyDescent="0.25">
      <c r="A42" s="1" t="s">
        <v>447</v>
      </c>
      <c r="B42" s="1" t="s">
        <v>253</v>
      </c>
      <c r="C42" s="1" t="s">
        <v>313</v>
      </c>
    </row>
    <row r="43" spans="1:5" x14ac:dyDescent="0.25">
      <c r="A43" s="1" t="s">
        <v>500</v>
      </c>
      <c r="B43" s="1" t="s">
        <v>253</v>
      </c>
      <c r="C43" s="1" t="s">
        <v>215</v>
      </c>
    </row>
    <row r="44" spans="1:5" x14ac:dyDescent="0.25">
      <c r="A44" s="1" t="s">
        <v>505</v>
      </c>
      <c r="B44" s="1" t="s">
        <v>253</v>
      </c>
      <c r="C44" s="1" t="s">
        <v>313</v>
      </c>
    </row>
    <row r="45" spans="1:5" x14ac:dyDescent="0.25">
      <c r="A45" s="1" t="s">
        <v>515</v>
      </c>
      <c r="B45" s="1" t="s">
        <v>254</v>
      </c>
      <c r="C45" s="1" t="s">
        <v>313</v>
      </c>
    </row>
    <row r="46" spans="1:5" x14ac:dyDescent="0.25">
      <c r="A46" s="1" t="s">
        <v>516</v>
      </c>
      <c r="B46" s="1" t="s">
        <v>253</v>
      </c>
      <c r="C46" s="1" t="s">
        <v>215</v>
      </c>
    </row>
    <row r="47" spans="1:5" x14ac:dyDescent="0.25">
      <c r="A47" s="1" t="s">
        <v>518</v>
      </c>
      <c r="B47" s="1" t="s">
        <v>253</v>
      </c>
      <c r="C47" s="1" t="s">
        <v>313</v>
      </c>
    </row>
    <row r="48" spans="1:5" x14ac:dyDescent="0.25">
      <c r="A48" s="1" t="s">
        <v>537</v>
      </c>
      <c r="B48" s="1" t="s">
        <v>254</v>
      </c>
      <c r="C48" s="1" t="s">
        <v>313</v>
      </c>
    </row>
    <row r="49" spans="1:3" x14ac:dyDescent="0.25">
      <c r="A49" s="1" t="s">
        <v>545</v>
      </c>
      <c r="B49" s="1" t="s">
        <v>253</v>
      </c>
      <c r="C49" s="1" t="s">
        <v>313</v>
      </c>
    </row>
    <row r="50" spans="1:3" x14ac:dyDescent="0.25">
      <c r="A50" s="1" t="s">
        <v>1618</v>
      </c>
      <c r="B50" s="1" t="s">
        <v>253</v>
      </c>
      <c r="C50" s="1" t="s">
        <v>313</v>
      </c>
    </row>
    <row r="51" spans="1:3" x14ac:dyDescent="0.25">
      <c r="A51" s="79" t="s">
        <v>2507</v>
      </c>
      <c r="B51" s="80" t="s">
        <v>49</v>
      </c>
      <c r="C51" s="80" t="s">
        <v>215</v>
      </c>
    </row>
  </sheetData>
  <conditionalFormatting sqref="A1:A46 A48 A50 A52:A1048576">
    <cfRule type="duplicateValues" dxfId="1" priority="2"/>
  </conditionalFormatting>
  <conditionalFormatting sqref="F1:F1048576">
    <cfRule type="cellIs" dxfId="0" priority="1" operator="equal">
      <formula>"""FALSE"""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Disptach Document</vt:lpstr>
      <vt:lpstr>Group Stock Sheet</vt:lpstr>
      <vt:lpstr>New Stock Sheet</vt:lpstr>
      <vt:lpstr>Customer List</vt:lpstr>
      <vt:lpstr>Currency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2026-05-26T11:58:05Z</dcterms:modified>
  <cp:contentStatus/>
</cp:coreProperties>
</file>